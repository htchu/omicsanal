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621"/>
  <workbookPr showInkAnnotation="0" autoCompressPictures="0"/>
  <bookViews>
    <workbookView xWindow="80" yWindow="280" windowWidth="32420" windowHeight="15980" tabRatio="500"/>
  </bookViews>
  <sheets>
    <sheet name="FattyAcid_AT-Oil" sheetId="2" r:id="rId1"/>
    <sheet name="FattyAcids_AT-Fat" sheetId="3" r:id="rId2"/>
    <sheet name="SERUM" sheetId="4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G36" i="4" l="1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H36" i="4"/>
  <c r="AG60" i="4"/>
  <c r="AG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H37" i="4"/>
  <c r="AG61" i="4"/>
  <c r="AG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H38" i="4"/>
  <c r="AG62" i="4"/>
  <c r="AG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H39" i="4"/>
  <c r="AG63" i="4"/>
  <c r="AG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H40" i="4"/>
  <c r="AG64" i="4"/>
  <c r="AG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H41" i="4"/>
  <c r="AG65" i="4"/>
  <c r="AG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H42" i="4"/>
  <c r="AG66" i="4"/>
  <c r="AG68" i="4"/>
  <c r="AF60" i="4"/>
  <c r="AF61" i="4"/>
  <c r="AF62" i="4"/>
  <c r="AF63" i="4"/>
  <c r="AF64" i="4"/>
  <c r="AF65" i="4"/>
  <c r="AF66" i="4"/>
  <c r="AF68" i="4"/>
  <c r="AE60" i="4"/>
  <c r="AE61" i="4"/>
  <c r="AE62" i="4"/>
  <c r="AE63" i="4"/>
  <c r="AE64" i="4"/>
  <c r="AE65" i="4"/>
  <c r="AE66" i="4"/>
  <c r="AE68" i="4"/>
  <c r="AD60" i="4"/>
  <c r="AD61" i="4"/>
  <c r="AD62" i="4"/>
  <c r="AD63" i="4"/>
  <c r="AD64" i="4"/>
  <c r="AD65" i="4"/>
  <c r="AD66" i="4"/>
  <c r="AD68" i="4"/>
  <c r="AC60" i="4"/>
  <c r="AC61" i="4"/>
  <c r="AC62" i="4"/>
  <c r="AC63" i="4"/>
  <c r="AC64" i="4"/>
  <c r="AC65" i="4"/>
  <c r="AC66" i="4"/>
  <c r="AC68" i="4"/>
  <c r="AB60" i="4"/>
  <c r="AB61" i="4"/>
  <c r="AB62" i="4"/>
  <c r="AB63" i="4"/>
  <c r="AB64" i="4"/>
  <c r="AB65" i="4"/>
  <c r="AB66" i="4"/>
  <c r="AB68" i="4"/>
  <c r="AA60" i="4"/>
  <c r="AA61" i="4"/>
  <c r="AA62" i="4"/>
  <c r="AA63" i="4"/>
  <c r="AA64" i="4"/>
  <c r="AA65" i="4"/>
  <c r="AA66" i="4"/>
  <c r="AA68" i="4"/>
  <c r="Z60" i="4"/>
  <c r="Z61" i="4"/>
  <c r="Z62" i="4"/>
  <c r="Z63" i="4"/>
  <c r="Z64" i="4"/>
  <c r="Z65" i="4"/>
  <c r="Z66" i="4"/>
  <c r="Z68" i="4"/>
  <c r="Y60" i="4"/>
  <c r="Y61" i="4"/>
  <c r="Y62" i="4"/>
  <c r="Y63" i="4"/>
  <c r="Y64" i="4"/>
  <c r="Y65" i="4"/>
  <c r="Y66" i="4"/>
  <c r="Y68" i="4"/>
  <c r="X60" i="4"/>
  <c r="X61" i="4"/>
  <c r="X62" i="4"/>
  <c r="X63" i="4"/>
  <c r="X64" i="4"/>
  <c r="X65" i="4"/>
  <c r="X66" i="4"/>
  <c r="X68" i="4"/>
  <c r="W60" i="4"/>
  <c r="W61" i="4"/>
  <c r="W62" i="4"/>
  <c r="W63" i="4"/>
  <c r="W64" i="4"/>
  <c r="W65" i="4"/>
  <c r="W66" i="4"/>
  <c r="W68" i="4"/>
  <c r="V60" i="4"/>
  <c r="V61" i="4"/>
  <c r="V62" i="4"/>
  <c r="V63" i="4"/>
  <c r="V64" i="4"/>
  <c r="V65" i="4"/>
  <c r="V66" i="4"/>
  <c r="V68" i="4"/>
  <c r="U60" i="4"/>
  <c r="U61" i="4"/>
  <c r="U62" i="4"/>
  <c r="U63" i="4"/>
  <c r="U64" i="4"/>
  <c r="U65" i="4"/>
  <c r="U66" i="4"/>
  <c r="U68" i="4"/>
  <c r="T60" i="4"/>
  <c r="T61" i="4"/>
  <c r="T62" i="4"/>
  <c r="T63" i="4"/>
  <c r="T64" i="4"/>
  <c r="T65" i="4"/>
  <c r="T66" i="4"/>
  <c r="T68" i="4"/>
  <c r="S60" i="4"/>
  <c r="S61" i="4"/>
  <c r="S62" i="4"/>
  <c r="S63" i="4"/>
  <c r="S64" i="4"/>
  <c r="S65" i="4"/>
  <c r="S66" i="4"/>
  <c r="S68" i="4"/>
  <c r="R60" i="4"/>
  <c r="R61" i="4"/>
  <c r="R62" i="4"/>
  <c r="R63" i="4"/>
  <c r="R64" i="4"/>
  <c r="R65" i="4"/>
  <c r="R66" i="4"/>
  <c r="R68" i="4"/>
  <c r="Q60" i="4"/>
  <c r="Q61" i="4"/>
  <c r="Q62" i="4"/>
  <c r="Q63" i="4"/>
  <c r="Q64" i="4"/>
  <c r="Q65" i="4"/>
  <c r="Q66" i="4"/>
  <c r="Q68" i="4"/>
  <c r="P60" i="4"/>
  <c r="P61" i="4"/>
  <c r="P62" i="4"/>
  <c r="P63" i="4"/>
  <c r="P64" i="4"/>
  <c r="P65" i="4"/>
  <c r="P66" i="4"/>
  <c r="P68" i="4"/>
  <c r="O60" i="4"/>
  <c r="O61" i="4"/>
  <c r="O62" i="4"/>
  <c r="O63" i="4"/>
  <c r="O64" i="4"/>
  <c r="O65" i="4"/>
  <c r="O66" i="4"/>
  <c r="O68" i="4"/>
  <c r="N60" i="4"/>
  <c r="N61" i="4"/>
  <c r="N62" i="4"/>
  <c r="N63" i="4"/>
  <c r="N64" i="4"/>
  <c r="N65" i="4"/>
  <c r="N66" i="4"/>
  <c r="N68" i="4"/>
  <c r="M60" i="4"/>
  <c r="M61" i="4"/>
  <c r="M62" i="4"/>
  <c r="M63" i="4"/>
  <c r="M64" i="4"/>
  <c r="M65" i="4"/>
  <c r="M66" i="4"/>
  <c r="M68" i="4"/>
  <c r="L60" i="4"/>
  <c r="L61" i="4"/>
  <c r="L62" i="4"/>
  <c r="L63" i="4"/>
  <c r="L64" i="4"/>
  <c r="L65" i="4"/>
  <c r="L66" i="4"/>
  <c r="L68" i="4"/>
  <c r="K60" i="4"/>
  <c r="K61" i="4"/>
  <c r="K62" i="4"/>
  <c r="K63" i="4"/>
  <c r="K64" i="4"/>
  <c r="K65" i="4"/>
  <c r="K66" i="4"/>
  <c r="K68" i="4"/>
  <c r="J60" i="4"/>
  <c r="J61" i="4"/>
  <c r="J62" i="4"/>
  <c r="J63" i="4"/>
  <c r="J64" i="4"/>
  <c r="J65" i="4"/>
  <c r="J66" i="4"/>
  <c r="J68" i="4"/>
  <c r="I60" i="4"/>
  <c r="I61" i="4"/>
  <c r="I62" i="4"/>
  <c r="I63" i="4"/>
  <c r="I64" i="4"/>
  <c r="I65" i="4"/>
  <c r="I66" i="4"/>
  <c r="I68" i="4"/>
  <c r="H60" i="4"/>
  <c r="H61" i="4"/>
  <c r="H62" i="4"/>
  <c r="H63" i="4"/>
  <c r="H64" i="4"/>
  <c r="H65" i="4"/>
  <c r="H66" i="4"/>
  <c r="H68" i="4"/>
  <c r="G60" i="4"/>
  <c r="G61" i="4"/>
  <c r="G62" i="4"/>
  <c r="G63" i="4"/>
  <c r="G64" i="4"/>
  <c r="G65" i="4"/>
  <c r="G66" i="4"/>
  <c r="G68" i="4"/>
  <c r="F60" i="4"/>
  <c r="F61" i="4"/>
  <c r="F62" i="4"/>
  <c r="F63" i="4"/>
  <c r="F64" i="4"/>
  <c r="F65" i="4"/>
  <c r="F66" i="4"/>
  <c r="F68" i="4"/>
  <c r="E60" i="4"/>
  <c r="E61" i="4"/>
  <c r="E62" i="4"/>
  <c r="E63" i="4"/>
  <c r="E64" i="4"/>
  <c r="E65" i="4"/>
  <c r="E66" i="4"/>
  <c r="E68" i="4"/>
  <c r="D60" i="4"/>
  <c r="D61" i="4"/>
  <c r="D62" i="4"/>
  <c r="D63" i="4"/>
  <c r="D64" i="4"/>
  <c r="D65" i="4"/>
  <c r="D66" i="4"/>
  <c r="D68" i="4"/>
  <c r="C60" i="4"/>
  <c r="C61" i="4"/>
  <c r="C62" i="4"/>
  <c r="C63" i="4"/>
  <c r="C64" i="4"/>
  <c r="C65" i="4"/>
  <c r="C66" i="4"/>
  <c r="C68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AG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H29" i="4"/>
  <c r="AG51" i="4"/>
  <c r="AG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H30" i="4"/>
  <c r="AG52" i="4"/>
  <c r="AG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H31" i="4"/>
  <c r="AG53" i="4"/>
  <c r="AG55" i="4"/>
  <c r="AF51" i="4"/>
  <c r="AF52" i="4"/>
  <c r="AF53" i="4"/>
  <c r="AF55" i="4"/>
  <c r="AE51" i="4"/>
  <c r="AE52" i="4"/>
  <c r="AE53" i="4"/>
  <c r="AE55" i="4"/>
  <c r="AD51" i="4"/>
  <c r="AD52" i="4"/>
  <c r="AD53" i="4"/>
  <c r="AD55" i="4"/>
  <c r="AC51" i="4"/>
  <c r="AC52" i="4"/>
  <c r="AC53" i="4"/>
  <c r="AC55" i="4"/>
  <c r="AB51" i="4"/>
  <c r="AB52" i="4"/>
  <c r="AB53" i="4"/>
  <c r="AB55" i="4"/>
  <c r="AA51" i="4"/>
  <c r="AA52" i="4"/>
  <c r="AA53" i="4"/>
  <c r="AA55" i="4"/>
  <c r="Z51" i="4"/>
  <c r="Z52" i="4"/>
  <c r="Z53" i="4"/>
  <c r="Z55" i="4"/>
  <c r="Y51" i="4"/>
  <c r="Y52" i="4"/>
  <c r="Y53" i="4"/>
  <c r="Y55" i="4"/>
  <c r="X51" i="4"/>
  <c r="X52" i="4"/>
  <c r="X53" i="4"/>
  <c r="X55" i="4"/>
  <c r="W51" i="4"/>
  <c r="W52" i="4"/>
  <c r="W53" i="4"/>
  <c r="W55" i="4"/>
  <c r="V51" i="4"/>
  <c r="V52" i="4"/>
  <c r="V53" i="4"/>
  <c r="V55" i="4"/>
  <c r="U51" i="4"/>
  <c r="U52" i="4"/>
  <c r="U53" i="4"/>
  <c r="U55" i="4"/>
  <c r="T51" i="4"/>
  <c r="T52" i="4"/>
  <c r="T53" i="4"/>
  <c r="T55" i="4"/>
  <c r="S51" i="4"/>
  <c r="S52" i="4"/>
  <c r="S53" i="4"/>
  <c r="S55" i="4"/>
  <c r="R51" i="4"/>
  <c r="R52" i="4"/>
  <c r="R53" i="4"/>
  <c r="R55" i="4"/>
  <c r="Q51" i="4"/>
  <c r="Q52" i="4"/>
  <c r="Q53" i="4"/>
  <c r="Q55" i="4"/>
  <c r="P51" i="4"/>
  <c r="P52" i="4"/>
  <c r="P53" i="4"/>
  <c r="P55" i="4"/>
  <c r="O51" i="4"/>
  <c r="O52" i="4"/>
  <c r="O53" i="4"/>
  <c r="O55" i="4"/>
  <c r="N51" i="4"/>
  <c r="N52" i="4"/>
  <c r="N53" i="4"/>
  <c r="N55" i="4"/>
  <c r="M51" i="4"/>
  <c r="M52" i="4"/>
  <c r="M53" i="4"/>
  <c r="M55" i="4"/>
  <c r="L51" i="4"/>
  <c r="L52" i="4"/>
  <c r="L53" i="4"/>
  <c r="L55" i="4"/>
  <c r="K51" i="4"/>
  <c r="K52" i="4"/>
  <c r="K53" i="4"/>
  <c r="K55" i="4"/>
  <c r="J51" i="4"/>
  <c r="J52" i="4"/>
  <c r="J53" i="4"/>
  <c r="J55" i="4"/>
  <c r="I51" i="4"/>
  <c r="I52" i="4"/>
  <c r="I53" i="4"/>
  <c r="I55" i="4"/>
  <c r="H51" i="4"/>
  <c r="H52" i="4"/>
  <c r="H53" i="4"/>
  <c r="H55" i="4"/>
  <c r="G51" i="4"/>
  <c r="G52" i="4"/>
  <c r="G53" i="4"/>
  <c r="G55" i="4"/>
  <c r="F51" i="4"/>
  <c r="F52" i="4"/>
  <c r="F53" i="4"/>
  <c r="F55" i="4"/>
  <c r="E51" i="4"/>
  <c r="E52" i="4"/>
  <c r="E53" i="4"/>
  <c r="E55" i="4"/>
  <c r="D51" i="4"/>
  <c r="D52" i="4"/>
  <c r="D53" i="4"/>
  <c r="D55" i="4"/>
  <c r="C51" i="4"/>
  <c r="C52" i="4"/>
  <c r="C53" i="4"/>
  <c r="C55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S11" i="2"/>
  <c r="AH88" i="2"/>
  <c r="D37" i="2"/>
  <c r="C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K37" i="2"/>
  <c r="D67" i="2"/>
  <c r="D38" i="2"/>
  <c r="C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K38" i="2"/>
  <c r="D68" i="2"/>
  <c r="D39" i="2"/>
  <c r="C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K39" i="2"/>
  <c r="D69" i="2"/>
  <c r="D40" i="2"/>
  <c r="C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K40" i="2"/>
  <c r="D70" i="2"/>
  <c r="D41" i="2"/>
  <c r="C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K41" i="2"/>
  <c r="D71" i="2"/>
  <c r="D73" i="2"/>
  <c r="E67" i="2"/>
  <c r="E68" i="2"/>
  <c r="E69" i="2"/>
  <c r="E70" i="2"/>
  <c r="E71" i="2"/>
  <c r="E73" i="2"/>
  <c r="F67" i="2"/>
  <c r="F68" i="2"/>
  <c r="F69" i="2"/>
  <c r="F70" i="2"/>
  <c r="F71" i="2"/>
  <c r="F73" i="2"/>
  <c r="G67" i="2"/>
  <c r="G68" i="2"/>
  <c r="G69" i="2"/>
  <c r="G70" i="2"/>
  <c r="G71" i="2"/>
  <c r="G73" i="2"/>
  <c r="H67" i="2"/>
  <c r="H68" i="2"/>
  <c r="H69" i="2"/>
  <c r="H70" i="2"/>
  <c r="H71" i="2"/>
  <c r="H73" i="2"/>
  <c r="I67" i="2"/>
  <c r="I68" i="2"/>
  <c r="I69" i="2"/>
  <c r="I70" i="2"/>
  <c r="I71" i="2"/>
  <c r="I73" i="2"/>
  <c r="J67" i="2"/>
  <c r="J68" i="2"/>
  <c r="J69" i="2"/>
  <c r="J70" i="2"/>
  <c r="J71" i="2"/>
  <c r="J73" i="2"/>
  <c r="K67" i="2"/>
  <c r="K68" i="2"/>
  <c r="K69" i="2"/>
  <c r="K70" i="2"/>
  <c r="K71" i="2"/>
  <c r="K73" i="2"/>
  <c r="L67" i="2"/>
  <c r="L68" i="2"/>
  <c r="L69" i="2"/>
  <c r="L70" i="2"/>
  <c r="L71" i="2"/>
  <c r="L73" i="2"/>
  <c r="M67" i="2"/>
  <c r="M68" i="2"/>
  <c r="M69" i="2"/>
  <c r="M70" i="2"/>
  <c r="M71" i="2"/>
  <c r="M73" i="2"/>
  <c r="N67" i="2"/>
  <c r="N68" i="2"/>
  <c r="N69" i="2"/>
  <c r="N70" i="2"/>
  <c r="N71" i="2"/>
  <c r="N73" i="2"/>
  <c r="O67" i="2"/>
  <c r="O68" i="2"/>
  <c r="O69" i="2"/>
  <c r="O70" i="2"/>
  <c r="O71" i="2"/>
  <c r="O73" i="2"/>
  <c r="P67" i="2"/>
  <c r="P68" i="2"/>
  <c r="P69" i="2"/>
  <c r="P70" i="2"/>
  <c r="P71" i="2"/>
  <c r="P73" i="2"/>
  <c r="Q67" i="2"/>
  <c r="Q68" i="2"/>
  <c r="Q69" i="2"/>
  <c r="Q70" i="2"/>
  <c r="Q71" i="2"/>
  <c r="Q73" i="2"/>
  <c r="R67" i="2"/>
  <c r="R68" i="2"/>
  <c r="R69" i="2"/>
  <c r="R70" i="2"/>
  <c r="R71" i="2"/>
  <c r="R73" i="2"/>
  <c r="S67" i="2"/>
  <c r="S68" i="2"/>
  <c r="S69" i="2"/>
  <c r="S70" i="2"/>
  <c r="S71" i="2"/>
  <c r="S73" i="2"/>
  <c r="T67" i="2"/>
  <c r="T68" i="2"/>
  <c r="T69" i="2"/>
  <c r="T70" i="2"/>
  <c r="T71" i="2"/>
  <c r="T73" i="2"/>
  <c r="U67" i="2"/>
  <c r="U68" i="2"/>
  <c r="U69" i="2"/>
  <c r="U70" i="2"/>
  <c r="U71" i="2"/>
  <c r="U73" i="2"/>
  <c r="V67" i="2"/>
  <c r="V68" i="2"/>
  <c r="V69" i="2"/>
  <c r="V70" i="2"/>
  <c r="V71" i="2"/>
  <c r="V73" i="2"/>
  <c r="W67" i="2"/>
  <c r="W68" i="2"/>
  <c r="W69" i="2"/>
  <c r="W70" i="2"/>
  <c r="W71" i="2"/>
  <c r="W73" i="2"/>
  <c r="X67" i="2"/>
  <c r="X68" i="2"/>
  <c r="X69" i="2"/>
  <c r="X70" i="2"/>
  <c r="X71" i="2"/>
  <c r="X73" i="2"/>
  <c r="Y67" i="2"/>
  <c r="Y68" i="2"/>
  <c r="Y69" i="2"/>
  <c r="Y70" i="2"/>
  <c r="Y71" i="2"/>
  <c r="Y73" i="2"/>
  <c r="Z67" i="2"/>
  <c r="Z68" i="2"/>
  <c r="Z69" i="2"/>
  <c r="Z70" i="2"/>
  <c r="Z71" i="2"/>
  <c r="Z73" i="2"/>
  <c r="AA67" i="2"/>
  <c r="AA68" i="2"/>
  <c r="AA69" i="2"/>
  <c r="AA70" i="2"/>
  <c r="AA71" i="2"/>
  <c r="AA73" i="2"/>
  <c r="AB67" i="2"/>
  <c r="AB68" i="2"/>
  <c r="AB69" i="2"/>
  <c r="AB70" i="2"/>
  <c r="AB71" i="2"/>
  <c r="AB73" i="2"/>
  <c r="AC67" i="2"/>
  <c r="AC68" i="2"/>
  <c r="AC69" i="2"/>
  <c r="AC70" i="2"/>
  <c r="AC71" i="2"/>
  <c r="AC73" i="2"/>
  <c r="AD67" i="2"/>
  <c r="AD68" i="2"/>
  <c r="AD69" i="2"/>
  <c r="AD70" i="2"/>
  <c r="AD71" i="2"/>
  <c r="AD73" i="2"/>
  <c r="AE67" i="2"/>
  <c r="AE68" i="2"/>
  <c r="AE69" i="2"/>
  <c r="AE70" i="2"/>
  <c r="AE71" i="2"/>
  <c r="AE73" i="2"/>
  <c r="AF67" i="2"/>
  <c r="AF68" i="2"/>
  <c r="AF69" i="2"/>
  <c r="AF70" i="2"/>
  <c r="AF71" i="2"/>
  <c r="AF73" i="2"/>
  <c r="AG67" i="2"/>
  <c r="AG68" i="2"/>
  <c r="AG69" i="2"/>
  <c r="AG70" i="2"/>
  <c r="AG71" i="2"/>
  <c r="AG73" i="2"/>
  <c r="AH73" i="2"/>
  <c r="AI37" i="2"/>
  <c r="AI67" i="2"/>
  <c r="AI38" i="2"/>
  <c r="AI68" i="2"/>
  <c r="AI39" i="2"/>
  <c r="AI69" i="2"/>
  <c r="AI40" i="2"/>
  <c r="AI70" i="2"/>
  <c r="AI41" i="2"/>
  <c r="AI71" i="2"/>
  <c r="AI73" i="2"/>
  <c r="AJ37" i="2"/>
  <c r="AJ67" i="2"/>
  <c r="AJ38" i="2"/>
  <c r="AJ68" i="2"/>
  <c r="AJ39" i="2"/>
  <c r="AJ69" i="2"/>
  <c r="AJ40" i="2"/>
  <c r="AJ70" i="2"/>
  <c r="AJ41" i="2"/>
  <c r="AJ71" i="2"/>
  <c r="AJ73" i="2"/>
  <c r="C67" i="2"/>
  <c r="C68" i="2"/>
  <c r="C69" i="2"/>
  <c r="C70" i="2"/>
  <c r="C71" i="2"/>
  <c r="C73" i="2"/>
  <c r="D47" i="3"/>
  <c r="C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K47" i="3"/>
  <c r="D77" i="3"/>
  <c r="C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K48" i="3"/>
  <c r="D78" i="3"/>
  <c r="D49" i="3"/>
  <c r="C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AA49" i="3"/>
  <c r="AB49" i="3"/>
  <c r="AC49" i="3"/>
  <c r="AD49" i="3"/>
  <c r="AE49" i="3"/>
  <c r="AG49" i="3"/>
  <c r="AK49" i="3"/>
  <c r="D79" i="3"/>
  <c r="D50" i="3"/>
  <c r="C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G50" i="3"/>
  <c r="AK50" i="3"/>
  <c r="D80" i="3"/>
  <c r="D51" i="3"/>
  <c r="C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K51" i="3"/>
  <c r="D81" i="3"/>
  <c r="D52" i="3"/>
  <c r="C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G52" i="3"/>
  <c r="AK52" i="3"/>
  <c r="D82" i="3"/>
  <c r="D53" i="3"/>
  <c r="C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K53" i="3"/>
  <c r="D83" i="3"/>
  <c r="D85" i="3"/>
  <c r="E77" i="3"/>
  <c r="E78" i="3"/>
  <c r="E79" i="3"/>
  <c r="E80" i="3"/>
  <c r="E81" i="3"/>
  <c r="E82" i="3"/>
  <c r="E83" i="3"/>
  <c r="E85" i="3"/>
  <c r="F77" i="3"/>
  <c r="F78" i="3"/>
  <c r="F79" i="3"/>
  <c r="F80" i="3"/>
  <c r="F81" i="3"/>
  <c r="F82" i="3"/>
  <c r="F83" i="3"/>
  <c r="F85" i="3"/>
  <c r="G77" i="3"/>
  <c r="G78" i="3"/>
  <c r="G79" i="3"/>
  <c r="G80" i="3"/>
  <c r="G81" i="3"/>
  <c r="G82" i="3"/>
  <c r="G83" i="3"/>
  <c r="G85" i="3"/>
  <c r="H77" i="3"/>
  <c r="H78" i="3"/>
  <c r="H79" i="3"/>
  <c r="H80" i="3"/>
  <c r="H81" i="3"/>
  <c r="H82" i="3"/>
  <c r="H83" i="3"/>
  <c r="H85" i="3"/>
  <c r="I77" i="3"/>
  <c r="I78" i="3"/>
  <c r="I79" i="3"/>
  <c r="I80" i="3"/>
  <c r="I81" i="3"/>
  <c r="I82" i="3"/>
  <c r="I83" i="3"/>
  <c r="I85" i="3"/>
  <c r="J77" i="3"/>
  <c r="J78" i="3"/>
  <c r="J79" i="3"/>
  <c r="J80" i="3"/>
  <c r="J81" i="3"/>
  <c r="J82" i="3"/>
  <c r="J83" i="3"/>
  <c r="J85" i="3"/>
  <c r="K77" i="3"/>
  <c r="K78" i="3"/>
  <c r="K79" i="3"/>
  <c r="K80" i="3"/>
  <c r="K81" i="3"/>
  <c r="K82" i="3"/>
  <c r="K83" i="3"/>
  <c r="K85" i="3"/>
  <c r="L77" i="3"/>
  <c r="L78" i="3"/>
  <c r="L79" i="3"/>
  <c r="L80" i="3"/>
  <c r="L81" i="3"/>
  <c r="L82" i="3"/>
  <c r="L83" i="3"/>
  <c r="L85" i="3"/>
  <c r="M77" i="3"/>
  <c r="M78" i="3"/>
  <c r="M79" i="3"/>
  <c r="M80" i="3"/>
  <c r="M81" i="3"/>
  <c r="M82" i="3"/>
  <c r="M83" i="3"/>
  <c r="M85" i="3"/>
  <c r="N77" i="3"/>
  <c r="N78" i="3"/>
  <c r="N79" i="3"/>
  <c r="N80" i="3"/>
  <c r="N81" i="3"/>
  <c r="N82" i="3"/>
  <c r="N83" i="3"/>
  <c r="N85" i="3"/>
  <c r="O77" i="3"/>
  <c r="O78" i="3"/>
  <c r="O79" i="3"/>
  <c r="O80" i="3"/>
  <c r="O81" i="3"/>
  <c r="O82" i="3"/>
  <c r="O83" i="3"/>
  <c r="O85" i="3"/>
  <c r="P77" i="3"/>
  <c r="P78" i="3"/>
  <c r="P79" i="3"/>
  <c r="P80" i="3"/>
  <c r="P81" i="3"/>
  <c r="P82" i="3"/>
  <c r="P83" i="3"/>
  <c r="P85" i="3"/>
  <c r="Q77" i="3"/>
  <c r="Q78" i="3"/>
  <c r="Q79" i="3"/>
  <c r="Q80" i="3"/>
  <c r="Q81" i="3"/>
  <c r="Q82" i="3"/>
  <c r="Q83" i="3"/>
  <c r="Q85" i="3"/>
  <c r="R77" i="3"/>
  <c r="R78" i="3"/>
  <c r="R79" i="3"/>
  <c r="R80" i="3"/>
  <c r="R81" i="3"/>
  <c r="R82" i="3"/>
  <c r="R83" i="3"/>
  <c r="R85" i="3"/>
  <c r="S77" i="3"/>
  <c r="S78" i="3"/>
  <c r="S79" i="3"/>
  <c r="S80" i="3"/>
  <c r="S81" i="3"/>
  <c r="S82" i="3"/>
  <c r="S83" i="3"/>
  <c r="S85" i="3"/>
  <c r="T77" i="3"/>
  <c r="T78" i="3"/>
  <c r="T79" i="3"/>
  <c r="T80" i="3"/>
  <c r="T81" i="3"/>
  <c r="T82" i="3"/>
  <c r="T83" i="3"/>
  <c r="T85" i="3"/>
  <c r="U77" i="3"/>
  <c r="U78" i="3"/>
  <c r="U79" i="3"/>
  <c r="U80" i="3"/>
  <c r="U81" i="3"/>
  <c r="U82" i="3"/>
  <c r="U83" i="3"/>
  <c r="U85" i="3"/>
  <c r="V77" i="3"/>
  <c r="V78" i="3"/>
  <c r="V79" i="3"/>
  <c r="V80" i="3"/>
  <c r="V81" i="3"/>
  <c r="V82" i="3"/>
  <c r="V83" i="3"/>
  <c r="V85" i="3"/>
  <c r="W77" i="3"/>
  <c r="W78" i="3"/>
  <c r="W79" i="3"/>
  <c r="W80" i="3"/>
  <c r="W81" i="3"/>
  <c r="W82" i="3"/>
  <c r="W83" i="3"/>
  <c r="W85" i="3"/>
  <c r="X77" i="3"/>
  <c r="X78" i="3"/>
  <c r="X79" i="3"/>
  <c r="X80" i="3"/>
  <c r="X81" i="3"/>
  <c r="X82" i="3"/>
  <c r="X83" i="3"/>
  <c r="X85" i="3"/>
  <c r="Y77" i="3"/>
  <c r="Y78" i="3"/>
  <c r="Y79" i="3"/>
  <c r="Y80" i="3"/>
  <c r="Y81" i="3"/>
  <c r="Y82" i="3"/>
  <c r="Y83" i="3"/>
  <c r="Y85" i="3"/>
  <c r="Z77" i="3"/>
  <c r="Z78" i="3"/>
  <c r="Z80" i="3"/>
  <c r="Z81" i="3"/>
  <c r="Z82" i="3"/>
  <c r="Z83" i="3"/>
  <c r="Z85" i="3"/>
  <c r="AA77" i="3"/>
  <c r="AA78" i="3"/>
  <c r="AA79" i="3"/>
  <c r="AA80" i="3"/>
  <c r="AA81" i="3"/>
  <c r="AA82" i="3"/>
  <c r="AA83" i="3"/>
  <c r="AA85" i="3"/>
  <c r="AB77" i="3"/>
  <c r="AB78" i="3"/>
  <c r="AB79" i="3"/>
  <c r="AB80" i="3"/>
  <c r="AB81" i="3"/>
  <c r="AB82" i="3"/>
  <c r="AB83" i="3"/>
  <c r="AB85" i="3"/>
  <c r="AC77" i="3"/>
  <c r="AC78" i="3"/>
  <c r="AC79" i="3"/>
  <c r="AC80" i="3"/>
  <c r="AC81" i="3"/>
  <c r="AC82" i="3"/>
  <c r="AC83" i="3"/>
  <c r="AC85" i="3"/>
  <c r="AD77" i="3"/>
  <c r="AD78" i="3"/>
  <c r="AD79" i="3"/>
  <c r="AD80" i="3"/>
  <c r="AD81" i="3"/>
  <c r="AD82" i="3"/>
  <c r="AD83" i="3"/>
  <c r="AD85" i="3"/>
  <c r="AE77" i="3"/>
  <c r="AE78" i="3"/>
  <c r="AE79" i="3"/>
  <c r="AE80" i="3"/>
  <c r="AE81" i="3"/>
  <c r="AE82" i="3"/>
  <c r="AE83" i="3"/>
  <c r="AE85" i="3"/>
  <c r="AF77" i="3"/>
  <c r="AF78" i="3"/>
  <c r="AF79" i="3"/>
  <c r="AF80" i="3"/>
  <c r="AF81" i="3"/>
  <c r="AF82" i="3"/>
  <c r="AF83" i="3"/>
  <c r="AF85" i="3"/>
  <c r="AG77" i="3"/>
  <c r="AG78" i="3"/>
  <c r="AG79" i="3"/>
  <c r="AG82" i="3"/>
  <c r="AG83" i="3"/>
  <c r="AG85" i="3"/>
  <c r="AH47" i="3"/>
  <c r="AH77" i="3"/>
  <c r="AH48" i="3"/>
  <c r="AH78" i="3"/>
  <c r="AH49" i="3"/>
  <c r="AH79" i="3"/>
  <c r="AH50" i="3"/>
  <c r="AH80" i="3"/>
  <c r="AH51" i="3"/>
  <c r="AH81" i="3"/>
  <c r="AH52" i="3"/>
  <c r="AH82" i="3"/>
  <c r="AH53" i="3"/>
  <c r="AH83" i="3"/>
  <c r="AH85" i="3"/>
  <c r="AI47" i="3"/>
  <c r="AI77" i="3"/>
  <c r="AI48" i="3"/>
  <c r="AI78" i="3"/>
  <c r="AI49" i="3"/>
  <c r="AI79" i="3"/>
  <c r="AI50" i="3"/>
  <c r="AI80" i="3"/>
  <c r="AI51" i="3"/>
  <c r="AI81" i="3"/>
  <c r="AI52" i="3"/>
  <c r="AI82" i="3"/>
  <c r="AI53" i="3"/>
  <c r="AI83" i="3"/>
  <c r="AI85" i="3"/>
  <c r="AJ47" i="3"/>
  <c r="AJ77" i="3"/>
  <c r="AJ48" i="3"/>
  <c r="AJ78" i="3"/>
  <c r="AJ49" i="3"/>
  <c r="AJ79" i="3"/>
  <c r="AJ50" i="3"/>
  <c r="AJ80" i="3"/>
  <c r="AJ51" i="3"/>
  <c r="AJ81" i="3"/>
  <c r="AJ52" i="3"/>
  <c r="AJ82" i="3"/>
  <c r="AJ53" i="3"/>
  <c r="AJ83" i="3"/>
  <c r="AJ85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K3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37" i="3"/>
  <c r="AH67" i="3"/>
  <c r="AI37" i="3"/>
  <c r="AI67" i="3"/>
  <c r="AJ37" i="3"/>
  <c r="AJ6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K3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38" i="3"/>
  <c r="AH68" i="3"/>
  <c r="AI38" i="3"/>
  <c r="AI68" i="3"/>
  <c r="AJ38" i="3"/>
  <c r="AJ6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K3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39" i="3"/>
  <c r="AH69" i="3"/>
  <c r="AI39" i="3"/>
  <c r="AI69" i="3"/>
  <c r="AJ39" i="3"/>
  <c r="AJ6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K4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41" i="3"/>
  <c r="AH71" i="3"/>
  <c r="AI41" i="3"/>
  <c r="AI71" i="3"/>
  <c r="AJ41" i="3"/>
  <c r="AJ71" i="3"/>
  <c r="D36" i="3"/>
  <c r="C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K3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36" i="3"/>
  <c r="AH66" i="3"/>
  <c r="AI36" i="3"/>
  <c r="AI66" i="3"/>
  <c r="AJ36" i="3"/>
  <c r="AJ66" i="3"/>
  <c r="C42" i="3"/>
  <c r="D84" i="3"/>
  <c r="D72" i="3"/>
  <c r="D89" i="3"/>
  <c r="E84" i="3"/>
  <c r="E72" i="3"/>
  <c r="E89" i="3"/>
  <c r="F84" i="3"/>
  <c r="F72" i="3"/>
  <c r="F89" i="3"/>
  <c r="G84" i="3"/>
  <c r="G72" i="3"/>
  <c r="G89" i="3"/>
  <c r="H84" i="3"/>
  <c r="H72" i="3"/>
  <c r="H89" i="3"/>
  <c r="I84" i="3"/>
  <c r="I72" i="3"/>
  <c r="I89" i="3"/>
  <c r="J84" i="3"/>
  <c r="J72" i="3"/>
  <c r="J89" i="3"/>
  <c r="K84" i="3"/>
  <c r="K72" i="3"/>
  <c r="K89" i="3"/>
  <c r="L84" i="3"/>
  <c r="L72" i="3"/>
  <c r="L89" i="3"/>
  <c r="M84" i="3"/>
  <c r="M72" i="3"/>
  <c r="M89" i="3"/>
  <c r="N84" i="3"/>
  <c r="N72" i="3"/>
  <c r="N89" i="3"/>
  <c r="O84" i="3"/>
  <c r="O72" i="3"/>
  <c r="O89" i="3"/>
  <c r="P84" i="3"/>
  <c r="P72" i="3"/>
  <c r="P89" i="3"/>
  <c r="AH84" i="3"/>
  <c r="AH72" i="3"/>
  <c r="AH89" i="3"/>
  <c r="Q84" i="3"/>
  <c r="Q72" i="3"/>
  <c r="Q89" i="3"/>
  <c r="R84" i="3"/>
  <c r="R72" i="3"/>
  <c r="R89" i="3"/>
  <c r="S84" i="3"/>
  <c r="S72" i="3"/>
  <c r="S89" i="3"/>
  <c r="T84" i="3"/>
  <c r="T72" i="3"/>
  <c r="T89" i="3"/>
  <c r="U84" i="3"/>
  <c r="U72" i="3"/>
  <c r="U89" i="3"/>
  <c r="V84" i="3"/>
  <c r="V72" i="3"/>
  <c r="V89" i="3"/>
  <c r="W84" i="3"/>
  <c r="W72" i="3"/>
  <c r="W89" i="3"/>
  <c r="AI84" i="3"/>
  <c r="AI72" i="3"/>
  <c r="AI89" i="3"/>
  <c r="AJ84" i="3"/>
  <c r="AJ72" i="3"/>
  <c r="AJ89" i="3"/>
  <c r="X84" i="3"/>
  <c r="X72" i="3"/>
  <c r="X89" i="3"/>
  <c r="Y84" i="3"/>
  <c r="Y72" i="3"/>
  <c r="Y89" i="3"/>
  <c r="Z84" i="3"/>
  <c r="Z72" i="3"/>
  <c r="Z89" i="3"/>
  <c r="AA84" i="3"/>
  <c r="AA72" i="3"/>
  <c r="AA89" i="3"/>
  <c r="AB84" i="3"/>
  <c r="AB72" i="3"/>
  <c r="AB89" i="3"/>
  <c r="AC84" i="3"/>
  <c r="AC72" i="3"/>
  <c r="AC89" i="3"/>
  <c r="AD84" i="3"/>
  <c r="AD72" i="3"/>
  <c r="AD89" i="3"/>
  <c r="AE84" i="3"/>
  <c r="AE72" i="3"/>
  <c r="AE89" i="3"/>
  <c r="AF84" i="3"/>
  <c r="AF72" i="3"/>
  <c r="AF89" i="3"/>
  <c r="AG84" i="3"/>
  <c r="AG72" i="3"/>
  <c r="AG89" i="3"/>
  <c r="C78" i="3"/>
  <c r="C79" i="3"/>
  <c r="C80" i="3"/>
  <c r="C82" i="3"/>
  <c r="C81" i="3"/>
  <c r="C83" i="3"/>
  <c r="C84" i="3"/>
  <c r="C66" i="3"/>
  <c r="C72" i="3"/>
  <c r="C89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AH88" i="3"/>
  <c r="Q88" i="3"/>
  <c r="R88" i="3"/>
  <c r="S88" i="3"/>
  <c r="T88" i="3"/>
  <c r="U88" i="3"/>
  <c r="V88" i="3"/>
  <c r="W88" i="3"/>
  <c r="AI88" i="3"/>
  <c r="AJ88" i="3"/>
  <c r="X88" i="3"/>
  <c r="Y88" i="3"/>
  <c r="Z88" i="3"/>
  <c r="AA88" i="3"/>
  <c r="AB88" i="3"/>
  <c r="AC88" i="3"/>
  <c r="AD88" i="3"/>
  <c r="AE88" i="3"/>
  <c r="AF88" i="3"/>
  <c r="AG88" i="3"/>
  <c r="C77" i="3"/>
  <c r="C85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AH73" i="3"/>
  <c r="Q73" i="3"/>
  <c r="R73" i="3"/>
  <c r="S73" i="3"/>
  <c r="T73" i="3"/>
  <c r="U73" i="3"/>
  <c r="V73" i="3"/>
  <c r="W73" i="3"/>
  <c r="AI73" i="3"/>
  <c r="AJ73" i="3"/>
  <c r="X73" i="3"/>
  <c r="Y73" i="3"/>
  <c r="Z73" i="3"/>
  <c r="AA73" i="3"/>
  <c r="AB73" i="3"/>
  <c r="AC73" i="3"/>
  <c r="AD73" i="3"/>
  <c r="AE73" i="3"/>
  <c r="AF73" i="3"/>
  <c r="AG73" i="3"/>
  <c r="C73" i="3"/>
  <c r="AJ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K47" i="2"/>
  <c r="AJ77" i="2"/>
  <c r="AJ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K48" i="2"/>
  <c r="AJ78" i="2"/>
  <c r="AJ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K49" i="2"/>
  <c r="AJ79" i="2"/>
  <c r="AJ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K50" i="2"/>
  <c r="AJ80" i="2"/>
  <c r="AJ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K51" i="2"/>
  <c r="AJ81" i="2"/>
  <c r="AJ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K52" i="2"/>
  <c r="AJ82" i="2"/>
  <c r="AJ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K53" i="2"/>
  <c r="AJ83" i="2"/>
  <c r="AJ84" i="2"/>
  <c r="AJ72" i="2"/>
  <c r="AJ89" i="2"/>
  <c r="AI47" i="2"/>
  <c r="AI77" i="2"/>
  <c r="AI48" i="2"/>
  <c r="AI78" i="2"/>
  <c r="AI49" i="2"/>
  <c r="AI79" i="2"/>
  <c r="AI50" i="2"/>
  <c r="AI80" i="2"/>
  <c r="AI51" i="2"/>
  <c r="AI81" i="2"/>
  <c r="AI52" i="2"/>
  <c r="AI82" i="2"/>
  <c r="AI53" i="2"/>
  <c r="AI83" i="2"/>
  <c r="AI84" i="2"/>
  <c r="AI72" i="2"/>
  <c r="AI89" i="2"/>
  <c r="AJ85" i="2"/>
  <c r="AI85" i="2"/>
  <c r="AJ57" i="2"/>
  <c r="AI57" i="2"/>
  <c r="AJ55" i="2"/>
  <c r="AI55" i="2"/>
  <c r="AJ54" i="2"/>
  <c r="AI54" i="2"/>
  <c r="AJ42" i="2"/>
  <c r="AJ43" i="2"/>
  <c r="AI42" i="2"/>
  <c r="AI43" i="2"/>
  <c r="AJ28" i="2"/>
  <c r="AI28" i="2"/>
  <c r="AJ26" i="2"/>
  <c r="AI26" i="2"/>
  <c r="AJ25" i="2"/>
  <c r="AI25" i="2"/>
  <c r="AJ24" i="2"/>
  <c r="AI24" i="2"/>
  <c r="AJ13" i="2"/>
  <c r="AI13" i="2"/>
  <c r="AJ12" i="2"/>
  <c r="AI12" i="2"/>
  <c r="D77" i="2"/>
  <c r="D78" i="2"/>
  <c r="D79" i="2"/>
  <c r="D80" i="2"/>
  <c r="D81" i="2"/>
  <c r="D82" i="2"/>
  <c r="D83" i="2"/>
  <c r="D84" i="2"/>
  <c r="D72" i="2"/>
  <c r="D89" i="2"/>
  <c r="E77" i="2"/>
  <c r="E78" i="2"/>
  <c r="E79" i="2"/>
  <c r="E80" i="2"/>
  <c r="E81" i="2"/>
  <c r="E82" i="2"/>
  <c r="E83" i="2"/>
  <c r="E84" i="2"/>
  <c r="E72" i="2"/>
  <c r="E89" i="2"/>
  <c r="F77" i="2"/>
  <c r="F78" i="2"/>
  <c r="F79" i="2"/>
  <c r="F80" i="2"/>
  <c r="F81" i="2"/>
  <c r="F82" i="2"/>
  <c r="F83" i="2"/>
  <c r="F84" i="2"/>
  <c r="F72" i="2"/>
  <c r="F89" i="2"/>
  <c r="G77" i="2"/>
  <c r="G78" i="2"/>
  <c r="G79" i="2"/>
  <c r="G80" i="2"/>
  <c r="G81" i="2"/>
  <c r="G82" i="2"/>
  <c r="G83" i="2"/>
  <c r="G84" i="2"/>
  <c r="G72" i="2"/>
  <c r="G89" i="2"/>
  <c r="H77" i="2"/>
  <c r="H78" i="2"/>
  <c r="H79" i="2"/>
  <c r="H80" i="2"/>
  <c r="H81" i="2"/>
  <c r="H82" i="2"/>
  <c r="H83" i="2"/>
  <c r="H84" i="2"/>
  <c r="H72" i="2"/>
  <c r="H89" i="2"/>
  <c r="I77" i="2"/>
  <c r="I78" i="2"/>
  <c r="I79" i="2"/>
  <c r="I80" i="2"/>
  <c r="I81" i="2"/>
  <c r="I82" i="2"/>
  <c r="I83" i="2"/>
  <c r="I84" i="2"/>
  <c r="I72" i="2"/>
  <c r="I89" i="2"/>
  <c r="J77" i="2"/>
  <c r="J78" i="2"/>
  <c r="J79" i="2"/>
  <c r="J80" i="2"/>
  <c r="J81" i="2"/>
  <c r="J82" i="2"/>
  <c r="J83" i="2"/>
  <c r="J84" i="2"/>
  <c r="J72" i="2"/>
  <c r="J89" i="2"/>
  <c r="K77" i="2"/>
  <c r="K78" i="2"/>
  <c r="K79" i="2"/>
  <c r="K80" i="2"/>
  <c r="K81" i="2"/>
  <c r="K82" i="2"/>
  <c r="K83" i="2"/>
  <c r="K84" i="2"/>
  <c r="K72" i="2"/>
  <c r="K89" i="2"/>
  <c r="L77" i="2"/>
  <c r="L78" i="2"/>
  <c r="L79" i="2"/>
  <c r="L80" i="2"/>
  <c r="L81" i="2"/>
  <c r="L82" i="2"/>
  <c r="L83" i="2"/>
  <c r="L84" i="2"/>
  <c r="L72" i="2"/>
  <c r="L89" i="2"/>
  <c r="M77" i="2"/>
  <c r="M78" i="2"/>
  <c r="M79" i="2"/>
  <c r="M80" i="2"/>
  <c r="M81" i="2"/>
  <c r="M82" i="2"/>
  <c r="M83" i="2"/>
  <c r="M84" i="2"/>
  <c r="M72" i="2"/>
  <c r="M89" i="2"/>
  <c r="N77" i="2"/>
  <c r="N78" i="2"/>
  <c r="N79" i="2"/>
  <c r="N80" i="2"/>
  <c r="N81" i="2"/>
  <c r="N82" i="2"/>
  <c r="N83" i="2"/>
  <c r="N84" i="2"/>
  <c r="N72" i="2"/>
  <c r="N89" i="2"/>
  <c r="O77" i="2"/>
  <c r="O78" i="2"/>
  <c r="O79" i="2"/>
  <c r="O80" i="2"/>
  <c r="O81" i="2"/>
  <c r="O82" i="2"/>
  <c r="O83" i="2"/>
  <c r="O84" i="2"/>
  <c r="O72" i="2"/>
  <c r="O89" i="2"/>
  <c r="P77" i="2"/>
  <c r="P78" i="2"/>
  <c r="P79" i="2"/>
  <c r="P80" i="2"/>
  <c r="P81" i="2"/>
  <c r="P82" i="2"/>
  <c r="P83" i="2"/>
  <c r="P84" i="2"/>
  <c r="P72" i="2"/>
  <c r="P89" i="2"/>
  <c r="Q77" i="2"/>
  <c r="Q78" i="2"/>
  <c r="Q79" i="2"/>
  <c r="Q80" i="2"/>
  <c r="Q81" i="2"/>
  <c r="Q82" i="2"/>
  <c r="Q83" i="2"/>
  <c r="Q84" i="2"/>
  <c r="Q72" i="2"/>
  <c r="Q89" i="2"/>
  <c r="R77" i="2"/>
  <c r="R78" i="2"/>
  <c r="R79" i="2"/>
  <c r="R80" i="2"/>
  <c r="R81" i="2"/>
  <c r="R82" i="2"/>
  <c r="R83" i="2"/>
  <c r="R84" i="2"/>
  <c r="R72" i="2"/>
  <c r="R89" i="2"/>
  <c r="S77" i="2"/>
  <c r="S78" i="2"/>
  <c r="S79" i="2"/>
  <c r="S80" i="2"/>
  <c r="S81" i="2"/>
  <c r="S82" i="2"/>
  <c r="S83" i="2"/>
  <c r="S84" i="2"/>
  <c r="S72" i="2"/>
  <c r="S89" i="2"/>
  <c r="T77" i="2"/>
  <c r="T78" i="2"/>
  <c r="T79" i="2"/>
  <c r="T80" i="2"/>
  <c r="T81" i="2"/>
  <c r="T82" i="2"/>
  <c r="T83" i="2"/>
  <c r="T84" i="2"/>
  <c r="T72" i="2"/>
  <c r="T89" i="2"/>
  <c r="U77" i="2"/>
  <c r="U78" i="2"/>
  <c r="U79" i="2"/>
  <c r="U80" i="2"/>
  <c r="U81" i="2"/>
  <c r="U82" i="2"/>
  <c r="U83" i="2"/>
  <c r="U84" i="2"/>
  <c r="U72" i="2"/>
  <c r="U89" i="2"/>
  <c r="V77" i="2"/>
  <c r="V78" i="2"/>
  <c r="V79" i="2"/>
  <c r="V80" i="2"/>
  <c r="V81" i="2"/>
  <c r="V82" i="2"/>
  <c r="V83" i="2"/>
  <c r="V84" i="2"/>
  <c r="V72" i="2"/>
  <c r="V89" i="2"/>
  <c r="W77" i="2"/>
  <c r="W78" i="2"/>
  <c r="W79" i="2"/>
  <c r="W80" i="2"/>
  <c r="W81" i="2"/>
  <c r="W82" i="2"/>
  <c r="W83" i="2"/>
  <c r="W84" i="2"/>
  <c r="W72" i="2"/>
  <c r="W89" i="2"/>
  <c r="X77" i="2"/>
  <c r="X78" i="2"/>
  <c r="X79" i="2"/>
  <c r="X80" i="2"/>
  <c r="X81" i="2"/>
  <c r="X82" i="2"/>
  <c r="X83" i="2"/>
  <c r="X84" i="2"/>
  <c r="X72" i="2"/>
  <c r="X89" i="2"/>
  <c r="Y77" i="2"/>
  <c r="Y78" i="2"/>
  <c r="Y79" i="2"/>
  <c r="Y80" i="2"/>
  <c r="Y81" i="2"/>
  <c r="Y82" i="2"/>
  <c r="Y83" i="2"/>
  <c r="Y84" i="2"/>
  <c r="Y72" i="2"/>
  <c r="Y89" i="2"/>
  <c r="Z77" i="2"/>
  <c r="Z78" i="2"/>
  <c r="Z79" i="2"/>
  <c r="Z80" i="2"/>
  <c r="Z81" i="2"/>
  <c r="Z82" i="2"/>
  <c r="Z83" i="2"/>
  <c r="Z84" i="2"/>
  <c r="Z72" i="2"/>
  <c r="Z89" i="2"/>
  <c r="AA77" i="2"/>
  <c r="AA78" i="2"/>
  <c r="AA79" i="2"/>
  <c r="AA80" i="2"/>
  <c r="AA81" i="2"/>
  <c r="AA82" i="2"/>
  <c r="AA83" i="2"/>
  <c r="AA84" i="2"/>
  <c r="AA72" i="2"/>
  <c r="AA89" i="2"/>
  <c r="AB77" i="2"/>
  <c r="AB78" i="2"/>
  <c r="AB79" i="2"/>
  <c r="AB80" i="2"/>
  <c r="AB81" i="2"/>
  <c r="AB82" i="2"/>
  <c r="AB83" i="2"/>
  <c r="AB84" i="2"/>
  <c r="AB72" i="2"/>
  <c r="AB89" i="2"/>
  <c r="AC77" i="2"/>
  <c r="AC78" i="2"/>
  <c r="AC79" i="2"/>
  <c r="AC80" i="2"/>
  <c r="AC81" i="2"/>
  <c r="AC82" i="2"/>
  <c r="AC83" i="2"/>
  <c r="AC84" i="2"/>
  <c r="AC72" i="2"/>
  <c r="AC89" i="2"/>
  <c r="AD77" i="2"/>
  <c r="AD78" i="2"/>
  <c r="AD79" i="2"/>
  <c r="AD80" i="2"/>
  <c r="AD81" i="2"/>
  <c r="AD82" i="2"/>
  <c r="AD83" i="2"/>
  <c r="AD84" i="2"/>
  <c r="AD72" i="2"/>
  <c r="AD89" i="2"/>
  <c r="AE77" i="2"/>
  <c r="AE78" i="2"/>
  <c r="AE79" i="2"/>
  <c r="AE80" i="2"/>
  <c r="AE81" i="2"/>
  <c r="AE82" i="2"/>
  <c r="AE83" i="2"/>
  <c r="AE84" i="2"/>
  <c r="AE72" i="2"/>
  <c r="AE89" i="2"/>
  <c r="AF77" i="2"/>
  <c r="AF78" i="2"/>
  <c r="AF79" i="2"/>
  <c r="AF80" i="2"/>
  <c r="AF81" i="2"/>
  <c r="AF82" i="2"/>
  <c r="AF83" i="2"/>
  <c r="AF84" i="2"/>
  <c r="AF72" i="2"/>
  <c r="AF89" i="2"/>
  <c r="AG77" i="2"/>
  <c r="AG78" i="2"/>
  <c r="AG79" i="2"/>
  <c r="AG80" i="2"/>
  <c r="AG81" i="2"/>
  <c r="AG82" i="2"/>
  <c r="AG83" i="2"/>
  <c r="AG84" i="2"/>
  <c r="AG72" i="2"/>
  <c r="AG89" i="2"/>
  <c r="C77" i="2"/>
  <c r="C78" i="2"/>
  <c r="C79" i="2"/>
  <c r="C80" i="2"/>
  <c r="C81" i="2"/>
  <c r="C82" i="2"/>
  <c r="C83" i="2"/>
  <c r="C84" i="2"/>
  <c r="C72" i="2"/>
  <c r="C89" i="2"/>
  <c r="C88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C85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C43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AH57" i="3"/>
  <c r="Q57" i="3"/>
  <c r="R57" i="3"/>
  <c r="S57" i="3"/>
  <c r="T57" i="3"/>
  <c r="U57" i="3"/>
  <c r="V57" i="3"/>
  <c r="W57" i="3"/>
  <c r="AI57" i="3"/>
  <c r="AJ57" i="3"/>
  <c r="X57" i="3"/>
  <c r="Y57" i="3"/>
  <c r="Z57" i="3"/>
  <c r="AA57" i="3"/>
  <c r="AB57" i="3"/>
  <c r="AC57" i="3"/>
  <c r="AD57" i="3"/>
  <c r="AE57" i="3"/>
  <c r="AF57" i="3"/>
  <c r="AG57" i="3"/>
  <c r="C57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AH43" i="3"/>
  <c r="Q43" i="3"/>
  <c r="R43" i="3"/>
  <c r="S43" i="3"/>
  <c r="T43" i="3"/>
  <c r="U43" i="3"/>
  <c r="V43" i="3"/>
  <c r="W43" i="3"/>
  <c r="AI43" i="3"/>
  <c r="AJ43" i="3"/>
  <c r="X43" i="3"/>
  <c r="Y43" i="3"/>
  <c r="Z43" i="3"/>
  <c r="AA43" i="3"/>
  <c r="AB43" i="3"/>
  <c r="AC43" i="3"/>
  <c r="AD43" i="3"/>
  <c r="AE43" i="3"/>
  <c r="AF43" i="3"/>
  <c r="AG43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AH42" i="3"/>
  <c r="Q42" i="3"/>
  <c r="R42" i="3"/>
  <c r="S42" i="3"/>
  <c r="T42" i="3"/>
  <c r="U42" i="3"/>
  <c r="V42" i="3"/>
  <c r="W42" i="3"/>
  <c r="AI42" i="3"/>
  <c r="AJ42" i="3"/>
  <c r="X42" i="3"/>
  <c r="Y42" i="3"/>
  <c r="Z42" i="3"/>
  <c r="AA42" i="3"/>
  <c r="AB42" i="3"/>
  <c r="AC42" i="3"/>
  <c r="AD42" i="3"/>
  <c r="AE42" i="3"/>
  <c r="AF42" i="3"/>
  <c r="AG42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AH55" i="3"/>
  <c r="Q55" i="3"/>
  <c r="R55" i="3"/>
  <c r="S55" i="3"/>
  <c r="T55" i="3"/>
  <c r="U55" i="3"/>
  <c r="V55" i="3"/>
  <c r="W55" i="3"/>
  <c r="AI55" i="3"/>
  <c r="AJ55" i="3"/>
  <c r="X55" i="3"/>
  <c r="Y55" i="3"/>
  <c r="Z55" i="3"/>
  <c r="AA55" i="3"/>
  <c r="AB55" i="3"/>
  <c r="AC55" i="3"/>
  <c r="AD55" i="3"/>
  <c r="AE55" i="3"/>
  <c r="AF55" i="3"/>
  <c r="AG55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AH54" i="3"/>
  <c r="Q54" i="3"/>
  <c r="R54" i="3"/>
  <c r="S54" i="3"/>
  <c r="T54" i="3"/>
  <c r="U54" i="3"/>
  <c r="V54" i="3"/>
  <c r="W54" i="3"/>
  <c r="AI54" i="3"/>
  <c r="AJ54" i="3"/>
  <c r="X54" i="3"/>
  <c r="Y54" i="3"/>
  <c r="Z54" i="3"/>
  <c r="AA54" i="3"/>
  <c r="AB54" i="3"/>
  <c r="AC54" i="3"/>
  <c r="AD54" i="3"/>
  <c r="AE54" i="3"/>
  <c r="AF54" i="3"/>
  <c r="AG54" i="3"/>
  <c r="C55" i="3"/>
  <c r="C54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AH29" i="3"/>
  <c r="Q29" i="3"/>
  <c r="R29" i="3"/>
  <c r="S29" i="3"/>
  <c r="T29" i="3"/>
  <c r="U29" i="3"/>
  <c r="V29" i="3"/>
  <c r="W29" i="3"/>
  <c r="AI29" i="3"/>
  <c r="AJ29" i="3"/>
  <c r="X29" i="3"/>
  <c r="Y29" i="3"/>
  <c r="Z29" i="3"/>
  <c r="AA29" i="3"/>
  <c r="AB29" i="3"/>
  <c r="AC29" i="3"/>
  <c r="AD29" i="3"/>
  <c r="AE29" i="3"/>
  <c r="AF29" i="3"/>
  <c r="AG29" i="3"/>
  <c r="C29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AH14" i="3"/>
  <c r="Q14" i="3"/>
  <c r="R14" i="3"/>
  <c r="S14" i="3"/>
  <c r="T14" i="3"/>
  <c r="U14" i="3"/>
  <c r="V14" i="3"/>
  <c r="W14" i="3"/>
  <c r="AI14" i="3"/>
  <c r="AJ14" i="3"/>
  <c r="X14" i="3"/>
  <c r="Y14" i="3"/>
  <c r="Z14" i="3"/>
  <c r="AA14" i="3"/>
  <c r="AB14" i="3"/>
  <c r="AC14" i="3"/>
  <c r="AD14" i="3"/>
  <c r="AE14" i="3"/>
  <c r="AF14" i="3"/>
  <c r="AG14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AH13" i="3"/>
  <c r="Q13" i="3"/>
  <c r="R13" i="3"/>
  <c r="S13" i="3"/>
  <c r="T13" i="3"/>
  <c r="U13" i="3"/>
  <c r="V13" i="3"/>
  <c r="W13" i="3"/>
  <c r="AI13" i="3"/>
  <c r="AJ13" i="3"/>
  <c r="X13" i="3"/>
  <c r="Y13" i="3"/>
  <c r="Z13" i="3"/>
  <c r="AA13" i="3"/>
  <c r="AB13" i="3"/>
  <c r="AC13" i="3"/>
  <c r="AD13" i="3"/>
  <c r="AE13" i="3"/>
  <c r="AF13" i="3"/>
  <c r="AG13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AH12" i="3"/>
  <c r="Q12" i="3"/>
  <c r="R12" i="3"/>
  <c r="S12" i="3"/>
  <c r="T12" i="3"/>
  <c r="U12" i="3"/>
  <c r="V12" i="3"/>
  <c r="W12" i="3"/>
  <c r="AI12" i="3"/>
  <c r="AJ12" i="3"/>
  <c r="X12" i="3"/>
  <c r="Y12" i="3"/>
  <c r="Z12" i="3"/>
  <c r="AA12" i="3"/>
  <c r="AB12" i="3"/>
  <c r="AC12" i="3"/>
  <c r="AD12" i="3"/>
  <c r="AE12" i="3"/>
  <c r="AF12" i="3"/>
  <c r="AG12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AH27" i="3"/>
  <c r="Q27" i="3"/>
  <c r="R27" i="3"/>
  <c r="S27" i="3"/>
  <c r="T27" i="3"/>
  <c r="U27" i="3"/>
  <c r="V27" i="3"/>
  <c r="W27" i="3"/>
  <c r="AI27" i="3"/>
  <c r="AJ27" i="3"/>
  <c r="X27" i="3"/>
  <c r="Y27" i="3"/>
  <c r="Z27" i="3"/>
  <c r="AA27" i="3"/>
  <c r="AB27" i="3"/>
  <c r="AC27" i="3"/>
  <c r="AD27" i="3"/>
  <c r="AE27" i="3"/>
  <c r="AF27" i="3"/>
  <c r="AG27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AH26" i="3"/>
  <c r="Q26" i="3"/>
  <c r="R26" i="3"/>
  <c r="S26" i="3"/>
  <c r="T26" i="3"/>
  <c r="U26" i="3"/>
  <c r="V26" i="3"/>
  <c r="W26" i="3"/>
  <c r="AI26" i="3"/>
  <c r="AJ26" i="3"/>
  <c r="X26" i="3"/>
  <c r="Y26" i="3"/>
  <c r="Z26" i="3"/>
  <c r="AA26" i="3"/>
  <c r="AB26" i="3"/>
  <c r="AC26" i="3"/>
  <c r="AD26" i="3"/>
  <c r="AE26" i="3"/>
  <c r="AF26" i="3"/>
  <c r="AG26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AH25" i="3"/>
  <c r="Q25" i="3"/>
  <c r="R25" i="3"/>
  <c r="S25" i="3"/>
  <c r="T25" i="3"/>
  <c r="U25" i="3"/>
  <c r="V25" i="3"/>
  <c r="W25" i="3"/>
  <c r="AI25" i="3"/>
  <c r="AJ25" i="3"/>
  <c r="X25" i="3"/>
  <c r="Y25" i="3"/>
  <c r="Z25" i="3"/>
  <c r="AA25" i="3"/>
  <c r="AB25" i="3"/>
  <c r="AC25" i="3"/>
  <c r="AD25" i="3"/>
  <c r="AE25" i="3"/>
  <c r="AF25" i="3"/>
  <c r="AG25" i="3"/>
  <c r="C27" i="3"/>
  <c r="C26" i="3"/>
  <c r="C25" i="3"/>
  <c r="C14" i="3"/>
  <c r="C13" i="3"/>
  <c r="C12" i="3"/>
  <c r="D13" i="2"/>
  <c r="D43" i="2"/>
  <c r="E13" i="2"/>
  <c r="E43" i="2"/>
  <c r="F13" i="2"/>
  <c r="F43" i="2"/>
  <c r="G13" i="2"/>
  <c r="G43" i="2"/>
  <c r="H13" i="2"/>
  <c r="H43" i="2"/>
  <c r="I13" i="2"/>
  <c r="I43" i="2"/>
  <c r="J13" i="2"/>
  <c r="J43" i="2"/>
  <c r="K13" i="2"/>
  <c r="K43" i="2"/>
  <c r="L13" i="2"/>
  <c r="L43" i="2"/>
  <c r="M13" i="2"/>
  <c r="M43" i="2"/>
  <c r="N13" i="2"/>
  <c r="N43" i="2"/>
  <c r="O13" i="2"/>
  <c r="O43" i="2"/>
  <c r="P13" i="2"/>
  <c r="P43" i="2"/>
  <c r="Q13" i="2"/>
  <c r="Q43" i="2"/>
  <c r="R13" i="2"/>
  <c r="R43" i="2"/>
  <c r="S13" i="2"/>
  <c r="S43" i="2"/>
  <c r="T13" i="2"/>
  <c r="T43" i="2"/>
  <c r="U13" i="2"/>
  <c r="U43" i="2"/>
  <c r="V13" i="2"/>
  <c r="V43" i="2"/>
  <c r="W13" i="2"/>
  <c r="W43" i="2"/>
  <c r="X13" i="2"/>
  <c r="X43" i="2"/>
  <c r="Y13" i="2"/>
  <c r="Y43" i="2"/>
  <c r="Z13" i="2"/>
  <c r="Z43" i="2"/>
  <c r="AA13" i="2"/>
  <c r="AA43" i="2"/>
  <c r="AB13" i="2"/>
  <c r="AB43" i="2"/>
  <c r="AC13" i="2"/>
  <c r="AC43" i="2"/>
  <c r="AD13" i="2"/>
  <c r="AD43" i="2"/>
  <c r="AE13" i="2"/>
  <c r="AE43" i="2"/>
  <c r="AF13" i="2"/>
  <c r="AF43" i="2"/>
  <c r="AG13" i="2"/>
  <c r="AG43" i="2"/>
  <c r="D26" i="2"/>
  <c r="D55" i="2"/>
  <c r="E26" i="2"/>
  <c r="E55" i="2"/>
  <c r="F26" i="2"/>
  <c r="F55" i="2"/>
  <c r="G26" i="2"/>
  <c r="G55" i="2"/>
  <c r="H26" i="2"/>
  <c r="H55" i="2"/>
  <c r="I26" i="2"/>
  <c r="I55" i="2"/>
  <c r="J26" i="2"/>
  <c r="J55" i="2"/>
  <c r="K26" i="2"/>
  <c r="K55" i="2"/>
  <c r="L26" i="2"/>
  <c r="L55" i="2"/>
  <c r="M26" i="2"/>
  <c r="M55" i="2"/>
  <c r="N26" i="2"/>
  <c r="N55" i="2"/>
  <c r="O26" i="2"/>
  <c r="O55" i="2"/>
  <c r="P26" i="2"/>
  <c r="P55" i="2"/>
  <c r="Q26" i="2"/>
  <c r="Q55" i="2"/>
  <c r="R26" i="2"/>
  <c r="R55" i="2"/>
  <c r="S26" i="2"/>
  <c r="S55" i="2"/>
  <c r="T26" i="2"/>
  <c r="T55" i="2"/>
  <c r="U26" i="2"/>
  <c r="U55" i="2"/>
  <c r="V26" i="2"/>
  <c r="V55" i="2"/>
  <c r="W26" i="2"/>
  <c r="W55" i="2"/>
  <c r="X26" i="2"/>
  <c r="X55" i="2"/>
  <c r="Y26" i="2"/>
  <c r="Y55" i="2"/>
  <c r="Z26" i="2"/>
  <c r="Z55" i="2"/>
  <c r="AA26" i="2"/>
  <c r="AA55" i="2"/>
  <c r="AB26" i="2"/>
  <c r="AB55" i="2"/>
  <c r="AC26" i="2"/>
  <c r="AC55" i="2"/>
  <c r="AD26" i="2"/>
  <c r="AD55" i="2"/>
  <c r="AE26" i="2"/>
  <c r="AE55" i="2"/>
  <c r="AF26" i="2"/>
  <c r="AF55" i="2"/>
  <c r="AG26" i="2"/>
  <c r="AG55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C26" i="2"/>
  <c r="C55" i="2"/>
  <c r="C54" i="2"/>
  <c r="C13" i="2"/>
  <c r="C43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C28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C25" i="2"/>
  <c r="C24" i="2"/>
  <c r="C12" i="2"/>
  <c r="C11" i="2"/>
  <c r="C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AJ88" i="2"/>
  <c r="AI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3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</calcChain>
</file>

<file path=xl/sharedStrings.xml><?xml version="1.0" encoding="utf-8"?>
<sst xmlns="http://schemas.openxmlformats.org/spreadsheetml/2006/main" count="641" uniqueCount="150">
  <si>
    <t>Sample</t>
  </si>
  <si>
    <t>Group</t>
  </si>
  <si>
    <t xml:space="preserve">C10_0 </t>
  </si>
  <si>
    <t xml:space="preserve">Iso-C12_0 </t>
  </si>
  <si>
    <t xml:space="preserve">C12_0 </t>
  </si>
  <si>
    <t xml:space="preserve">Iso-C13_0 </t>
  </si>
  <si>
    <t xml:space="preserve">C13_0 </t>
  </si>
  <si>
    <t xml:space="preserve">Iso-C14_0 </t>
  </si>
  <si>
    <t xml:space="preserve">C14_0 </t>
  </si>
  <si>
    <t xml:space="preserve">Iso-C15_0 </t>
  </si>
  <si>
    <t xml:space="preserve">C15_0 </t>
  </si>
  <si>
    <t xml:space="preserve">Iso-C16_0 </t>
  </si>
  <si>
    <t xml:space="preserve">C16_0 </t>
  </si>
  <si>
    <t xml:space="preserve">Iso-C17_0 </t>
  </si>
  <si>
    <t xml:space="preserve">C16_1 </t>
  </si>
  <si>
    <t xml:space="preserve">C17_0 </t>
  </si>
  <si>
    <t xml:space="preserve">MHA </t>
  </si>
  <si>
    <t xml:space="preserve">C18_0 </t>
  </si>
  <si>
    <t xml:space="preserve">C18_1_1 </t>
  </si>
  <si>
    <t xml:space="preserve">C18_1_2 </t>
  </si>
  <si>
    <t xml:space="preserve">C18_1_3 </t>
  </si>
  <si>
    <t xml:space="preserve">C18_1_4 </t>
  </si>
  <si>
    <t xml:space="preserve">C19_0 </t>
  </si>
  <si>
    <t xml:space="preserve">C18_2 </t>
  </si>
  <si>
    <t xml:space="preserve">DHS </t>
  </si>
  <si>
    <t xml:space="preserve">LBA </t>
  </si>
  <si>
    <t xml:space="preserve">C18_3 </t>
  </si>
  <si>
    <t xml:space="preserve">C20_0 </t>
  </si>
  <si>
    <t xml:space="preserve">C21_0 </t>
  </si>
  <si>
    <t xml:space="preserve">C20_4 </t>
  </si>
  <si>
    <t xml:space="preserve">C22_0 </t>
  </si>
  <si>
    <t xml:space="preserve">C22_1 </t>
  </si>
  <si>
    <t xml:space="preserve">C20_5 </t>
  </si>
  <si>
    <t xml:space="preserve">C24_0 </t>
  </si>
  <si>
    <t xml:space="preserve">C24_1 </t>
  </si>
  <si>
    <t xml:space="preserve">C22_6 </t>
  </si>
  <si>
    <t>pbqc_1</t>
  </si>
  <si>
    <t>PBQC</t>
  </si>
  <si>
    <t>pbqc_2</t>
  </si>
  <si>
    <t>pbqc_3</t>
  </si>
  <si>
    <t>pbqc_4</t>
  </si>
  <si>
    <t>pbqc_5</t>
  </si>
  <si>
    <t>LE_F</t>
  </si>
  <si>
    <t>Norm_Oil_Arm</t>
  </si>
  <si>
    <t>Norm_Oil_Leg</t>
  </si>
  <si>
    <t>LE_Oil-Leg</t>
  </si>
  <si>
    <t>LE_Oil_Arm</t>
  </si>
  <si>
    <t>LE_Oil_Leg</t>
  </si>
  <si>
    <t>LYMPHOEDEMA AT - OIL (n=7)</t>
  </si>
  <si>
    <t>RAW DATA (Area under curve)</t>
  </si>
  <si>
    <t>FattyAcids - ADIPOSE TISSUE OIL</t>
  </si>
  <si>
    <t>Average</t>
  </si>
  <si>
    <t>SD</t>
  </si>
  <si>
    <t>Median</t>
  </si>
  <si>
    <t>(NORMAL  Oil versus LYMPHOEDEMA Oil)</t>
  </si>
  <si>
    <t>T-Test(2-tailed, unparied, no assumptions)</t>
  </si>
  <si>
    <t>FattyAcids - ADIPOSE TISSUE - FAT</t>
  </si>
  <si>
    <t>LYMPHOEDEMA AT - FAT (n=7)</t>
  </si>
  <si>
    <t>Norm_FAT_Arm</t>
  </si>
  <si>
    <t>Norm_FAT_Leg</t>
  </si>
  <si>
    <t>LE_FAT_Arm</t>
  </si>
  <si>
    <t>LE_FAT_Leg</t>
  </si>
  <si>
    <t>NORMAL AT - FAT (n=6)</t>
  </si>
  <si>
    <t xml:space="preserve">Result: 0 Statistically differentially abundant Fatty Acids, comparing Normal to LE (Raw data) </t>
  </si>
  <si>
    <t>Norm_AT-Fat_Arm</t>
  </si>
  <si>
    <t>Norm_AT-Fat_Leg</t>
  </si>
  <si>
    <t>LE_AT-Fat_Arm</t>
  </si>
  <si>
    <t>LE_AT-Fat_Leg</t>
  </si>
  <si>
    <t>LE_AT-Fat-Leg</t>
  </si>
  <si>
    <t>LOG DATA &amp; MEDIAN Calculation (per lipid class)</t>
  </si>
  <si>
    <t>MEDIAN</t>
  </si>
  <si>
    <t>Median-Normalised Log Data(Graphed)</t>
  </si>
  <si>
    <t>ê</t>
  </si>
  <si>
    <t>é</t>
  </si>
  <si>
    <t>Ratio LE/Normal</t>
  </si>
  <si>
    <t>Fatty Acids</t>
  </si>
  <si>
    <t>Branched-chain Fatty Acids</t>
  </si>
  <si>
    <t>MEDIAN-Normlised Log Data (per lipid class)</t>
  </si>
  <si>
    <t>LE/Normal</t>
  </si>
  <si>
    <t>FattyAcids - PLASMA</t>
  </si>
  <si>
    <t xml:space="preserve">C10:0 </t>
  </si>
  <si>
    <t xml:space="preserve">C12:0 </t>
  </si>
  <si>
    <t xml:space="preserve">Iso-C14:0 </t>
  </si>
  <si>
    <t xml:space="preserve">C14:0 </t>
  </si>
  <si>
    <t xml:space="preserve">Iso-C15:0 </t>
  </si>
  <si>
    <t xml:space="preserve">C15:0 </t>
  </si>
  <si>
    <t xml:space="preserve">C16:0 </t>
  </si>
  <si>
    <t xml:space="preserve">Iso-C17:0 </t>
  </si>
  <si>
    <t xml:space="preserve">C16:1 </t>
  </si>
  <si>
    <t xml:space="preserve">C17:0 </t>
  </si>
  <si>
    <t xml:space="preserve">C18:0 </t>
  </si>
  <si>
    <t xml:space="preserve">C18:1_1 </t>
  </si>
  <si>
    <t xml:space="preserve">C18:1_2 </t>
  </si>
  <si>
    <t xml:space="preserve">C18:1_3 </t>
  </si>
  <si>
    <t xml:space="preserve">C18:1_4 </t>
  </si>
  <si>
    <t xml:space="preserve">C19:0 </t>
  </si>
  <si>
    <t xml:space="preserve">C18:2 </t>
  </si>
  <si>
    <t xml:space="preserve">C18:3 </t>
  </si>
  <si>
    <t xml:space="preserve">C20:0 </t>
  </si>
  <si>
    <t xml:space="preserve">C21:0 </t>
  </si>
  <si>
    <t xml:space="preserve">C20:4 </t>
  </si>
  <si>
    <t xml:space="preserve">C22:0 </t>
  </si>
  <si>
    <t xml:space="preserve">C22:1 </t>
  </si>
  <si>
    <t xml:space="preserve">C20:5 </t>
  </si>
  <si>
    <t xml:space="preserve">C23:0 </t>
  </si>
  <si>
    <t xml:space="preserve">C24:0 </t>
  </si>
  <si>
    <t xml:space="preserve">C24:1 </t>
  </si>
  <si>
    <t xml:space="preserve">C22:6 </t>
  </si>
  <si>
    <r>
      <t>NORMAL PLASMA</t>
    </r>
    <r>
      <rPr>
        <b/>
        <sz val="12"/>
        <rFont val="Calibri"/>
        <scheme val="minor"/>
      </rPr>
      <t xml:space="preserve"> (n=7)</t>
    </r>
  </si>
  <si>
    <t>Normal</t>
  </si>
  <si>
    <t>Mean</t>
  </si>
  <si>
    <t>NORMAL PLASMA (n=7)</t>
  </si>
  <si>
    <t>LE - Arm</t>
  </si>
  <si>
    <t>LE - Leg</t>
  </si>
  <si>
    <t>LE</t>
  </si>
  <si>
    <r>
      <t>NORMAL PLASM</t>
    </r>
    <r>
      <rPr>
        <b/>
        <sz val="12"/>
        <rFont val="Calibri"/>
        <scheme val="minor"/>
      </rPr>
      <t>A (n=3)</t>
    </r>
  </si>
  <si>
    <t>NORMAL PLASMA (n=3)</t>
  </si>
  <si>
    <t>T-test Normal v LE, 2-tailed, unpaired, no assumptions</t>
  </si>
  <si>
    <t>No statistically significant differences detected.</t>
  </si>
  <si>
    <t>001N</t>
  </si>
  <si>
    <t>004N</t>
  </si>
  <si>
    <t>00XN</t>
  </si>
  <si>
    <t>XX</t>
  </si>
  <si>
    <t>Graphed Data:</t>
  </si>
  <si>
    <t>004_LE</t>
  </si>
  <si>
    <t>005_LE</t>
  </si>
  <si>
    <t>007_LE</t>
  </si>
  <si>
    <t>009_LE</t>
  </si>
  <si>
    <t>011_LE</t>
  </si>
  <si>
    <t>012_LE</t>
  </si>
  <si>
    <t>013_LE</t>
  </si>
  <si>
    <t>2013_003_LE</t>
  </si>
  <si>
    <t>2013_004_LE</t>
  </si>
  <si>
    <t>2013_005_LE</t>
  </si>
  <si>
    <t>2013_008_LE</t>
  </si>
  <si>
    <t>2013_009_LE</t>
  </si>
  <si>
    <t>2013_011_LE</t>
  </si>
  <si>
    <t>2014_013_LE</t>
  </si>
  <si>
    <t>2014_003_Normal</t>
  </si>
  <si>
    <t>2014_006_Normal</t>
  </si>
  <si>
    <t>2014_007_Normal</t>
  </si>
  <si>
    <t>2014_001_Normal</t>
  </si>
  <si>
    <t>2014_005_Normal</t>
  </si>
  <si>
    <t>NORMAL AT - OIL (n=5)</t>
  </si>
  <si>
    <r>
      <t>NORMAL AT - OIL (n</t>
    </r>
    <r>
      <rPr>
        <b/>
        <sz val="12"/>
        <rFont val="Calibri"/>
        <scheme val="minor"/>
      </rPr>
      <t>=5)</t>
    </r>
  </si>
  <si>
    <t>Sample: INTERNAL CONTROLS</t>
  </si>
  <si>
    <t>LE_FattyAcid (GCMS)_Graphed Data (OIL)</t>
  </si>
  <si>
    <t>LE_FattyAcid (GCMS)_Graphed Data (FAT)</t>
  </si>
  <si>
    <t>2014_002_Normal</t>
  </si>
  <si>
    <r>
      <t>LE</t>
    </r>
    <r>
      <rPr>
        <b/>
        <sz val="12"/>
        <rFont val="Calibri"/>
        <scheme val="minor"/>
      </rPr>
      <t xml:space="preserve"> PLASMA (n=7)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</si>
</sst>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;[Red]0.00"/>
    <numFmt numFmtId="165" formatCode="0.0000;[Red]0.0000"/>
    <numFmt numFmtId="166" formatCode="0.0000"/>
  </numFmts>
  <fonts count="28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name val="Calibri"/>
      <scheme val="minor"/>
    </font>
    <font>
      <b/>
      <sz val="12"/>
      <color rgb="FFFF0000"/>
      <name val="Calibri"/>
      <scheme val="minor"/>
    </font>
    <font>
      <b/>
      <sz val="20"/>
      <color rgb="FF000000"/>
      <name val="Calibri"/>
      <scheme val="minor"/>
    </font>
    <font>
      <b/>
      <sz val="16"/>
      <color theme="0"/>
      <name val="Calibri"/>
      <scheme val="minor"/>
    </font>
    <font>
      <sz val="12"/>
      <color rgb="FFF79646"/>
      <name val="Calibri"/>
      <scheme val="minor"/>
    </font>
    <font>
      <sz val="12"/>
      <color rgb="FF4FAA4C"/>
      <name val="Calibri"/>
      <scheme val="minor"/>
    </font>
    <font>
      <sz val="12"/>
      <name val="Calibri"/>
      <scheme val="minor"/>
    </font>
    <font>
      <b/>
      <sz val="16"/>
      <color theme="1"/>
      <name val="Calibri"/>
      <scheme val="minor"/>
    </font>
    <font>
      <sz val="12"/>
      <color theme="4"/>
      <name val="Calibri"/>
      <scheme val="minor"/>
    </font>
    <font>
      <sz val="12"/>
      <color rgb="FFFF9846"/>
      <name val="Calibri"/>
      <scheme val="minor"/>
    </font>
    <font>
      <sz val="10"/>
      <color rgb="FF0000FF"/>
      <name val="Calibri"/>
      <scheme val="minor"/>
    </font>
    <font>
      <b/>
      <sz val="16"/>
      <name val="Calibri"/>
      <scheme val="minor"/>
    </font>
    <font>
      <sz val="12"/>
      <color theme="0"/>
      <name val="Calibri"/>
      <family val="2"/>
      <scheme val="minor"/>
    </font>
    <font>
      <sz val="12"/>
      <color theme="9"/>
      <name val="Calibri"/>
      <scheme val="minor"/>
    </font>
    <font>
      <b/>
      <sz val="16"/>
      <color rgb="FFFF0000"/>
      <name val="Calibri"/>
      <scheme val="minor"/>
    </font>
    <font>
      <sz val="12"/>
      <color theme="1"/>
      <name val="Wingdings"/>
    </font>
    <font>
      <sz val="12"/>
      <color rgb="FFFF0000"/>
      <name val="Wingdings"/>
      <family val="2"/>
    </font>
    <font>
      <sz val="12"/>
      <color rgb="FF4F81BD"/>
      <name val="Calibri"/>
      <scheme val="minor"/>
    </font>
    <font>
      <sz val="12"/>
      <color theme="6"/>
      <name val="Calibri"/>
      <scheme val="minor"/>
    </font>
    <font>
      <sz val="12"/>
      <color rgb="FF9BBB59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ABF8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80"/>
        <bgColor rgb="FF000000"/>
      </patternFill>
    </fill>
    <fill>
      <patternFill patternType="solid">
        <fgColor rgb="FFFFC080"/>
        <bgColor indexed="64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3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6">
    <xf numFmtId="0" fontId="0" fillId="0" borderId="0" xfId="0"/>
    <xf numFmtId="0" fontId="1" fillId="0" borderId="0" xfId="0" applyFont="1"/>
    <xf numFmtId="0" fontId="5" fillId="0" borderId="0" xfId="0" applyFont="1"/>
    <xf numFmtId="0" fontId="8" fillId="2" borderId="1" xfId="0" applyFont="1" applyFill="1" applyBorder="1"/>
    <xf numFmtId="0" fontId="10" fillId="0" borderId="0" xfId="0" applyFont="1" applyAlignment="1">
      <alignment horizontal="left" vertical="top"/>
    </xf>
    <xf numFmtId="0" fontId="11" fillId="4" borderId="0" xfId="0" applyFont="1" applyFill="1" applyAlignment="1">
      <alignment horizontal="left" vertical="top"/>
    </xf>
    <xf numFmtId="0" fontId="5" fillId="4" borderId="0" xfId="0" applyFont="1" applyFill="1"/>
    <xf numFmtId="0" fontId="0" fillId="0" borderId="0" xfId="0" applyFill="1"/>
    <xf numFmtId="164" fontId="0" fillId="0" borderId="0" xfId="0" applyNumberFormat="1"/>
    <xf numFmtId="0" fontId="2" fillId="0" borderId="0" xfId="0" applyFont="1"/>
    <xf numFmtId="2" fontId="0" fillId="0" borderId="0" xfId="0" applyNumberFormat="1"/>
    <xf numFmtId="0" fontId="12" fillId="0" borderId="0" xfId="0" applyFont="1"/>
    <xf numFmtId="0" fontId="13" fillId="0" borderId="0" xfId="0" applyFont="1"/>
    <xf numFmtId="0" fontId="14" fillId="0" borderId="1" xfId="0" applyFont="1" applyBorder="1" applyAlignment="1">
      <alignment horizontal="right"/>
    </xf>
    <xf numFmtId="0" fontId="5" fillId="0" borderId="1" xfId="0" applyFont="1" applyBorder="1"/>
    <xf numFmtId="165" fontId="0" fillId="0" borderId="0" xfId="0" applyNumberFormat="1"/>
    <xf numFmtId="165" fontId="0" fillId="0" borderId="1" xfId="0" applyNumberFormat="1" applyBorder="1"/>
    <xf numFmtId="165" fontId="1" fillId="0" borderId="1" xfId="0" applyNumberFormat="1" applyFont="1" applyBorder="1"/>
    <xf numFmtId="0" fontId="0" fillId="3" borderId="0" xfId="0" applyFill="1"/>
    <xf numFmtId="0" fontId="6" fillId="0" borderId="0" xfId="0" applyFont="1"/>
    <xf numFmtId="0" fontId="0" fillId="0" borderId="0" xfId="0" applyAlignment="1">
      <alignment textRotation="45"/>
    </xf>
    <xf numFmtId="0" fontId="15" fillId="0" borderId="0" xfId="0" applyFont="1" applyFill="1"/>
    <xf numFmtId="0" fontId="16" fillId="0" borderId="0" xfId="0" applyFont="1"/>
    <xf numFmtId="0" fontId="11" fillId="4" borderId="0" xfId="0" applyFont="1" applyFill="1"/>
    <xf numFmtId="0" fontId="17" fillId="0" borderId="0" xfId="0" applyFont="1"/>
    <xf numFmtId="0" fontId="18" fillId="6" borderId="3" xfId="0" applyFont="1" applyFill="1" applyBorder="1"/>
    <xf numFmtId="0" fontId="8" fillId="7" borderId="1" xfId="0" applyFont="1" applyFill="1" applyBorder="1"/>
    <xf numFmtId="0" fontId="5" fillId="8" borderId="3" xfId="0" applyFont="1" applyFill="1" applyBorder="1"/>
    <xf numFmtId="0" fontId="2" fillId="5" borderId="2" xfId="0" applyFont="1" applyFill="1" applyBorder="1"/>
    <xf numFmtId="166" fontId="0" fillId="0" borderId="0" xfId="0" applyNumberFormat="1"/>
    <xf numFmtId="165" fontId="14" fillId="0" borderId="1" xfId="0" applyNumberFormat="1" applyFont="1" applyBorder="1"/>
    <xf numFmtId="0" fontId="19" fillId="3" borderId="0" xfId="0" applyFont="1" applyFill="1"/>
    <xf numFmtId="0" fontId="6" fillId="9" borderId="2" xfId="0" applyFont="1" applyFill="1" applyBorder="1"/>
    <xf numFmtId="0" fontId="7" fillId="10" borderId="3" xfId="0" applyFont="1" applyFill="1" applyBorder="1"/>
    <xf numFmtId="0" fontId="1" fillId="0" borderId="1" xfId="0" applyFont="1" applyBorder="1"/>
    <xf numFmtId="0" fontId="21" fillId="0" borderId="0" xfId="0" applyFont="1"/>
    <xf numFmtId="0" fontId="22" fillId="0" borderId="0" xfId="0" applyFont="1"/>
    <xf numFmtId="0" fontId="14" fillId="0" borderId="0" xfId="0" applyFont="1"/>
    <xf numFmtId="0" fontId="0" fillId="0" borderId="4" xfId="0" applyBorder="1"/>
    <xf numFmtId="0" fontId="0" fillId="0" borderId="0" xfId="0" applyBorder="1"/>
    <xf numFmtId="0" fontId="14" fillId="0" borderId="4" xfId="0" applyFont="1" applyBorder="1"/>
    <xf numFmtId="0" fontId="14" fillId="0" borderId="0" xfId="0" applyFont="1" applyBorder="1"/>
    <xf numFmtId="0" fontId="0" fillId="0" borderId="6" xfId="0" applyBorder="1"/>
    <xf numFmtId="0" fontId="23" fillId="0" borderId="0" xfId="0" applyFont="1"/>
    <xf numFmtId="0" fontId="24" fillId="0" borderId="0" xfId="0" applyFont="1" applyAlignment="1">
      <alignment horizontal="right"/>
    </xf>
    <xf numFmtId="0" fontId="6" fillId="0" borderId="1" xfId="0" applyFont="1" applyBorder="1"/>
    <xf numFmtId="0" fontId="25" fillId="0" borderId="0" xfId="0" applyFont="1"/>
    <xf numFmtId="2" fontId="5" fillId="0" borderId="0" xfId="0" applyNumberFormat="1" applyFont="1"/>
    <xf numFmtId="164" fontId="5" fillId="0" borderId="0" xfId="0" applyNumberFormat="1" applyFont="1"/>
    <xf numFmtId="165" fontId="5" fillId="0" borderId="1" xfId="0" applyNumberFormat="1" applyFont="1" applyBorder="1"/>
    <xf numFmtId="0" fontId="5" fillId="0" borderId="0" xfId="0" applyFont="1" applyAlignment="1">
      <alignment textRotation="45"/>
    </xf>
    <xf numFmtId="165" fontId="5" fillId="0" borderId="0" xfId="0" applyNumberFormat="1" applyFont="1"/>
    <xf numFmtId="0" fontId="5" fillId="0" borderId="4" xfId="0" applyFont="1" applyBorder="1"/>
    <xf numFmtId="0" fontId="14" fillId="0" borderId="0" xfId="0" applyFont="1" applyAlignment="1">
      <alignment textRotation="90"/>
    </xf>
    <xf numFmtId="0" fontId="0" fillId="0" borderId="0" xfId="0" applyAlignment="1">
      <alignment textRotation="90"/>
    </xf>
    <xf numFmtId="0" fontId="5" fillId="0" borderId="0" xfId="0" applyFont="1" applyAlignment="1">
      <alignment textRotation="90"/>
    </xf>
    <xf numFmtId="0" fontId="21" fillId="4" borderId="0" xfId="0" applyFont="1" applyFill="1" applyAlignment="1">
      <alignment textRotation="90"/>
    </xf>
    <xf numFmtId="0" fontId="14" fillId="0" borderId="2" xfId="0" applyFont="1" applyBorder="1" applyAlignment="1">
      <alignment textRotation="90"/>
    </xf>
    <xf numFmtId="0" fontId="14" fillId="0" borderId="7" xfId="0" applyFont="1" applyBorder="1" applyAlignment="1">
      <alignment textRotation="90"/>
    </xf>
    <xf numFmtId="0" fontId="14" fillId="0" borderId="3" xfId="0" applyFont="1" applyBorder="1" applyAlignment="1">
      <alignment textRotation="90"/>
    </xf>
    <xf numFmtId="0" fontId="5" fillId="0" borderId="2" xfId="0" applyFont="1" applyBorder="1"/>
    <xf numFmtId="0" fontId="0" fillId="0" borderId="7" xfId="0" applyBorder="1"/>
    <xf numFmtId="0" fontId="0" fillId="0" borderId="3" xfId="0" applyBorder="1"/>
    <xf numFmtId="0" fontId="0" fillId="0" borderId="2" xfId="0" applyBorder="1"/>
    <xf numFmtId="0" fontId="20" fillId="4" borderId="0" xfId="0" applyFont="1" applyFill="1" applyAlignment="1">
      <alignment textRotation="90"/>
    </xf>
    <xf numFmtId="165" fontId="8" fillId="0" borderId="0" xfId="0" applyNumberFormat="1" applyFont="1"/>
    <xf numFmtId="0" fontId="21" fillId="0" borderId="1" xfId="0" applyFont="1" applyBorder="1"/>
    <xf numFmtId="0" fontId="1" fillId="0" borderId="0" xfId="0" applyFont="1" applyAlignment="1">
      <alignment textRotation="90"/>
    </xf>
    <xf numFmtId="166" fontId="1" fillId="0" borderId="0" xfId="0" applyNumberFormat="1" applyFont="1"/>
    <xf numFmtId="166" fontId="14" fillId="0" borderId="0" xfId="0" applyNumberFormat="1" applyFont="1"/>
    <xf numFmtId="166" fontId="1" fillId="0" borderId="4" xfId="0" applyNumberFormat="1" applyFont="1" applyBorder="1"/>
    <xf numFmtId="166" fontId="14" fillId="0" borderId="4" xfId="0" applyNumberFormat="1" applyFont="1" applyBorder="1"/>
    <xf numFmtId="166" fontId="0" fillId="0" borderId="4" xfId="0" applyNumberFormat="1" applyBorder="1"/>
    <xf numFmtId="166" fontId="1" fillId="0" borderId="5" xfId="0" applyNumberFormat="1" applyFont="1" applyBorder="1"/>
    <xf numFmtId="166" fontId="14" fillId="0" borderId="5" xfId="0" applyNumberFormat="1" applyFont="1" applyBorder="1"/>
    <xf numFmtId="165" fontId="21" fillId="0" borderId="1" xfId="0" applyNumberFormat="1" applyFont="1" applyBorder="1"/>
    <xf numFmtId="0" fontId="1" fillId="0" borderId="1" xfId="0" applyFont="1" applyBorder="1" applyAlignment="1">
      <alignment textRotation="90"/>
    </xf>
    <xf numFmtId="0" fontId="0" fillId="0" borderId="1" xfId="0" applyBorder="1" applyAlignment="1">
      <alignment textRotation="90"/>
    </xf>
    <xf numFmtId="0" fontId="14" fillId="0" borderId="1" xfId="0" applyFont="1" applyBorder="1" applyAlignment="1">
      <alignment textRotation="90"/>
    </xf>
    <xf numFmtId="0" fontId="0" fillId="0" borderId="1" xfId="0" applyBorder="1"/>
    <xf numFmtId="0" fontId="8" fillId="5" borderId="2" xfId="0" applyFont="1" applyFill="1" applyBorder="1"/>
    <xf numFmtId="0" fontId="26" fillId="0" borderId="0" xfId="0" applyFont="1"/>
    <xf numFmtId="0" fontId="26" fillId="0" borderId="1" xfId="0" applyFont="1" applyBorder="1"/>
    <xf numFmtId="0" fontId="0" fillId="4" borderId="0" xfId="0" applyFill="1"/>
    <xf numFmtId="0" fontId="14" fillId="0" borderId="0" xfId="0" applyFont="1" applyFill="1" applyBorder="1"/>
    <xf numFmtId="166" fontId="0" fillId="0" borderId="0" xfId="0" applyNumberFormat="1" applyBorder="1"/>
    <xf numFmtId="0" fontId="16" fillId="0" borderId="0" xfId="0" applyFont="1" applyFill="1" applyBorder="1"/>
    <xf numFmtId="165" fontId="0" fillId="0" borderId="4" xfId="0" applyNumberFormat="1" applyBorder="1"/>
    <xf numFmtId="165" fontId="0" fillId="0" borderId="0" xfId="0" applyNumberFormat="1" applyBorder="1"/>
    <xf numFmtId="165" fontId="0" fillId="0" borderId="7" xfId="0" applyNumberFormat="1" applyBorder="1"/>
    <xf numFmtId="165" fontId="0" fillId="0" borderId="3" xfId="0" applyNumberFormat="1" applyBorder="1"/>
    <xf numFmtId="164" fontId="0" fillId="0" borderId="4" xfId="0" applyNumberFormat="1" applyBorder="1"/>
    <xf numFmtId="164" fontId="0" fillId="0" borderId="0" xfId="0" applyNumberFormat="1" applyBorder="1"/>
    <xf numFmtId="0" fontId="16" fillId="0" borderId="1" xfId="0" applyFont="1" applyBorder="1"/>
    <xf numFmtId="0" fontId="16" fillId="0" borderId="8" xfId="0" applyFont="1" applyBorder="1"/>
    <xf numFmtId="0" fontId="2" fillId="5" borderId="5" xfId="0" applyFont="1" applyFill="1" applyBorder="1"/>
    <xf numFmtId="0" fontId="18" fillId="6" borderId="9" xfId="0" applyFont="1" applyFill="1" applyBorder="1"/>
    <xf numFmtId="0" fontId="20" fillId="4" borderId="1" xfId="0" applyFont="1" applyFill="1" applyBorder="1" applyAlignment="1">
      <alignment textRotation="90"/>
    </xf>
    <xf numFmtId="0" fontId="26" fillId="0" borderId="8" xfId="0" applyFont="1" applyBorder="1"/>
    <xf numFmtId="0" fontId="26" fillId="0" borderId="4" xfId="0" applyFont="1" applyBorder="1"/>
    <xf numFmtId="0" fontId="1" fillId="11" borderId="0" xfId="0" applyFont="1" applyFill="1"/>
    <xf numFmtId="0" fontId="9" fillId="0" borderId="0" xfId="0" applyFont="1"/>
    <xf numFmtId="0" fontId="27" fillId="0" borderId="0" xfId="0" applyFont="1"/>
    <xf numFmtId="0" fontId="15" fillId="11" borderId="0" xfId="0" applyFont="1" applyFill="1"/>
    <xf numFmtId="0" fontId="0" fillId="11" borderId="0" xfId="0" applyFill="1"/>
    <xf numFmtId="0" fontId="5" fillId="0" borderId="0" xfId="0" applyFont="1" applyFill="1"/>
  </cellXfs>
  <cellStyles count="7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9"/>
  <sheetViews>
    <sheetView tabSelected="1" topLeftCell="A82" workbookViewId="0">
      <selection activeCell="B87" sqref="B87"/>
    </sheetView>
  </sheetViews>
  <sheetFormatPr baseColWidth="10" defaultRowHeight="15" x14ac:dyDescent="0"/>
  <cols>
    <col min="1" max="1" width="37.6640625" customWidth="1"/>
    <col min="2" max="2" width="20.6640625" customWidth="1"/>
    <col min="19" max="19" width="11.83203125" bestFit="1" customWidth="1"/>
  </cols>
  <sheetData>
    <row r="1" spans="1:36" ht="25">
      <c r="A1" s="4" t="s">
        <v>50</v>
      </c>
      <c r="B1" s="2"/>
      <c r="AH1" s="2"/>
    </row>
    <row r="2" spans="1:36" ht="25">
      <c r="A2" s="4"/>
      <c r="B2" s="2"/>
      <c r="AH2" s="2"/>
    </row>
    <row r="3" spans="1:36" ht="20">
      <c r="A3" s="5" t="s">
        <v>49</v>
      </c>
      <c r="B3" s="6"/>
      <c r="C3" s="63" t="s">
        <v>75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2"/>
      <c r="AH3" s="60" t="s">
        <v>76</v>
      </c>
      <c r="AI3" s="61"/>
      <c r="AJ3" s="62"/>
    </row>
    <row r="4" spans="1:36" s="53" customFormat="1" ht="52" customHeight="1">
      <c r="A4" s="53" t="s">
        <v>0</v>
      </c>
      <c r="B4" s="57" t="s">
        <v>1</v>
      </c>
      <c r="C4" s="58" t="s">
        <v>2</v>
      </c>
      <c r="D4" s="58" t="s">
        <v>3</v>
      </c>
      <c r="E4" s="58" t="s">
        <v>4</v>
      </c>
      <c r="F4" s="58" t="s">
        <v>5</v>
      </c>
      <c r="G4" s="58" t="s">
        <v>6</v>
      </c>
      <c r="H4" s="58" t="s">
        <v>7</v>
      </c>
      <c r="I4" s="58" t="s">
        <v>8</v>
      </c>
      <c r="J4" s="58" t="s">
        <v>9</v>
      </c>
      <c r="K4" s="58" t="s">
        <v>10</v>
      </c>
      <c r="L4" s="58" t="s">
        <v>11</v>
      </c>
      <c r="M4" s="58" t="s">
        <v>12</v>
      </c>
      <c r="N4" s="58" t="s">
        <v>13</v>
      </c>
      <c r="O4" s="58" t="s">
        <v>14</v>
      </c>
      <c r="P4" s="58" t="s">
        <v>15</v>
      </c>
      <c r="Q4" s="58" t="s">
        <v>17</v>
      </c>
      <c r="R4" s="58" t="s">
        <v>18</v>
      </c>
      <c r="S4" s="58" t="s">
        <v>19</v>
      </c>
      <c r="T4" s="58" t="s">
        <v>20</v>
      </c>
      <c r="U4" s="58" t="s">
        <v>21</v>
      </c>
      <c r="V4" s="58" t="s">
        <v>22</v>
      </c>
      <c r="W4" s="58" t="s">
        <v>23</v>
      </c>
      <c r="X4" s="58" t="s">
        <v>26</v>
      </c>
      <c r="Y4" s="58" t="s">
        <v>27</v>
      </c>
      <c r="Z4" s="58" t="s">
        <v>28</v>
      </c>
      <c r="AA4" s="58" t="s">
        <v>29</v>
      </c>
      <c r="AB4" s="58" t="s">
        <v>30</v>
      </c>
      <c r="AC4" s="58" t="s">
        <v>31</v>
      </c>
      <c r="AD4" s="58" t="s">
        <v>32</v>
      </c>
      <c r="AE4" s="58" t="s">
        <v>33</v>
      </c>
      <c r="AF4" s="58" t="s">
        <v>34</v>
      </c>
      <c r="AG4" s="58" t="s">
        <v>35</v>
      </c>
      <c r="AH4" s="58" t="s">
        <v>16</v>
      </c>
      <c r="AI4" s="58" t="s">
        <v>24</v>
      </c>
      <c r="AJ4" s="59" t="s">
        <v>25</v>
      </c>
    </row>
    <row r="5" spans="1:36">
      <c r="A5" s="32" t="s">
        <v>144</v>
      </c>
      <c r="B5" s="3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spans="1:36">
      <c r="A6" s="2" t="s">
        <v>138</v>
      </c>
      <c r="B6" s="2" t="s">
        <v>43</v>
      </c>
      <c r="C6" s="22">
        <v>62941</v>
      </c>
      <c r="D6" s="22">
        <v>390</v>
      </c>
      <c r="E6" s="22">
        <v>577560</v>
      </c>
      <c r="F6" s="22">
        <v>665</v>
      </c>
      <c r="G6" s="22">
        <v>2219</v>
      </c>
      <c r="H6" s="22">
        <v>16708</v>
      </c>
      <c r="I6" s="22">
        <v>778373</v>
      </c>
      <c r="J6" s="22">
        <v>39520</v>
      </c>
      <c r="K6" s="22">
        <v>360448</v>
      </c>
      <c r="L6" s="22">
        <v>8196</v>
      </c>
      <c r="M6" s="22">
        <v>2712634</v>
      </c>
      <c r="N6" s="22">
        <v>16845</v>
      </c>
      <c r="O6" s="22">
        <v>83831</v>
      </c>
      <c r="P6" s="22">
        <v>251200</v>
      </c>
      <c r="Q6" s="22">
        <v>1063906</v>
      </c>
      <c r="R6" s="22">
        <v>4822079</v>
      </c>
      <c r="S6" s="22">
        <v>10429943</v>
      </c>
      <c r="T6" s="22">
        <v>4761516</v>
      </c>
      <c r="U6" s="22">
        <v>4765724</v>
      </c>
      <c r="V6" s="22">
        <v>24986</v>
      </c>
      <c r="W6" s="22">
        <v>604416</v>
      </c>
      <c r="X6" s="22">
        <v>426957</v>
      </c>
      <c r="Y6" s="22">
        <v>127187</v>
      </c>
      <c r="Z6" s="22">
        <v>1391</v>
      </c>
      <c r="AA6" s="22">
        <v>46559</v>
      </c>
      <c r="AB6" s="22">
        <v>12377</v>
      </c>
      <c r="AC6" s="22">
        <v>8799</v>
      </c>
      <c r="AD6" s="22">
        <v>12304</v>
      </c>
      <c r="AE6" s="22">
        <v>3695</v>
      </c>
      <c r="AF6" s="22">
        <v>2106</v>
      </c>
      <c r="AG6" s="22">
        <v>21785</v>
      </c>
      <c r="AH6" s="46">
        <v>26379</v>
      </c>
      <c r="AI6" s="22">
        <v>41693</v>
      </c>
      <c r="AJ6" s="22">
        <v>7687</v>
      </c>
    </row>
    <row r="7" spans="1:36">
      <c r="A7" s="2" t="s">
        <v>139</v>
      </c>
      <c r="B7" s="2" t="s">
        <v>43</v>
      </c>
      <c r="C7" s="22">
        <v>109968</v>
      </c>
      <c r="D7" s="22">
        <v>696</v>
      </c>
      <c r="E7" s="22">
        <v>582679</v>
      </c>
      <c r="F7" s="22">
        <v>709</v>
      </c>
      <c r="G7" s="22">
        <v>2453</v>
      </c>
      <c r="H7" s="22">
        <v>19937</v>
      </c>
      <c r="I7" s="22">
        <v>836334</v>
      </c>
      <c r="J7" s="22">
        <v>52069</v>
      </c>
      <c r="K7" s="22">
        <v>423492</v>
      </c>
      <c r="L7" s="22">
        <v>10381</v>
      </c>
      <c r="M7" s="22">
        <v>2979470</v>
      </c>
      <c r="N7" s="22">
        <v>21226</v>
      </c>
      <c r="O7" s="22">
        <v>126622</v>
      </c>
      <c r="P7" s="22">
        <v>291701</v>
      </c>
      <c r="Q7" s="22">
        <v>976106</v>
      </c>
      <c r="R7" s="22">
        <v>5461889</v>
      </c>
      <c r="S7" s="22">
        <v>11708938</v>
      </c>
      <c r="T7" s="22">
        <v>5381652</v>
      </c>
      <c r="U7" s="22">
        <v>5383307</v>
      </c>
      <c r="V7" s="22">
        <v>30858</v>
      </c>
      <c r="W7" s="22">
        <v>627186</v>
      </c>
      <c r="X7" s="22">
        <v>538537</v>
      </c>
      <c r="Y7" s="22">
        <v>125488</v>
      </c>
      <c r="Z7" s="22">
        <v>1770</v>
      </c>
      <c r="AA7" s="22">
        <v>78513</v>
      </c>
      <c r="AB7" s="22">
        <v>28891</v>
      </c>
      <c r="AC7" s="22">
        <v>13379</v>
      </c>
      <c r="AD7" s="22">
        <v>19958</v>
      </c>
      <c r="AE7" s="22">
        <v>3925</v>
      </c>
      <c r="AF7" s="22">
        <v>2171</v>
      </c>
      <c r="AG7" s="22">
        <v>34214</v>
      </c>
      <c r="AH7" s="46">
        <v>37286</v>
      </c>
      <c r="AI7" s="22">
        <v>50762</v>
      </c>
      <c r="AJ7" s="22">
        <v>10699</v>
      </c>
    </row>
    <row r="8" spans="1:36">
      <c r="A8" s="2" t="s">
        <v>140</v>
      </c>
      <c r="B8" s="2" t="s">
        <v>43</v>
      </c>
      <c r="C8" s="22">
        <v>14734</v>
      </c>
      <c r="D8" s="22">
        <v>267</v>
      </c>
      <c r="E8" s="22">
        <v>427838</v>
      </c>
      <c r="F8" s="1">
        <v>1</v>
      </c>
      <c r="G8" s="22">
        <v>904</v>
      </c>
      <c r="H8" s="22">
        <v>4945</v>
      </c>
      <c r="I8" s="22">
        <v>528234</v>
      </c>
      <c r="J8" s="22">
        <v>12602</v>
      </c>
      <c r="K8" s="22">
        <v>112648</v>
      </c>
      <c r="L8" s="22">
        <v>3129</v>
      </c>
      <c r="M8" s="22">
        <v>1135165</v>
      </c>
      <c r="N8" s="22">
        <v>5698</v>
      </c>
      <c r="O8" s="22">
        <v>37651</v>
      </c>
      <c r="P8" s="22">
        <v>87305</v>
      </c>
      <c r="Q8" s="22">
        <v>383208</v>
      </c>
      <c r="R8" s="22">
        <v>2824991</v>
      </c>
      <c r="S8" s="22">
        <v>6222701</v>
      </c>
      <c r="T8" s="22">
        <v>2812591</v>
      </c>
      <c r="U8" s="22">
        <v>2782403</v>
      </c>
      <c r="V8" s="22">
        <v>294068</v>
      </c>
      <c r="W8" s="22">
        <v>415654</v>
      </c>
      <c r="X8" s="22">
        <v>267797</v>
      </c>
      <c r="Y8" s="22">
        <v>43307</v>
      </c>
      <c r="Z8" s="22">
        <v>738</v>
      </c>
      <c r="AA8" s="22">
        <v>23316</v>
      </c>
      <c r="AB8" s="22">
        <v>6718</v>
      </c>
      <c r="AC8" s="22">
        <v>5991</v>
      </c>
      <c r="AD8" s="22">
        <v>8477</v>
      </c>
      <c r="AE8" s="22">
        <v>2201</v>
      </c>
      <c r="AF8" s="22">
        <v>922</v>
      </c>
      <c r="AG8" s="22">
        <v>28880</v>
      </c>
      <c r="AH8" s="46">
        <v>12634</v>
      </c>
      <c r="AI8" s="22">
        <v>15139</v>
      </c>
      <c r="AJ8" s="22">
        <v>3226</v>
      </c>
    </row>
    <row r="9" spans="1:36">
      <c r="A9" s="2" t="s">
        <v>141</v>
      </c>
      <c r="B9" s="2" t="s">
        <v>44</v>
      </c>
      <c r="C9" s="22">
        <v>51558</v>
      </c>
      <c r="D9" s="22">
        <v>1</v>
      </c>
      <c r="E9" s="22">
        <v>1439219</v>
      </c>
      <c r="F9" s="22">
        <v>565</v>
      </c>
      <c r="G9" s="22">
        <v>2608</v>
      </c>
      <c r="H9" s="22">
        <v>16228</v>
      </c>
      <c r="I9" s="22">
        <v>1087511</v>
      </c>
      <c r="J9" s="22">
        <v>38170</v>
      </c>
      <c r="K9" s="22">
        <v>426777</v>
      </c>
      <c r="L9" s="22">
        <v>10618</v>
      </c>
      <c r="M9" s="22">
        <v>3049310</v>
      </c>
      <c r="N9" s="22">
        <v>17056</v>
      </c>
      <c r="O9" s="22">
        <v>85962</v>
      </c>
      <c r="P9" s="22">
        <v>261637</v>
      </c>
      <c r="Q9" s="22">
        <v>978349</v>
      </c>
      <c r="R9" s="22">
        <v>5376121</v>
      </c>
      <c r="S9" s="22">
        <v>11178836</v>
      </c>
      <c r="T9" s="22">
        <v>5332210</v>
      </c>
      <c r="U9" s="22">
        <v>5298007</v>
      </c>
      <c r="V9" s="22">
        <v>578123</v>
      </c>
      <c r="W9" s="22">
        <v>822298</v>
      </c>
      <c r="X9" s="22">
        <v>449114</v>
      </c>
      <c r="Y9" s="22">
        <v>101856</v>
      </c>
      <c r="Z9" s="22">
        <v>1367</v>
      </c>
      <c r="AA9" s="22">
        <v>86548</v>
      </c>
      <c r="AB9" s="22">
        <v>11820</v>
      </c>
      <c r="AC9" s="22">
        <v>26433</v>
      </c>
      <c r="AD9" s="22">
        <v>20836</v>
      </c>
      <c r="AE9" s="22">
        <v>3459</v>
      </c>
      <c r="AF9" s="22">
        <v>1773</v>
      </c>
      <c r="AG9" s="22">
        <v>44015</v>
      </c>
      <c r="AH9" s="46">
        <v>29265</v>
      </c>
      <c r="AI9" s="22">
        <v>40120</v>
      </c>
      <c r="AJ9" s="22">
        <v>4203</v>
      </c>
    </row>
    <row r="10" spans="1:36">
      <c r="A10" s="2" t="s">
        <v>142</v>
      </c>
      <c r="B10" s="2" t="s">
        <v>44</v>
      </c>
      <c r="C10" s="22">
        <v>130689</v>
      </c>
      <c r="D10" s="22">
        <v>357</v>
      </c>
      <c r="E10" s="22">
        <v>665510</v>
      </c>
      <c r="F10" s="22">
        <v>974</v>
      </c>
      <c r="G10" s="22">
        <v>2963</v>
      </c>
      <c r="H10" s="22">
        <v>28521</v>
      </c>
      <c r="I10" s="22">
        <v>858223</v>
      </c>
      <c r="J10" s="22">
        <v>71564</v>
      </c>
      <c r="K10" s="22">
        <v>592812</v>
      </c>
      <c r="L10" s="22">
        <v>13589</v>
      </c>
      <c r="M10" s="22">
        <v>3712119</v>
      </c>
      <c r="N10" s="22">
        <v>27864</v>
      </c>
      <c r="O10" s="22">
        <v>194061</v>
      </c>
      <c r="P10" s="22">
        <v>330157</v>
      </c>
      <c r="Q10" s="22">
        <v>919609</v>
      </c>
      <c r="R10" s="22">
        <v>7190016</v>
      </c>
      <c r="S10" s="22">
        <v>14945429</v>
      </c>
      <c r="T10" s="22">
        <v>7045809</v>
      </c>
      <c r="U10" s="22">
        <v>7027982</v>
      </c>
      <c r="V10" s="22">
        <v>646598</v>
      </c>
      <c r="W10" s="22">
        <v>825199</v>
      </c>
      <c r="X10" s="22">
        <v>729866</v>
      </c>
      <c r="Y10" s="22">
        <v>123976</v>
      </c>
      <c r="Z10" s="22">
        <v>2082</v>
      </c>
      <c r="AA10" s="22">
        <v>97546</v>
      </c>
      <c r="AB10" s="22">
        <v>30107</v>
      </c>
      <c r="AC10" s="22">
        <v>19829</v>
      </c>
      <c r="AD10" s="22">
        <v>29006</v>
      </c>
      <c r="AE10" s="22">
        <v>4904</v>
      </c>
      <c r="AF10" s="22">
        <v>2542</v>
      </c>
      <c r="AG10" s="22">
        <v>45416</v>
      </c>
      <c r="AH10" s="46">
        <v>55145</v>
      </c>
      <c r="AI10" s="22">
        <v>67293</v>
      </c>
      <c r="AJ10" s="22">
        <v>11169</v>
      </c>
    </row>
    <row r="11" spans="1:36">
      <c r="B11" s="9" t="s">
        <v>51</v>
      </c>
      <c r="C11" s="10">
        <f t="shared" ref="C11:S11" si="0">AVERAGE(C6:C10)</f>
        <v>73978</v>
      </c>
      <c r="D11" s="10">
        <f t="shared" si="0"/>
        <v>342.2</v>
      </c>
      <c r="E11" s="10">
        <f t="shared" si="0"/>
        <v>738561.2</v>
      </c>
      <c r="F11" s="10">
        <f t="shared" si="0"/>
        <v>582.79999999999995</v>
      </c>
      <c r="G11" s="10">
        <f t="shared" si="0"/>
        <v>2229.4</v>
      </c>
      <c r="H11" s="10">
        <f t="shared" si="0"/>
        <v>17267.8</v>
      </c>
      <c r="I11" s="10">
        <f t="shared" si="0"/>
        <v>817735</v>
      </c>
      <c r="J11" s="10">
        <f t="shared" si="0"/>
        <v>42785</v>
      </c>
      <c r="K11" s="10">
        <f t="shared" si="0"/>
        <v>383235.4</v>
      </c>
      <c r="L11" s="10">
        <f t="shared" si="0"/>
        <v>9182.6</v>
      </c>
      <c r="M11" s="10">
        <f t="shared" si="0"/>
        <v>2717739.6</v>
      </c>
      <c r="N11" s="10">
        <f t="shared" si="0"/>
        <v>17737.8</v>
      </c>
      <c r="O11" s="10">
        <f t="shared" si="0"/>
        <v>105625.4</v>
      </c>
      <c r="P11" s="10">
        <f t="shared" si="0"/>
        <v>244400</v>
      </c>
      <c r="Q11" s="10">
        <f t="shared" si="0"/>
        <v>864235.6</v>
      </c>
      <c r="R11" s="10">
        <f t="shared" si="0"/>
        <v>5135019.2</v>
      </c>
      <c r="S11" s="8">
        <f t="shared" si="0"/>
        <v>10897169.4</v>
      </c>
      <c r="T11" s="8">
        <f t="shared" ref="T11:AJ11" si="1">AVERAGE(T6:T10)</f>
        <v>5066755.5999999996</v>
      </c>
      <c r="U11" s="8">
        <f t="shared" si="1"/>
        <v>5051484.5999999996</v>
      </c>
      <c r="V11" s="8">
        <f t="shared" si="1"/>
        <v>314926.59999999998</v>
      </c>
      <c r="W11" s="8">
        <f t="shared" si="1"/>
        <v>658950.6</v>
      </c>
      <c r="X11" s="8">
        <f t="shared" si="1"/>
        <v>482454.2</v>
      </c>
      <c r="Y11" s="8">
        <f t="shared" si="1"/>
        <v>104362.8</v>
      </c>
      <c r="Z11" s="8">
        <f t="shared" si="1"/>
        <v>1469.6</v>
      </c>
      <c r="AA11" s="8">
        <f t="shared" si="1"/>
        <v>66496.399999999994</v>
      </c>
      <c r="AB11" s="8">
        <f t="shared" si="1"/>
        <v>17982.599999999999</v>
      </c>
      <c r="AC11" s="8">
        <f t="shared" si="1"/>
        <v>14886.2</v>
      </c>
      <c r="AD11" s="8">
        <f t="shared" si="1"/>
        <v>18116.2</v>
      </c>
      <c r="AE11" s="8">
        <f t="shared" si="1"/>
        <v>3636.8</v>
      </c>
      <c r="AF11" s="8">
        <f t="shared" si="1"/>
        <v>1902.8</v>
      </c>
      <c r="AG11" s="8">
        <f t="shared" si="1"/>
        <v>34862</v>
      </c>
      <c r="AH11" s="8">
        <f t="shared" si="1"/>
        <v>32141.8</v>
      </c>
      <c r="AI11" s="8">
        <f t="shared" si="1"/>
        <v>43001.4</v>
      </c>
      <c r="AJ11" s="8">
        <f t="shared" si="1"/>
        <v>7396.8</v>
      </c>
    </row>
    <row r="12" spans="1:36">
      <c r="B12" s="9" t="s">
        <v>52</v>
      </c>
      <c r="C12" s="10">
        <f t="shared" ref="C12:AG12" si="2">_xlfn.STDEV.S(C6:C10)</f>
        <v>46491.2382229168</v>
      </c>
      <c r="D12" s="10">
        <f t="shared" si="2"/>
        <v>249.87536893419491</v>
      </c>
      <c r="E12" s="10">
        <f t="shared" si="2"/>
        <v>400944.94142550288</v>
      </c>
      <c r="F12" s="10">
        <f t="shared" si="2"/>
        <v>358.65331449744059</v>
      </c>
      <c r="G12" s="10">
        <f t="shared" si="2"/>
        <v>788.71686935173375</v>
      </c>
      <c r="H12" s="10">
        <f t="shared" si="2"/>
        <v>8470.6124158764342</v>
      </c>
      <c r="I12" s="10">
        <f t="shared" si="2"/>
        <v>200077.78935079227</v>
      </c>
      <c r="J12" s="10">
        <f t="shared" si="2"/>
        <v>21548.755393293599</v>
      </c>
      <c r="K12" s="10">
        <f t="shared" si="2"/>
        <v>174051.44546886126</v>
      </c>
      <c r="L12" s="10">
        <f t="shared" si="2"/>
        <v>3890.1269002437434</v>
      </c>
      <c r="M12" s="10">
        <f t="shared" si="2"/>
        <v>958097.14477463125</v>
      </c>
      <c r="N12" s="10">
        <f t="shared" si="2"/>
        <v>8076.6049921981448</v>
      </c>
      <c r="O12" s="10">
        <f t="shared" si="2"/>
        <v>58617.140806252224</v>
      </c>
      <c r="P12" s="10">
        <f t="shared" si="2"/>
        <v>93023.97653830974</v>
      </c>
      <c r="Q12" s="10">
        <f t="shared" si="2"/>
        <v>273796.86287519813</v>
      </c>
      <c r="R12" s="10">
        <f t="shared" si="2"/>
        <v>1567015.2875528047</v>
      </c>
      <c r="S12" s="8">
        <f t="shared" si="2"/>
        <v>3130322.0862216898</v>
      </c>
      <c r="T12" s="10">
        <f t="shared" si="2"/>
        <v>1521570.5207585027</v>
      </c>
      <c r="U12" s="10">
        <f t="shared" si="2"/>
        <v>1525435.331226893</v>
      </c>
      <c r="V12" s="10">
        <f t="shared" si="2"/>
        <v>293459.47964719083</v>
      </c>
      <c r="W12" s="10">
        <f t="shared" si="2"/>
        <v>171389.2875672222</v>
      </c>
      <c r="X12" s="10">
        <f t="shared" si="2"/>
        <v>169283.12149384536</v>
      </c>
      <c r="Y12" s="10">
        <f t="shared" si="2"/>
        <v>35658.065549045154</v>
      </c>
      <c r="Z12" s="10">
        <f t="shared" si="2"/>
        <v>504.28593079720139</v>
      </c>
      <c r="AA12" s="10">
        <f t="shared" si="2"/>
        <v>30710.706037146072</v>
      </c>
      <c r="AB12" s="10">
        <f t="shared" si="2"/>
        <v>10750.417075630136</v>
      </c>
      <c r="AC12" s="10">
        <f t="shared" si="2"/>
        <v>8309.7849069635959</v>
      </c>
      <c r="AD12" s="10">
        <f t="shared" si="2"/>
        <v>8001.1425559103736</v>
      </c>
      <c r="AE12" s="10">
        <f t="shared" si="2"/>
        <v>972.80224095136589</v>
      </c>
      <c r="AF12" s="10">
        <f t="shared" si="2"/>
        <v>612.49791836380973</v>
      </c>
      <c r="AG12" s="10">
        <f t="shared" si="2"/>
        <v>10029.662033189354</v>
      </c>
      <c r="AH12" s="47">
        <v>15633.7</v>
      </c>
      <c r="AI12" s="10">
        <f>_xlfn.STDEV.S(AI6:AI10)</f>
        <v>18951.493695748632</v>
      </c>
      <c r="AJ12" s="10">
        <f>_xlfn.STDEV.S(AJ6:AJ10)</f>
        <v>3633.6677338468912</v>
      </c>
    </row>
    <row r="13" spans="1:36">
      <c r="B13" s="9" t="s">
        <v>53</v>
      </c>
      <c r="C13" s="8">
        <f t="shared" ref="C13:AG13" si="3">MEDIAN(C6:C10)</f>
        <v>62941</v>
      </c>
      <c r="D13" s="8">
        <f t="shared" si="3"/>
        <v>357</v>
      </c>
      <c r="E13" s="8">
        <f t="shared" si="3"/>
        <v>582679</v>
      </c>
      <c r="F13" s="8">
        <f t="shared" si="3"/>
        <v>665</v>
      </c>
      <c r="G13" s="8">
        <f t="shared" si="3"/>
        <v>2453</v>
      </c>
      <c r="H13" s="8">
        <f t="shared" si="3"/>
        <v>16708</v>
      </c>
      <c r="I13" s="8">
        <f t="shared" si="3"/>
        <v>836334</v>
      </c>
      <c r="J13" s="8">
        <f t="shared" si="3"/>
        <v>39520</v>
      </c>
      <c r="K13" s="8">
        <f t="shared" si="3"/>
        <v>423492</v>
      </c>
      <c r="L13" s="8">
        <f t="shared" si="3"/>
        <v>10381</v>
      </c>
      <c r="M13" s="8">
        <f t="shared" si="3"/>
        <v>2979470</v>
      </c>
      <c r="N13" s="8">
        <f t="shared" si="3"/>
        <v>17056</v>
      </c>
      <c r="O13" s="8">
        <f t="shared" si="3"/>
        <v>85962</v>
      </c>
      <c r="P13" s="8">
        <f t="shared" si="3"/>
        <v>261637</v>
      </c>
      <c r="Q13" s="8">
        <f t="shared" si="3"/>
        <v>976106</v>
      </c>
      <c r="R13" s="8">
        <f t="shared" si="3"/>
        <v>5376121</v>
      </c>
      <c r="S13" s="8">
        <f t="shared" si="3"/>
        <v>11178836</v>
      </c>
      <c r="T13" s="8">
        <f t="shared" si="3"/>
        <v>5332210</v>
      </c>
      <c r="U13" s="8">
        <f t="shared" si="3"/>
        <v>5298007</v>
      </c>
      <c r="V13" s="8">
        <f t="shared" si="3"/>
        <v>294068</v>
      </c>
      <c r="W13" s="8">
        <f t="shared" si="3"/>
        <v>627186</v>
      </c>
      <c r="X13" s="8">
        <f t="shared" si="3"/>
        <v>449114</v>
      </c>
      <c r="Y13" s="8">
        <f t="shared" si="3"/>
        <v>123976</v>
      </c>
      <c r="Z13" s="8">
        <f t="shared" si="3"/>
        <v>1391</v>
      </c>
      <c r="AA13" s="8">
        <f t="shared" si="3"/>
        <v>78513</v>
      </c>
      <c r="AB13" s="8">
        <f t="shared" si="3"/>
        <v>12377</v>
      </c>
      <c r="AC13" s="8">
        <f t="shared" si="3"/>
        <v>13379</v>
      </c>
      <c r="AD13" s="8">
        <f t="shared" si="3"/>
        <v>19958</v>
      </c>
      <c r="AE13" s="8">
        <f t="shared" si="3"/>
        <v>3695</v>
      </c>
      <c r="AF13" s="8">
        <f t="shared" si="3"/>
        <v>2106</v>
      </c>
      <c r="AG13" s="8">
        <f t="shared" si="3"/>
        <v>34214</v>
      </c>
      <c r="AH13" s="48">
        <v>29265</v>
      </c>
      <c r="AI13" s="8">
        <f>MEDIAN(AI6:AI10)</f>
        <v>41693</v>
      </c>
      <c r="AJ13" s="8">
        <f>MEDIAN(AJ6:AJ10)</f>
        <v>7687</v>
      </c>
    </row>
    <row r="14" spans="1:36">
      <c r="AH14" s="2"/>
    </row>
    <row r="15" spans="1:36">
      <c r="AH15" s="2"/>
    </row>
    <row r="16" spans="1:36">
      <c r="A16" s="3" t="s">
        <v>48</v>
      </c>
      <c r="B16" s="2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>
      <c r="A17" s="2" t="s">
        <v>131</v>
      </c>
      <c r="B17" s="2" t="s">
        <v>46</v>
      </c>
      <c r="C17" s="11">
        <v>42148</v>
      </c>
      <c r="D17" s="11">
        <v>568</v>
      </c>
      <c r="E17" s="11">
        <v>654487</v>
      </c>
      <c r="F17" s="11">
        <v>513</v>
      </c>
      <c r="G17" s="11">
        <v>3183</v>
      </c>
      <c r="H17" s="11">
        <v>25722</v>
      </c>
      <c r="I17" s="11">
        <v>1117834</v>
      </c>
      <c r="J17" s="11">
        <v>73890</v>
      </c>
      <c r="K17" s="11">
        <v>803915</v>
      </c>
      <c r="L17" s="11">
        <v>21716</v>
      </c>
      <c r="M17" s="11">
        <v>4537756</v>
      </c>
      <c r="N17" s="11">
        <v>35108</v>
      </c>
      <c r="O17" s="11">
        <v>241469</v>
      </c>
      <c r="P17" s="11">
        <v>394448</v>
      </c>
      <c r="Q17" s="11">
        <v>967612</v>
      </c>
      <c r="R17" s="11">
        <v>8121716</v>
      </c>
      <c r="S17" s="11">
        <v>15913556</v>
      </c>
      <c r="T17" s="11">
        <v>7958799</v>
      </c>
      <c r="U17" s="11">
        <v>7915387</v>
      </c>
      <c r="V17" s="11">
        <v>685505</v>
      </c>
      <c r="W17" s="11">
        <v>963307</v>
      </c>
      <c r="X17" s="11">
        <v>555565</v>
      </c>
      <c r="Y17" s="11">
        <v>75309</v>
      </c>
      <c r="Z17" s="11">
        <v>3953</v>
      </c>
      <c r="AA17" s="11">
        <v>215459</v>
      </c>
      <c r="AB17" s="11">
        <v>30507</v>
      </c>
      <c r="AC17" s="11">
        <v>27193</v>
      </c>
      <c r="AD17" s="11">
        <v>64097</v>
      </c>
      <c r="AE17" s="11">
        <v>2625</v>
      </c>
      <c r="AF17" s="11">
        <v>1250</v>
      </c>
      <c r="AG17" s="11">
        <v>232269</v>
      </c>
      <c r="AH17" s="11">
        <v>73497</v>
      </c>
      <c r="AI17" s="11">
        <v>67654</v>
      </c>
      <c r="AJ17" s="11">
        <v>14535</v>
      </c>
    </row>
    <row r="18" spans="1:36">
      <c r="A18" s="2" t="s">
        <v>132</v>
      </c>
      <c r="B18" s="2" t="s">
        <v>46</v>
      </c>
      <c r="C18" s="11">
        <v>19998</v>
      </c>
      <c r="D18" s="11">
        <v>208</v>
      </c>
      <c r="E18" s="11">
        <v>433618</v>
      </c>
      <c r="F18" s="11">
        <v>529</v>
      </c>
      <c r="G18" s="11">
        <v>2378</v>
      </c>
      <c r="H18" s="11">
        <v>16373</v>
      </c>
      <c r="I18" s="11">
        <v>695283</v>
      </c>
      <c r="J18" s="11">
        <v>43684</v>
      </c>
      <c r="K18" s="11">
        <v>482406</v>
      </c>
      <c r="L18" s="11">
        <v>12724</v>
      </c>
      <c r="M18" s="11">
        <v>2612953</v>
      </c>
      <c r="N18" s="11">
        <v>22589</v>
      </c>
      <c r="O18" s="11">
        <v>102788</v>
      </c>
      <c r="P18" s="11">
        <v>281541</v>
      </c>
      <c r="Q18" s="11">
        <v>746370</v>
      </c>
      <c r="R18" s="11">
        <v>4849737</v>
      </c>
      <c r="S18" s="11">
        <v>10099784</v>
      </c>
      <c r="T18" s="11">
        <v>4805849</v>
      </c>
      <c r="U18" s="11">
        <v>4787124</v>
      </c>
      <c r="V18" s="11">
        <v>23478</v>
      </c>
      <c r="W18" s="11">
        <v>587690</v>
      </c>
      <c r="X18" s="11">
        <v>385588</v>
      </c>
      <c r="Y18" s="11">
        <v>68373</v>
      </c>
      <c r="Z18" s="11">
        <v>1133</v>
      </c>
      <c r="AA18" s="11">
        <v>106146</v>
      </c>
      <c r="AB18" s="11">
        <v>7924</v>
      </c>
      <c r="AC18" s="11">
        <v>17727</v>
      </c>
      <c r="AD18" s="11">
        <v>51517</v>
      </c>
      <c r="AE18" s="11">
        <v>2518</v>
      </c>
      <c r="AF18" s="11">
        <v>1312</v>
      </c>
      <c r="AG18" s="11">
        <v>132031</v>
      </c>
      <c r="AH18" s="11">
        <v>37454</v>
      </c>
      <c r="AI18" s="11">
        <v>40599</v>
      </c>
      <c r="AJ18" s="11">
        <v>9283</v>
      </c>
    </row>
    <row r="19" spans="1:36">
      <c r="A19" s="2" t="s">
        <v>133</v>
      </c>
      <c r="B19" s="2" t="s">
        <v>46</v>
      </c>
      <c r="C19" s="11">
        <v>145953</v>
      </c>
      <c r="D19" s="11">
        <v>319</v>
      </c>
      <c r="E19" s="11">
        <v>3009290</v>
      </c>
      <c r="F19" s="11">
        <v>2088</v>
      </c>
      <c r="G19" s="11">
        <v>6792</v>
      </c>
      <c r="H19" s="11">
        <v>52898</v>
      </c>
      <c r="I19" s="11">
        <v>1817327</v>
      </c>
      <c r="J19" s="11">
        <v>151970</v>
      </c>
      <c r="K19" s="11">
        <v>1323459</v>
      </c>
      <c r="L19" s="11">
        <v>37661</v>
      </c>
      <c r="M19" s="11">
        <v>9180689</v>
      </c>
      <c r="N19" s="11">
        <v>62286</v>
      </c>
      <c r="O19" s="11">
        <v>509810</v>
      </c>
      <c r="P19" s="11">
        <v>693874</v>
      </c>
      <c r="Q19" s="11">
        <v>2060209</v>
      </c>
      <c r="R19" s="11">
        <v>19817443</v>
      </c>
      <c r="S19" s="11">
        <v>37869391</v>
      </c>
      <c r="T19" s="11">
        <v>19500761</v>
      </c>
      <c r="U19" s="11">
        <v>19265598</v>
      </c>
      <c r="V19" s="11">
        <v>1645207</v>
      </c>
      <c r="W19" s="11">
        <v>2627095</v>
      </c>
      <c r="X19" s="11">
        <v>1579848</v>
      </c>
      <c r="Y19" s="11">
        <v>96022</v>
      </c>
      <c r="Z19" s="11">
        <v>11165</v>
      </c>
      <c r="AA19" s="11">
        <v>413668</v>
      </c>
      <c r="AB19" s="11">
        <v>131161</v>
      </c>
      <c r="AC19" s="11">
        <v>59903</v>
      </c>
      <c r="AD19" s="11">
        <v>75934</v>
      </c>
      <c r="AE19" s="11">
        <v>15134</v>
      </c>
      <c r="AF19" s="11">
        <v>7855</v>
      </c>
      <c r="AG19" s="11">
        <v>119059</v>
      </c>
      <c r="AH19" s="11">
        <v>144862</v>
      </c>
      <c r="AI19" s="11">
        <v>196782</v>
      </c>
      <c r="AJ19" s="11">
        <v>127601</v>
      </c>
    </row>
    <row r="20" spans="1:36">
      <c r="A20" s="2" t="s">
        <v>134</v>
      </c>
      <c r="B20" s="2" t="s">
        <v>47</v>
      </c>
      <c r="C20" s="11">
        <v>16821</v>
      </c>
      <c r="D20" s="11">
        <v>326</v>
      </c>
      <c r="E20" s="11">
        <v>673419</v>
      </c>
      <c r="F20" s="11">
        <v>354</v>
      </c>
      <c r="G20" s="11">
        <v>1640</v>
      </c>
      <c r="H20" s="11">
        <v>15134</v>
      </c>
      <c r="I20" s="11">
        <v>801440</v>
      </c>
      <c r="J20" s="11">
        <v>30743</v>
      </c>
      <c r="K20" s="11">
        <v>318611</v>
      </c>
      <c r="L20" s="11">
        <v>8250</v>
      </c>
      <c r="M20" s="11">
        <v>1864025</v>
      </c>
      <c r="N20" s="11">
        <v>13380</v>
      </c>
      <c r="O20" s="11">
        <v>150368</v>
      </c>
      <c r="P20" s="11">
        <v>109201</v>
      </c>
      <c r="Q20" s="11">
        <v>341775</v>
      </c>
      <c r="R20" s="11">
        <v>4841999</v>
      </c>
      <c r="S20" s="11">
        <v>10061055</v>
      </c>
      <c r="T20" s="11">
        <v>4783246</v>
      </c>
      <c r="U20" s="11">
        <v>4769309</v>
      </c>
      <c r="V20" s="11">
        <v>525033</v>
      </c>
      <c r="W20" s="11">
        <v>742112</v>
      </c>
      <c r="X20" s="11">
        <v>492592</v>
      </c>
      <c r="Y20" s="11">
        <v>29990</v>
      </c>
      <c r="Z20" s="11">
        <v>1849</v>
      </c>
      <c r="AA20" s="11">
        <v>98577</v>
      </c>
      <c r="AB20" s="11">
        <v>4630</v>
      </c>
      <c r="AC20" s="11">
        <v>14640</v>
      </c>
      <c r="AD20" s="11">
        <v>34543</v>
      </c>
      <c r="AE20" s="11">
        <v>995</v>
      </c>
      <c r="AF20" s="11">
        <v>232</v>
      </c>
      <c r="AG20" s="11">
        <v>64972</v>
      </c>
      <c r="AH20" s="11">
        <v>41400</v>
      </c>
      <c r="AI20" s="11">
        <v>47703</v>
      </c>
      <c r="AJ20" s="11">
        <v>14753</v>
      </c>
    </row>
    <row r="21" spans="1:36">
      <c r="A21" s="2" t="s">
        <v>135</v>
      </c>
      <c r="B21" s="2" t="s">
        <v>47</v>
      </c>
      <c r="C21" s="11">
        <v>45865</v>
      </c>
      <c r="D21" s="11">
        <v>463</v>
      </c>
      <c r="E21" s="11">
        <v>1905909</v>
      </c>
      <c r="F21" s="11">
        <v>1123</v>
      </c>
      <c r="G21" s="11">
        <v>3362</v>
      </c>
      <c r="H21" s="11">
        <v>25959</v>
      </c>
      <c r="I21" s="11">
        <v>1326521</v>
      </c>
      <c r="J21" s="11">
        <v>73257</v>
      </c>
      <c r="K21" s="11">
        <v>826290</v>
      </c>
      <c r="L21" s="11">
        <v>21394</v>
      </c>
      <c r="M21" s="11">
        <v>4833545</v>
      </c>
      <c r="N21" s="11">
        <v>39669</v>
      </c>
      <c r="O21" s="11">
        <v>340022</v>
      </c>
      <c r="P21" s="11">
        <v>343994</v>
      </c>
      <c r="Q21" s="11">
        <v>905571</v>
      </c>
      <c r="R21" s="11">
        <v>10782417</v>
      </c>
      <c r="S21" s="11">
        <v>20414419</v>
      </c>
      <c r="T21" s="11">
        <v>10613413</v>
      </c>
      <c r="U21" s="11">
        <v>10549792</v>
      </c>
      <c r="V21" s="11">
        <v>854552</v>
      </c>
      <c r="W21" s="11">
        <v>1217950</v>
      </c>
      <c r="X21" s="11">
        <v>701726</v>
      </c>
      <c r="Y21" s="11">
        <v>98599</v>
      </c>
      <c r="Z21" s="11">
        <v>954</v>
      </c>
      <c r="AA21" s="11">
        <v>197406</v>
      </c>
      <c r="AB21" s="11">
        <v>50701</v>
      </c>
      <c r="AC21" s="11">
        <v>29685</v>
      </c>
      <c r="AD21" s="11">
        <v>69482</v>
      </c>
      <c r="AE21" s="11">
        <v>3270</v>
      </c>
      <c r="AF21" s="11">
        <v>2821</v>
      </c>
      <c r="AG21" s="11">
        <v>177400</v>
      </c>
      <c r="AH21" s="11">
        <v>91029</v>
      </c>
      <c r="AI21" s="11">
        <v>87100</v>
      </c>
      <c r="AJ21" s="11">
        <v>23901</v>
      </c>
    </row>
    <row r="22" spans="1:36">
      <c r="A22" s="2" t="s">
        <v>136</v>
      </c>
      <c r="B22" s="2" t="s">
        <v>47</v>
      </c>
      <c r="C22" s="11">
        <v>56006</v>
      </c>
      <c r="D22" s="11">
        <v>515</v>
      </c>
      <c r="E22" s="11">
        <v>409122</v>
      </c>
      <c r="F22" s="11">
        <v>900</v>
      </c>
      <c r="G22" s="11">
        <v>3342</v>
      </c>
      <c r="H22" s="11">
        <v>28535</v>
      </c>
      <c r="I22" s="11">
        <v>653779</v>
      </c>
      <c r="J22" s="11">
        <v>76356</v>
      </c>
      <c r="K22" s="11">
        <v>801968</v>
      </c>
      <c r="L22" s="11">
        <v>18718</v>
      </c>
      <c r="M22" s="11">
        <v>3409503</v>
      </c>
      <c r="N22" s="11">
        <v>34338</v>
      </c>
      <c r="O22" s="11">
        <v>176254</v>
      </c>
      <c r="P22" s="11">
        <v>358773</v>
      </c>
      <c r="Q22" s="11">
        <v>903717</v>
      </c>
      <c r="R22" s="11">
        <v>7457443</v>
      </c>
      <c r="S22" s="11">
        <v>15268770</v>
      </c>
      <c r="T22" s="11">
        <v>7300025</v>
      </c>
      <c r="U22" s="11">
        <v>7270578</v>
      </c>
      <c r="V22" s="11">
        <v>711198</v>
      </c>
      <c r="W22" s="11">
        <v>945796</v>
      </c>
      <c r="X22" s="11">
        <v>649544</v>
      </c>
      <c r="Y22" s="11">
        <v>149704</v>
      </c>
      <c r="Z22" s="11">
        <v>1950</v>
      </c>
      <c r="AA22" s="11">
        <v>126441</v>
      </c>
      <c r="AB22" s="11">
        <v>30826</v>
      </c>
      <c r="AC22" s="11">
        <v>22548</v>
      </c>
      <c r="AD22" s="11">
        <v>29174</v>
      </c>
      <c r="AE22" s="11">
        <v>5835</v>
      </c>
      <c r="AF22" s="11">
        <v>2569</v>
      </c>
      <c r="AG22" s="11">
        <v>63988</v>
      </c>
      <c r="AH22" s="11">
        <v>61689</v>
      </c>
      <c r="AI22" s="11">
        <v>74329</v>
      </c>
      <c r="AJ22" s="11">
        <v>11875</v>
      </c>
    </row>
    <row r="23" spans="1:36">
      <c r="A23" s="2" t="s">
        <v>137</v>
      </c>
      <c r="B23" s="2" t="s">
        <v>45</v>
      </c>
      <c r="C23" s="11">
        <v>51860</v>
      </c>
      <c r="D23" s="11">
        <v>421</v>
      </c>
      <c r="E23" s="11">
        <v>933663</v>
      </c>
      <c r="F23" s="11">
        <v>387</v>
      </c>
      <c r="G23" s="11">
        <v>2244</v>
      </c>
      <c r="H23" s="11">
        <v>17034</v>
      </c>
      <c r="I23" s="11">
        <v>1063644</v>
      </c>
      <c r="J23" s="11">
        <v>41577</v>
      </c>
      <c r="K23" s="11">
        <v>446648</v>
      </c>
      <c r="L23" s="11">
        <v>10316</v>
      </c>
      <c r="M23" s="11">
        <v>2635413</v>
      </c>
      <c r="N23" s="11">
        <v>22163</v>
      </c>
      <c r="O23" s="11">
        <v>99987</v>
      </c>
      <c r="P23" s="11">
        <v>311611</v>
      </c>
      <c r="Q23" s="11">
        <v>1257102</v>
      </c>
      <c r="R23" s="11">
        <v>6666484</v>
      </c>
      <c r="S23" s="11">
        <v>13908586</v>
      </c>
      <c r="T23" s="11">
        <v>6568448</v>
      </c>
      <c r="U23" s="11">
        <v>6529122</v>
      </c>
      <c r="V23" s="11">
        <v>37865</v>
      </c>
      <c r="W23" s="11">
        <v>854788</v>
      </c>
      <c r="X23" s="11">
        <v>547019</v>
      </c>
      <c r="Y23" s="11">
        <v>232129</v>
      </c>
      <c r="Z23" s="11">
        <v>4299</v>
      </c>
      <c r="AA23" s="11">
        <v>58459</v>
      </c>
      <c r="AB23" s="11">
        <v>22749</v>
      </c>
      <c r="AC23" s="11">
        <v>17785</v>
      </c>
      <c r="AD23" s="11">
        <v>19634</v>
      </c>
      <c r="AE23" s="11">
        <v>8572</v>
      </c>
      <c r="AF23" s="11">
        <v>3397</v>
      </c>
      <c r="AG23" s="11">
        <v>72752</v>
      </c>
      <c r="AH23" s="11">
        <v>33042</v>
      </c>
      <c r="AI23" s="11">
        <v>56943</v>
      </c>
      <c r="AJ23" s="11">
        <v>6023</v>
      </c>
    </row>
    <row r="24" spans="1:36">
      <c r="B24" s="9" t="s">
        <v>51</v>
      </c>
      <c r="C24" s="8">
        <f>AVERAGE(C17:C23)</f>
        <v>54093</v>
      </c>
      <c r="D24" s="8">
        <f t="shared" ref="D24:AG24" si="4">AVERAGE(D17:D23)</f>
        <v>402.85714285714283</v>
      </c>
      <c r="E24" s="8">
        <f t="shared" si="4"/>
        <v>1145644</v>
      </c>
      <c r="F24" s="8">
        <f t="shared" si="4"/>
        <v>842</v>
      </c>
      <c r="G24" s="8">
        <f t="shared" si="4"/>
        <v>3277.2857142857142</v>
      </c>
      <c r="H24" s="8">
        <f t="shared" si="4"/>
        <v>25950.714285714286</v>
      </c>
      <c r="I24" s="8">
        <f t="shared" si="4"/>
        <v>1067975.4285714286</v>
      </c>
      <c r="J24" s="8">
        <f t="shared" si="4"/>
        <v>70211</v>
      </c>
      <c r="K24" s="8">
        <f t="shared" si="4"/>
        <v>714756.71428571432</v>
      </c>
      <c r="L24" s="8">
        <f t="shared" si="4"/>
        <v>18682.714285714286</v>
      </c>
      <c r="M24" s="8">
        <f t="shared" si="4"/>
        <v>4153412</v>
      </c>
      <c r="N24" s="8">
        <f t="shared" si="4"/>
        <v>32790.428571428572</v>
      </c>
      <c r="O24" s="8">
        <f t="shared" si="4"/>
        <v>231528.28571428571</v>
      </c>
      <c r="P24" s="8">
        <f t="shared" si="4"/>
        <v>356206</v>
      </c>
      <c r="Q24" s="8">
        <f t="shared" si="4"/>
        <v>1026050.8571428572</v>
      </c>
      <c r="R24" s="8">
        <f t="shared" si="4"/>
        <v>8933891.2857142854</v>
      </c>
      <c r="S24" s="8">
        <f t="shared" si="4"/>
        <v>17647937.285714287</v>
      </c>
      <c r="T24" s="8">
        <f t="shared" si="4"/>
        <v>8790077.2857142854</v>
      </c>
      <c r="U24" s="8">
        <f t="shared" si="4"/>
        <v>8726701.4285714291</v>
      </c>
      <c r="V24" s="8">
        <f t="shared" si="4"/>
        <v>640405.42857142852</v>
      </c>
      <c r="W24" s="8">
        <f t="shared" si="4"/>
        <v>1134105.4285714286</v>
      </c>
      <c r="X24" s="8">
        <f t="shared" si="4"/>
        <v>701697.42857142852</v>
      </c>
      <c r="Y24" s="8">
        <f t="shared" si="4"/>
        <v>107160.85714285714</v>
      </c>
      <c r="Z24" s="8">
        <f t="shared" si="4"/>
        <v>3614.7142857142858</v>
      </c>
      <c r="AA24" s="8">
        <f t="shared" si="4"/>
        <v>173736.57142857142</v>
      </c>
      <c r="AB24" s="8">
        <f t="shared" si="4"/>
        <v>39785.428571428572</v>
      </c>
      <c r="AC24" s="8">
        <f t="shared" si="4"/>
        <v>27068.714285714286</v>
      </c>
      <c r="AD24" s="8">
        <f t="shared" si="4"/>
        <v>49197.285714285717</v>
      </c>
      <c r="AE24" s="8">
        <f t="shared" si="4"/>
        <v>5564.1428571428569</v>
      </c>
      <c r="AF24" s="8">
        <f t="shared" si="4"/>
        <v>2776.5714285714284</v>
      </c>
      <c r="AG24" s="8">
        <f t="shared" si="4"/>
        <v>123210.14285714286</v>
      </c>
      <c r="AH24" s="48">
        <v>68996.14</v>
      </c>
      <c r="AI24" s="8">
        <f>AVERAGE(AI17:AI23)</f>
        <v>81587.142857142855</v>
      </c>
      <c r="AJ24" s="8">
        <f>AVERAGE(AJ17:AJ23)</f>
        <v>29710.142857142859</v>
      </c>
    </row>
    <row r="25" spans="1:36">
      <c r="B25" s="9" t="s">
        <v>52</v>
      </c>
      <c r="C25" s="8">
        <f>_xlfn.STDEV.S(C17:C23)</f>
        <v>43222.215499285398</v>
      </c>
      <c r="D25" s="8">
        <f t="shared" ref="D25:AG25" si="5">_xlfn.STDEV.S(D17:D23)</f>
        <v>125.6336321365004</v>
      </c>
      <c r="E25" s="8">
        <f t="shared" si="5"/>
        <v>966936.10253694293</v>
      </c>
      <c r="F25" s="8">
        <f t="shared" si="5"/>
        <v>617.28167530444853</v>
      </c>
      <c r="G25" s="8">
        <f t="shared" si="5"/>
        <v>1679.8099807503741</v>
      </c>
      <c r="H25" s="8">
        <f t="shared" si="5"/>
        <v>13045.617600229918</v>
      </c>
      <c r="I25" s="8">
        <f t="shared" si="5"/>
        <v>410767.10574357375</v>
      </c>
      <c r="J25" s="8">
        <f t="shared" si="5"/>
        <v>40468.957181194244</v>
      </c>
      <c r="K25" s="8">
        <f t="shared" si="5"/>
        <v>336975.20155431534</v>
      </c>
      <c r="L25" s="8">
        <f t="shared" si="5"/>
        <v>9925.3730192586991</v>
      </c>
      <c r="M25" s="8">
        <f t="shared" si="5"/>
        <v>2461566.0182590405</v>
      </c>
      <c r="N25" s="8">
        <f t="shared" si="5"/>
        <v>15910.403900772422</v>
      </c>
      <c r="O25" s="8">
        <f t="shared" si="5"/>
        <v>148789.46311115168</v>
      </c>
      <c r="P25" s="8">
        <f t="shared" si="5"/>
        <v>175220.28873012014</v>
      </c>
      <c r="Q25" s="8">
        <f t="shared" si="5"/>
        <v>532637.86856532237</v>
      </c>
      <c r="R25" s="8">
        <f t="shared" si="5"/>
        <v>5216533.139543565</v>
      </c>
      <c r="S25" s="8">
        <f t="shared" si="5"/>
        <v>9606831.5596421938</v>
      </c>
      <c r="T25" s="8">
        <f t="shared" si="5"/>
        <v>5128661.0797381522</v>
      </c>
      <c r="U25" s="8">
        <f t="shared" si="5"/>
        <v>5052740.2995874044</v>
      </c>
      <c r="V25" s="8">
        <f t="shared" si="5"/>
        <v>550680.74976549321</v>
      </c>
      <c r="W25" s="8">
        <f t="shared" si="5"/>
        <v>686892.42379134777</v>
      </c>
      <c r="X25" s="8">
        <f t="shared" si="5"/>
        <v>400582.65086906316</v>
      </c>
      <c r="Y25" s="8">
        <f t="shared" si="5"/>
        <v>65952.90633835776</v>
      </c>
      <c r="Z25" s="8">
        <f t="shared" si="5"/>
        <v>3575.7709058926821</v>
      </c>
      <c r="AA25" s="8">
        <f t="shared" si="5"/>
        <v>119451.05649436111</v>
      </c>
      <c r="AB25" s="8">
        <f t="shared" si="5"/>
        <v>43159.20148650089</v>
      </c>
      <c r="AC25" s="8">
        <f t="shared" si="5"/>
        <v>15455.934617639981</v>
      </c>
      <c r="AD25" s="8">
        <f t="shared" si="5"/>
        <v>21769.137203192702</v>
      </c>
      <c r="AE25" s="8">
        <f t="shared" si="5"/>
        <v>4911.8977808504742</v>
      </c>
      <c r="AF25" s="8">
        <f t="shared" si="5"/>
        <v>2488.997847671686</v>
      </c>
      <c r="AG25" s="8">
        <f t="shared" si="5"/>
        <v>63731.706022012237</v>
      </c>
      <c r="AH25" s="48">
        <v>39505.019999999997</v>
      </c>
      <c r="AI25" s="8">
        <f>_xlfn.STDEV.S(AI17:AI23)</f>
        <v>53201.749004547368</v>
      </c>
      <c r="AJ25" s="8">
        <f>_xlfn.STDEV.S(AJ17:AJ23)</f>
        <v>43525.487473542715</v>
      </c>
    </row>
    <row r="26" spans="1:36">
      <c r="B26" s="9" t="s">
        <v>53</v>
      </c>
      <c r="C26" s="8">
        <f>MEDIAN(C17:C23)</f>
        <v>45865</v>
      </c>
      <c r="D26" s="8">
        <f t="shared" ref="D26:AG26" si="6">MEDIAN(D17:D23)</f>
        <v>421</v>
      </c>
      <c r="E26" s="8">
        <f t="shared" si="6"/>
        <v>673419</v>
      </c>
      <c r="F26" s="8">
        <f t="shared" si="6"/>
        <v>529</v>
      </c>
      <c r="G26" s="8">
        <f t="shared" si="6"/>
        <v>3183</v>
      </c>
      <c r="H26" s="8">
        <f t="shared" si="6"/>
        <v>25722</v>
      </c>
      <c r="I26" s="8">
        <f t="shared" si="6"/>
        <v>1063644</v>
      </c>
      <c r="J26" s="8">
        <f t="shared" si="6"/>
        <v>73257</v>
      </c>
      <c r="K26" s="8">
        <f t="shared" si="6"/>
        <v>801968</v>
      </c>
      <c r="L26" s="8">
        <f t="shared" si="6"/>
        <v>18718</v>
      </c>
      <c r="M26" s="8">
        <f t="shared" si="6"/>
        <v>3409503</v>
      </c>
      <c r="N26" s="8">
        <f t="shared" si="6"/>
        <v>34338</v>
      </c>
      <c r="O26" s="8">
        <f t="shared" si="6"/>
        <v>176254</v>
      </c>
      <c r="P26" s="8">
        <f t="shared" si="6"/>
        <v>343994</v>
      </c>
      <c r="Q26" s="8">
        <f t="shared" si="6"/>
        <v>905571</v>
      </c>
      <c r="R26" s="8">
        <f t="shared" si="6"/>
        <v>7457443</v>
      </c>
      <c r="S26" s="8">
        <f t="shared" si="6"/>
        <v>15268770</v>
      </c>
      <c r="T26" s="8">
        <f t="shared" si="6"/>
        <v>7300025</v>
      </c>
      <c r="U26" s="8">
        <f t="shared" si="6"/>
        <v>7270578</v>
      </c>
      <c r="V26" s="8">
        <f t="shared" si="6"/>
        <v>685505</v>
      </c>
      <c r="W26" s="8">
        <f t="shared" si="6"/>
        <v>945796</v>
      </c>
      <c r="X26" s="8">
        <f t="shared" si="6"/>
        <v>555565</v>
      </c>
      <c r="Y26" s="8">
        <f t="shared" si="6"/>
        <v>96022</v>
      </c>
      <c r="Z26" s="8">
        <f t="shared" si="6"/>
        <v>1950</v>
      </c>
      <c r="AA26" s="8">
        <f t="shared" si="6"/>
        <v>126441</v>
      </c>
      <c r="AB26" s="8">
        <f t="shared" si="6"/>
        <v>30507</v>
      </c>
      <c r="AC26" s="8">
        <f t="shared" si="6"/>
        <v>22548</v>
      </c>
      <c r="AD26" s="8">
        <f t="shared" si="6"/>
        <v>51517</v>
      </c>
      <c r="AE26" s="8">
        <f t="shared" si="6"/>
        <v>3270</v>
      </c>
      <c r="AF26" s="8">
        <f t="shared" si="6"/>
        <v>2569</v>
      </c>
      <c r="AG26" s="8">
        <f t="shared" si="6"/>
        <v>119059</v>
      </c>
      <c r="AH26" s="48">
        <v>61689</v>
      </c>
      <c r="AI26" s="8">
        <f>MEDIAN(AI17:AI23)</f>
        <v>67654</v>
      </c>
      <c r="AJ26" s="8">
        <f>MEDIAN(AJ17:AJ23)</f>
        <v>14535</v>
      </c>
    </row>
    <row r="27" spans="1:36">
      <c r="AH27" s="2"/>
    </row>
    <row r="28" spans="1:36">
      <c r="A28" s="13" t="s">
        <v>54</v>
      </c>
      <c r="B28" s="14" t="s">
        <v>55</v>
      </c>
      <c r="C28" s="16">
        <f t="shared" ref="C28:AG28" si="7">_xlfn.T.TEST(C6:C10,C17:C23,2,3)</f>
        <v>0.47271289205874334</v>
      </c>
      <c r="D28" s="16">
        <f t="shared" si="7"/>
        <v>0.63687181930437353</v>
      </c>
      <c r="E28" s="16">
        <f t="shared" si="7"/>
        <v>0.34493451560531341</v>
      </c>
      <c r="F28" s="16">
        <f t="shared" si="7"/>
        <v>0.38202538973636802</v>
      </c>
      <c r="G28" s="16">
        <f t="shared" si="7"/>
        <v>0.18300781540248162</v>
      </c>
      <c r="H28" s="16">
        <f t="shared" si="7"/>
        <v>0.19290833634374058</v>
      </c>
      <c r="I28" s="16">
        <f t="shared" si="7"/>
        <v>0.19556778529306865</v>
      </c>
      <c r="J28" s="16">
        <f t="shared" si="7"/>
        <v>0.16190059029852547</v>
      </c>
      <c r="K28" s="75">
        <f t="shared" si="7"/>
        <v>5.2369842988226868E-2</v>
      </c>
      <c r="L28" s="17">
        <f t="shared" si="7"/>
        <v>4.9602639396678243E-2</v>
      </c>
      <c r="M28" s="16">
        <f t="shared" si="7"/>
        <v>0.19748172551549822</v>
      </c>
      <c r="N28" s="75">
        <f t="shared" si="7"/>
        <v>5.9500287082912821E-2</v>
      </c>
      <c r="O28" s="16">
        <f t="shared" si="7"/>
        <v>7.5668852438687956E-2</v>
      </c>
      <c r="P28" s="16">
        <f t="shared" si="7"/>
        <v>0.18502218222931824</v>
      </c>
      <c r="Q28" s="16">
        <f t="shared" si="7"/>
        <v>0.5089370158080222</v>
      </c>
      <c r="R28" s="16">
        <f t="shared" si="7"/>
        <v>0.10983102539165168</v>
      </c>
      <c r="S28" s="16">
        <f t="shared" si="7"/>
        <v>0.12267009958678331</v>
      </c>
      <c r="T28" s="16">
        <f t="shared" si="7"/>
        <v>0.11052037684770213</v>
      </c>
      <c r="U28" s="16">
        <f t="shared" si="7"/>
        <v>0.11028309696396014</v>
      </c>
      <c r="V28" s="16">
        <f t="shared" si="7"/>
        <v>0.21695338364161471</v>
      </c>
      <c r="W28" s="16">
        <f t="shared" si="7"/>
        <v>0.12257203329317057</v>
      </c>
      <c r="X28" s="16">
        <f t="shared" si="7"/>
        <v>0.22905701866024358</v>
      </c>
      <c r="Y28" s="16">
        <f t="shared" si="7"/>
        <v>0.92662889814186367</v>
      </c>
      <c r="Z28" s="16">
        <f t="shared" si="7"/>
        <v>0.16591688497320142</v>
      </c>
      <c r="AA28" s="75">
        <f t="shared" si="7"/>
        <v>5.6898521123250723E-2</v>
      </c>
      <c r="AB28" s="16">
        <f t="shared" si="7"/>
        <v>0.24060704893588372</v>
      </c>
      <c r="AC28" s="16">
        <f t="shared" si="7"/>
        <v>0.11056176452568317</v>
      </c>
      <c r="AD28" s="17">
        <f t="shared" si="7"/>
        <v>8.4314357794462152E-3</v>
      </c>
      <c r="AE28" s="16">
        <f t="shared" si="7"/>
        <v>0.34749835715182931</v>
      </c>
      <c r="AF28" s="16">
        <f t="shared" si="7"/>
        <v>0.40219032047815029</v>
      </c>
      <c r="AG28" s="17">
        <f t="shared" si="7"/>
        <v>1.0074693649294973E-2</v>
      </c>
      <c r="AH28" s="75">
        <v>5.4600000000000003E-2</v>
      </c>
      <c r="AI28" s="16">
        <f>_xlfn.T.TEST(AI6:AI10,AI17:AI23,2,3)</f>
        <v>0.11525338057139914</v>
      </c>
      <c r="AJ28" s="16">
        <f>_xlfn.T.TEST(AJ6:AJ10,AJ17:AJ23,2,3)</f>
        <v>0.22489737269657381</v>
      </c>
    </row>
    <row r="29" spans="1:36">
      <c r="AH29" s="2"/>
    </row>
    <row r="30" spans="1:36" ht="31" customHeight="1">
      <c r="B30" s="103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AH30" s="2"/>
    </row>
    <row r="31" spans="1:36" ht="31" customHeight="1">
      <c r="B31" s="21"/>
      <c r="C31" s="7"/>
      <c r="D31" s="7"/>
      <c r="E31" s="7"/>
      <c r="F31" s="7"/>
      <c r="G31" s="7"/>
      <c r="H31" s="7"/>
      <c r="I31" s="7"/>
      <c r="J31" s="7"/>
      <c r="K31" s="7"/>
      <c r="L31" s="7"/>
      <c r="AH31" s="2"/>
    </row>
    <row r="32" spans="1:36">
      <c r="AH32" s="2"/>
    </row>
    <row r="33" spans="1:37">
      <c r="AH33" s="2"/>
    </row>
    <row r="34" spans="1:37" ht="20">
      <c r="A34" s="5" t="s">
        <v>69</v>
      </c>
      <c r="B34" s="6"/>
      <c r="AH34" s="2"/>
    </row>
    <row r="35" spans="1:37" s="54" customFormat="1" ht="62" customHeight="1">
      <c r="A35" s="54" t="s">
        <v>0</v>
      </c>
      <c r="B35" s="54" t="s">
        <v>1</v>
      </c>
      <c r="C35" s="54" t="s">
        <v>2</v>
      </c>
      <c r="D35" s="54" t="s">
        <v>3</v>
      </c>
      <c r="E35" s="54" t="s">
        <v>4</v>
      </c>
      <c r="F35" s="54" t="s">
        <v>5</v>
      </c>
      <c r="G35" s="54" t="s">
        <v>6</v>
      </c>
      <c r="H35" s="54" t="s">
        <v>7</v>
      </c>
      <c r="I35" s="54" t="s">
        <v>8</v>
      </c>
      <c r="J35" s="54" t="s">
        <v>9</v>
      </c>
      <c r="K35" s="54" t="s">
        <v>10</v>
      </c>
      <c r="L35" s="54" t="s">
        <v>11</v>
      </c>
      <c r="M35" s="54" t="s">
        <v>12</v>
      </c>
      <c r="N35" s="54" t="s">
        <v>13</v>
      </c>
      <c r="O35" s="54" t="s">
        <v>14</v>
      </c>
      <c r="P35" s="54" t="s">
        <v>15</v>
      </c>
      <c r="Q35" s="54" t="s">
        <v>17</v>
      </c>
      <c r="R35" s="54" t="s">
        <v>18</v>
      </c>
      <c r="S35" s="54" t="s">
        <v>19</v>
      </c>
      <c r="T35" s="54" t="s">
        <v>20</v>
      </c>
      <c r="U35" s="54" t="s">
        <v>21</v>
      </c>
      <c r="V35" s="54" t="s">
        <v>22</v>
      </c>
      <c r="W35" s="54" t="s">
        <v>23</v>
      </c>
      <c r="X35" s="54" t="s">
        <v>26</v>
      </c>
      <c r="Y35" s="54" t="s">
        <v>27</v>
      </c>
      <c r="Z35" s="54" t="s">
        <v>28</v>
      </c>
      <c r="AA35" s="54" t="s">
        <v>29</v>
      </c>
      <c r="AB35" s="54" t="s">
        <v>30</v>
      </c>
      <c r="AC35" s="54" t="s">
        <v>31</v>
      </c>
      <c r="AD35" s="54" t="s">
        <v>32</v>
      </c>
      <c r="AE35" s="54" t="s">
        <v>33</v>
      </c>
      <c r="AF35" s="54" t="s">
        <v>34</v>
      </c>
      <c r="AG35" s="54" t="s">
        <v>35</v>
      </c>
      <c r="AH35" s="55" t="s">
        <v>16</v>
      </c>
      <c r="AI35" s="54" t="s">
        <v>24</v>
      </c>
      <c r="AJ35" s="54" t="s">
        <v>25</v>
      </c>
      <c r="AK35" s="56" t="s">
        <v>70</v>
      </c>
    </row>
    <row r="36" spans="1:37" s="20" customFormat="1" ht="16" customHeight="1">
      <c r="A36" s="28" t="s">
        <v>143</v>
      </c>
      <c r="B36" s="25"/>
      <c r="AH36" s="50"/>
    </row>
    <row r="37" spans="1:37">
      <c r="A37" s="2" t="s">
        <v>138</v>
      </c>
      <c r="B37" s="2" t="s">
        <v>43</v>
      </c>
      <c r="C37" s="22">
        <f t="shared" ref="C37:AG37" si="8">LOG(C6)</f>
        <v>4.7989336386571484</v>
      </c>
      <c r="D37" s="22">
        <f t="shared" si="8"/>
        <v>2.5910646070264991</v>
      </c>
      <c r="E37" s="22">
        <f t="shared" si="8"/>
        <v>5.7615971077249837</v>
      </c>
      <c r="F37" s="22">
        <f t="shared" si="8"/>
        <v>2.8228216453031045</v>
      </c>
      <c r="G37" s="22">
        <f t="shared" si="8"/>
        <v>3.3461573022320081</v>
      </c>
      <c r="H37" s="22">
        <f t="shared" si="8"/>
        <v>4.2229244665930832</v>
      </c>
      <c r="I37" s="22">
        <f t="shared" si="8"/>
        <v>5.8911877628276352</v>
      </c>
      <c r="J37" s="22">
        <f t="shared" si="8"/>
        <v>4.5968169359155908</v>
      </c>
      <c r="K37" s="22">
        <f t="shared" si="8"/>
        <v>5.5568426201179433</v>
      </c>
      <c r="L37" s="22">
        <f t="shared" si="8"/>
        <v>3.9136019497291574</v>
      </c>
      <c r="M37" s="22">
        <f t="shared" si="8"/>
        <v>6.4333912008743432</v>
      </c>
      <c r="N37" s="22">
        <f t="shared" si="8"/>
        <v>4.2264710153171388</v>
      </c>
      <c r="O37" s="22">
        <f t="shared" si="8"/>
        <v>4.923404646784884</v>
      </c>
      <c r="P37" s="22">
        <f t="shared" si="8"/>
        <v>5.4000196350651581</v>
      </c>
      <c r="Q37" s="22">
        <f t="shared" si="8"/>
        <v>6.0269032581425757</v>
      </c>
      <c r="R37" s="22">
        <f t="shared" si="8"/>
        <v>6.6832343211353846</v>
      </c>
      <c r="S37" s="22">
        <f t="shared" si="8"/>
        <v>7.0182819349986199</v>
      </c>
      <c r="T37" s="22">
        <f t="shared" si="8"/>
        <v>6.6777452480171933</v>
      </c>
      <c r="U37" s="22">
        <f t="shared" si="8"/>
        <v>6.6781288872030835</v>
      </c>
      <c r="V37" s="22">
        <f t="shared" si="8"/>
        <v>4.3976967356393635</v>
      </c>
      <c r="W37" s="22">
        <f t="shared" si="8"/>
        <v>5.7813359523905765</v>
      </c>
      <c r="X37" s="22">
        <f t="shared" si="8"/>
        <v>5.6303841382496644</v>
      </c>
      <c r="Y37" s="22">
        <f t="shared" si="8"/>
        <v>5.1044427236017835</v>
      </c>
      <c r="Z37" s="22">
        <f t="shared" si="8"/>
        <v>3.1433271299920462</v>
      </c>
      <c r="AA37" s="22">
        <f t="shared" si="8"/>
        <v>4.6680036439110379</v>
      </c>
      <c r="AB37" s="22">
        <f t="shared" si="8"/>
        <v>4.092615390941555</v>
      </c>
      <c r="AC37" s="22">
        <f t="shared" si="8"/>
        <v>3.9444333177002147</v>
      </c>
      <c r="AD37" s="22">
        <f t="shared" si="8"/>
        <v>4.090046322457356</v>
      </c>
      <c r="AE37" s="22">
        <f t="shared" si="8"/>
        <v>3.5676144427308447</v>
      </c>
      <c r="AF37" s="22">
        <f t="shared" si="8"/>
        <v>3.3234583668494677</v>
      </c>
      <c r="AG37" s="22">
        <f t="shared" si="8"/>
        <v>4.3381575642717731</v>
      </c>
      <c r="AH37" s="46">
        <v>4.4212583280000004</v>
      </c>
      <c r="AI37" s="22">
        <f t="shared" ref="AI37:AJ40" si="9">LOG(AI6)</f>
        <v>4.6200631457036634</v>
      </c>
      <c r="AJ37" s="22">
        <f t="shared" si="9"/>
        <v>3.8857568810692675</v>
      </c>
      <c r="AK37" s="15">
        <f>MEDIAN(C37:AG37)</f>
        <v>4.6680036439110379</v>
      </c>
    </row>
    <row r="38" spans="1:37">
      <c r="A38" s="2" t="s">
        <v>139</v>
      </c>
      <c r="B38" s="2" t="s">
        <v>43</v>
      </c>
      <c r="C38" s="22">
        <f t="shared" ref="C38:AG38" si="10">LOG(C7)</f>
        <v>5.0412663265649851</v>
      </c>
      <c r="D38" s="22">
        <f t="shared" si="10"/>
        <v>2.842609239610562</v>
      </c>
      <c r="E38" s="22">
        <f t="shared" si="10"/>
        <v>5.7654293662136</v>
      </c>
      <c r="F38" s="22">
        <f t="shared" si="10"/>
        <v>2.8506462351830666</v>
      </c>
      <c r="G38" s="22">
        <f t="shared" si="10"/>
        <v>3.3896975482063856</v>
      </c>
      <c r="H38" s="22">
        <f t="shared" si="10"/>
        <v>4.2996598088670197</v>
      </c>
      <c r="I38" s="22">
        <f t="shared" si="10"/>
        <v>5.9223797527841144</v>
      </c>
      <c r="J38" s="22">
        <f t="shared" si="10"/>
        <v>4.7165792370063579</v>
      </c>
      <c r="K38" s="22">
        <f t="shared" si="10"/>
        <v>5.6268452106793081</v>
      </c>
      <c r="L38" s="22">
        <f t="shared" si="10"/>
        <v>4.0162391910426392</v>
      </c>
      <c r="M38" s="22">
        <f t="shared" si="10"/>
        <v>6.4741390169129955</v>
      </c>
      <c r="N38" s="22">
        <f t="shared" si="10"/>
        <v>4.3268681598936816</v>
      </c>
      <c r="O38" s="22">
        <f t="shared" si="10"/>
        <v>5.1025091689398678</v>
      </c>
      <c r="P38" s="22">
        <f t="shared" si="10"/>
        <v>5.4649379179586797</v>
      </c>
      <c r="Q38" s="22">
        <f t="shared" si="10"/>
        <v>5.9894969823341091</v>
      </c>
      <c r="R38" s="22">
        <f t="shared" si="10"/>
        <v>6.7373428698832951</v>
      </c>
      <c r="S38" s="22">
        <f t="shared" si="10"/>
        <v>7.0685175063741994</v>
      </c>
      <c r="T38" s="22">
        <f t="shared" si="10"/>
        <v>6.7309156110483066</v>
      </c>
      <c r="U38" s="22">
        <f t="shared" si="10"/>
        <v>6.7310491475296272</v>
      </c>
      <c r="V38" s="22">
        <f t="shared" si="10"/>
        <v>4.4893677747047338</v>
      </c>
      <c r="W38" s="22">
        <f t="shared" si="10"/>
        <v>5.7973963554949313</v>
      </c>
      <c r="X38" s="22">
        <f t="shared" si="10"/>
        <v>5.7312155467125772</v>
      </c>
      <c r="Y38" s="22">
        <f t="shared" si="10"/>
        <v>5.0986021976660156</v>
      </c>
      <c r="Z38" s="22">
        <f t="shared" si="10"/>
        <v>3.2479732663618068</v>
      </c>
      <c r="AA38" s="22">
        <f t="shared" si="10"/>
        <v>4.8949415721698051</v>
      </c>
      <c r="AB38" s="22">
        <f t="shared" si="10"/>
        <v>4.4607625742763783</v>
      </c>
      <c r="AC38" s="22">
        <f t="shared" si="10"/>
        <v>4.1264236537373389</v>
      </c>
      <c r="AD38" s="22">
        <f t="shared" si="10"/>
        <v>4.3001170182898694</v>
      </c>
      <c r="AE38" s="22">
        <f t="shared" si="10"/>
        <v>3.5938396610812715</v>
      </c>
      <c r="AF38" s="22">
        <f t="shared" si="10"/>
        <v>3.3366598234544202</v>
      </c>
      <c r="AG38" s="22">
        <f t="shared" si="10"/>
        <v>4.5342038510449241</v>
      </c>
      <c r="AH38" s="46">
        <v>4.5715457949999996</v>
      </c>
      <c r="AI38" s="22">
        <f t="shared" si="9"/>
        <v>4.7055387247672806</v>
      </c>
      <c r="AJ38" s="22">
        <f t="shared" si="9"/>
        <v>4.0293431875191068</v>
      </c>
      <c r="AK38" s="15">
        <f>MEDIAN(C38:AG38)</f>
        <v>4.8949415721698051</v>
      </c>
    </row>
    <row r="39" spans="1:37">
      <c r="A39" s="2" t="s">
        <v>140</v>
      </c>
      <c r="B39" s="2" t="s">
        <v>43</v>
      </c>
      <c r="C39" s="22">
        <f t="shared" ref="C39:AG39" si="11">LOG(C8)</f>
        <v>4.1683206655188654</v>
      </c>
      <c r="D39" s="22">
        <f t="shared" si="11"/>
        <v>2.4265112613645754</v>
      </c>
      <c r="E39" s="22">
        <f t="shared" si="11"/>
        <v>5.6312793554047351</v>
      </c>
      <c r="F39" s="22">
        <f t="shared" si="11"/>
        <v>0</v>
      </c>
      <c r="G39" s="22">
        <f t="shared" si="11"/>
        <v>2.9561684304753633</v>
      </c>
      <c r="H39" s="22">
        <f t="shared" si="11"/>
        <v>3.694166295933198</v>
      </c>
      <c r="I39" s="22">
        <f t="shared" si="11"/>
        <v>5.7228263513146089</v>
      </c>
      <c r="J39" s="22">
        <f t="shared" si="11"/>
        <v>4.1004394752791082</v>
      </c>
      <c r="K39" s="22">
        <f t="shared" si="11"/>
        <v>5.0517234854812934</v>
      </c>
      <c r="L39" s="22">
        <f t="shared" si="11"/>
        <v>3.4954055631461931</v>
      </c>
      <c r="M39" s="22">
        <f t="shared" si="11"/>
        <v>6.0550589922616131</v>
      </c>
      <c r="N39" s="22">
        <f t="shared" si="11"/>
        <v>3.7557224449034581</v>
      </c>
      <c r="O39" s="22">
        <f t="shared" si="11"/>
        <v>4.575776515429534</v>
      </c>
      <c r="P39" s="22">
        <f t="shared" si="11"/>
        <v>4.9410391166749594</v>
      </c>
      <c r="Q39" s="22">
        <f t="shared" si="11"/>
        <v>5.5834345670025112</v>
      </c>
      <c r="R39" s="22">
        <f t="shared" si="11"/>
        <v>6.4510170685602137</v>
      </c>
      <c r="S39" s="22">
        <f t="shared" si="11"/>
        <v>6.7939789336905969</v>
      </c>
      <c r="T39" s="22">
        <f t="shared" si="11"/>
        <v>6.449106582731333</v>
      </c>
      <c r="U39" s="22">
        <f t="shared" si="11"/>
        <v>6.4444200329172423</v>
      </c>
      <c r="V39" s="22">
        <f t="shared" si="11"/>
        <v>5.4684477678612318</v>
      </c>
      <c r="W39" s="22">
        <f t="shared" si="11"/>
        <v>5.6187319642426257</v>
      </c>
      <c r="X39" s="22">
        <f t="shared" si="11"/>
        <v>5.427805707512646</v>
      </c>
      <c r="Y39" s="22">
        <f t="shared" si="11"/>
        <v>4.6365580999484548</v>
      </c>
      <c r="Z39" s="22">
        <f t="shared" si="11"/>
        <v>2.8680563618230415</v>
      </c>
      <c r="AA39" s="22">
        <f t="shared" si="11"/>
        <v>4.3676540466474076</v>
      </c>
      <c r="AB39" s="22">
        <f t="shared" si="11"/>
        <v>3.8272399995056454</v>
      </c>
      <c r="AC39" s="22">
        <f t="shared" si="11"/>
        <v>3.777499319590365</v>
      </c>
      <c r="AD39" s="22">
        <f t="shared" si="11"/>
        <v>3.9282421831573089</v>
      </c>
      <c r="AE39" s="22">
        <f t="shared" si="11"/>
        <v>3.3426200425533481</v>
      </c>
      <c r="AF39" s="22">
        <f t="shared" si="11"/>
        <v>2.9647309210536292</v>
      </c>
      <c r="AG39" s="22">
        <f t="shared" si="11"/>
        <v>4.4605971888976015</v>
      </c>
      <c r="AH39" s="46">
        <v>4.1015408730000003</v>
      </c>
      <c r="AI39" s="22">
        <f t="shared" si="9"/>
        <v>4.1800971889800937</v>
      </c>
      <c r="AJ39" s="22">
        <f t="shared" si="9"/>
        <v>3.5086643630529428</v>
      </c>
      <c r="AK39" s="15">
        <f>MEDIAN(C39:AG39)</f>
        <v>4.4605971888976015</v>
      </c>
    </row>
    <row r="40" spans="1:37">
      <c r="A40" s="2" t="s">
        <v>141</v>
      </c>
      <c r="B40" s="2" t="s">
        <v>44</v>
      </c>
      <c r="C40" s="22">
        <f t="shared" ref="C40:AG40" si="12">LOG(C9)</f>
        <v>4.7122960621761205</v>
      </c>
      <c r="D40" s="22">
        <f t="shared" si="12"/>
        <v>0</v>
      </c>
      <c r="E40" s="22">
        <f t="shared" si="12"/>
        <v>6.1581268837593184</v>
      </c>
      <c r="F40" s="22">
        <f t="shared" si="12"/>
        <v>2.7520484478194387</v>
      </c>
      <c r="G40" s="22">
        <f t="shared" si="12"/>
        <v>3.4163075870598827</v>
      </c>
      <c r="H40" s="22">
        <f t="shared" si="12"/>
        <v>4.2102649990322885</v>
      </c>
      <c r="I40" s="22">
        <f t="shared" si="12"/>
        <v>6.0364336584681837</v>
      </c>
      <c r="J40" s="22">
        <f t="shared" si="12"/>
        <v>4.5817221599490985</v>
      </c>
      <c r="K40" s="22">
        <f t="shared" si="12"/>
        <v>5.6302010062485941</v>
      </c>
      <c r="L40" s="22">
        <f t="shared" si="12"/>
        <v>4.0260427210051386</v>
      </c>
      <c r="M40" s="22">
        <f t="shared" si="12"/>
        <v>6.4842015780045053</v>
      </c>
      <c r="N40" s="22">
        <f t="shared" si="12"/>
        <v>4.2318771873464787</v>
      </c>
      <c r="O40" s="22">
        <f t="shared" si="12"/>
        <v>4.9343065112733306</v>
      </c>
      <c r="P40" s="22">
        <f t="shared" si="12"/>
        <v>5.417699160751491</v>
      </c>
      <c r="Q40" s="22">
        <f t="shared" si="12"/>
        <v>5.9904938054388319</v>
      </c>
      <c r="R40" s="22">
        <f t="shared" si="12"/>
        <v>6.7304690347929679</v>
      </c>
      <c r="S40" s="22">
        <f t="shared" si="12"/>
        <v>7.0483965848478398</v>
      </c>
      <c r="T40" s="22">
        <f t="shared" si="12"/>
        <v>6.7269072450263794</v>
      </c>
      <c r="U40" s="22">
        <f t="shared" si="12"/>
        <v>6.724112527773852</v>
      </c>
      <c r="V40" s="22">
        <f t="shared" si="12"/>
        <v>5.7620202476563556</v>
      </c>
      <c r="W40" s="22">
        <f t="shared" si="12"/>
        <v>5.9150292339658126</v>
      </c>
      <c r="X40" s="22">
        <f t="shared" si="12"/>
        <v>5.6523565933125015</v>
      </c>
      <c r="Y40" s="22">
        <f t="shared" si="12"/>
        <v>5.0079866169409089</v>
      </c>
      <c r="Z40" s="22">
        <f t="shared" si="12"/>
        <v>3.1357685145678222</v>
      </c>
      <c r="AA40" s="22">
        <f t="shared" si="12"/>
        <v>4.9372570364055237</v>
      </c>
      <c r="AB40" s="22">
        <f t="shared" si="12"/>
        <v>4.0726174765452363</v>
      </c>
      <c r="AC40" s="22">
        <f t="shared" si="12"/>
        <v>4.4221464559621255</v>
      </c>
      <c r="AD40" s="22">
        <f t="shared" si="12"/>
        <v>4.3188143487606592</v>
      </c>
      <c r="AE40" s="22">
        <f t="shared" si="12"/>
        <v>3.5389505620143615</v>
      </c>
      <c r="AF40" s="22">
        <f t="shared" si="12"/>
        <v>3.2487087356009177</v>
      </c>
      <c r="AG40" s="22">
        <f t="shared" si="12"/>
        <v>4.6436007061922968</v>
      </c>
      <c r="AH40" s="46">
        <v>4.4663485280000002</v>
      </c>
      <c r="AI40" s="22">
        <f t="shared" si="9"/>
        <v>4.6033609243483804</v>
      </c>
      <c r="AJ40" s="22">
        <f t="shared" si="9"/>
        <v>3.623559390005437</v>
      </c>
      <c r="AK40" s="15">
        <f>MEDIAN(C40:AG40)</f>
        <v>4.9343065112733306</v>
      </c>
    </row>
    <row r="41" spans="1:37">
      <c r="A41" s="2" t="s">
        <v>142</v>
      </c>
      <c r="B41" s="2" t="s">
        <v>44</v>
      </c>
      <c r="C41" s="22">
        <f t="shared" ref="C41:AG41" si="13">LOG(C10)</f>
        <v>5.1162390348617706</v>
      </c>
      <c r="D41" s="22">
        <f t="shared" si="13"/>
        <v>2.5526682161121932</v>
      </c>
      <c r="E41" s="22">
        <f t="shared" si="13"/>
        <v>5.8231545855991085</v>
      </c>
      <c r="F41" s="22">
        <f t="shared" si="13"/>
        <v>2.9885589568786157</v>
      </c>
      <c r="G41" s="22">
        <f t="shared" si="13"/>
        <v>3.4717316514800509</v>
      </c>
      <c r="H41" s="22">
        <f t="shared" si="13"/>
        <v>4.4551647486296257</v>
      </c>
      <c r="I41" s="22">
        <f t="shared" si="13"/>
        <v>5.9336001492542563</v>
      </c>
      <c r="J41" s="22">
        <f t="shared" si="13"/>
        <v>4.8546946070403578</v>
      </c>
      <c r="K41" s="22">
        <f t="shared" si="13"/>
        <v>5.772916986268565</v>
      </c>
      <c r="L41" s="22">
        <f t="shared" si="13"/>
        <v>4.1331874986411661</v>
      </c>
      <c r="M41" s="22">
        <f t="shared" si="13"/>
        <v>6.5696218900185279</v>
      </c>
      <c r="N41" s="22">
        <f t="shared" si="13"/>
        <v>4.4450434614501795</v>
      </c>
      <c r="O41" s="22">
        <f t="shared" si="13"/>
        <v>5.2879382649781403</v>
      </c>
      <c r="P41" s="22">
        <f t="shared" si="13"/>
        <v>5.5187205096330949</v>
      </c>
      <c r="Q41" s="22">
        <f t="shared" si="13"/>
        <v>5.9636032129574099</v>
      </c>
      <c r="R41" s="22">
        <f t="shared" si="13"/>
        <v>6.8567298568229349</v>
      </c>
      <c r="S41" s="22">
        <f t="shared" si="13"/>
        <v>7.1745083857291778</v>
      </c>
      <c r="T41" s="22">
        <f t="shared" si="13"/>
        <v>6.8479308660137796</v>
      </c>
      <c r="U41" s="22">
        <f t="shared" si="13"/>
        <v>6.8468306405138257</v>
      </c>
      <c r="V41" s="22">
        <f t="shared" si="13"/>
        <v>5.8106343569561636</v>
      </c>
      <c r="W41" s="22">
        <f t="shared" si="13"/>
        <v>5.9165586930108267</v>
      </c>
      <c r="X41" s="22">
        <f t="shared" si="13"/>
        <v>5.8632431329938042</v>
      </c>
      <c r="Y41" s="22">
        <f t="shared" si="13"/>
        <v>5.0933376200301401</v>
      </c>
      <c r="Z41" s="22">
        <f t="shared" si="13"/>
        <v>3.3184807251745174</v>
      </c>
      <c r="AA41" s="22">
        <f t="shared" si="13"/>
        <v>4.9892094652882539</v>
      </c>
      <c r="AB41" s="22">
        <f t="shared" si="13"/>
        <v>4.4786674825683486</v>
      </c>
      <c r="AC41" s="22">
        <f t="shared" si="13"/>
        <v>4.2973008127714794</v>
      </c>
      <c r="AD41" s="22">
        <f t="shared" si="13"/>
        <v>4.4624878426357322</v>
      </c>
      <c r="AE41" s="22">
        <f t="shared" si="13"/>
        <v>3.6905504615103588</v>
      </c>
      <c r="AF41" s="22">
        <f t="shared" si="13"/>
        <v>3.4051755462179893</v>
      </c>
      <c r="AG41" s="22">
        <f t="shared" si="13"/>
        <v>4.6572088812173567</v>
      </c>
      <c r="AH41" s="46">
        <v>4.7415061410000003</v>
      </c>
      <c r="AI41" s="22">
        <f>LOG(AI10)</f>
        <v>4.8279698900860044</v>
      </c>
      <c r="AJ41" s="22">
        <f>LOG(AJ10)</f>
        <v>4.0480142909380543</v>
      </c>
      <c r="AK41" s="15">
        <f>MEDIAN(C41:AG41)</f>
        <v>5.0933376200301401</v>
      </c>
    </row>
    <row r="42" spans="1:37">
      <c r="B42" s="9" t="s">
        <v>51</v>
      </c>
      <c r="C42" s="15">
        <f t="shared" ref="C42:AG42" si="14">AVERAGE(C37:C41)</f>
        <v>4.7674111455557782</v>
      </c>
      <c r="D42" s="15">
        <f t="shared" si="14"/>
        <v>2.0825706648227662</v>
      </c>
      <c r="E42" s="15">
        <f t="shared" si="14"/>
        <v>5.82791745974035</v>
      </c>
      <c r="F42" s="15">
        <f t="shared" si="14"/>
        <v>2.2828150570368448</v>
      </c>
      <c r="G42" s="15">
        <f t="shared" si="14"/>
        <v>3.3160125038907382</v>
      </c>
      <c r="H42" s="15">
        <f t="shared" si="14"/>
        <v>4.1764360638110434</v>
      </c>
      <c r="I42" s="15">
        <f t="shared" si="14"/>
        <v>5.9012855349297606</v>
      </c>
      <c r="J42" s="15">
        <f t="shared" si="14"/>
        <v>4.5700504830381021</v>
      </c>
      <c r="K42" s="15">
        <f t="shared" si="14"/>
        <v>5.5277058617591406</v>
      </c>
      <c r="L42" s="15">
        <f t="shared" si="14"/>
        <v>3.9168953847128591</v>
      </c>
      <c r="M42" s="15">
        <f t="shared" si="14"/>
        <v>6.4032825356143972</v>
      </c>
      <c r="N42" s="15">
        <f t="shared" si="14"/>
        <v>4.1971964537821869</v>
      </c>
      <c r="O42" s="15">
        <f t="shared" si="14"/>
        <v>4.9647870214811523</v>
      </c>
      <c r="P42" s="15">
        <f t="shared" si="14"/>
        <v>5.3484832680166772</v>
      </c>
      <c r="Q42" s="15">
        <f t="shared" si="14"/>
        <v>5.9107863651750874</v>
      </c>
      <c r="R42" s="15">
        <f t="shared" si="14"/>
        <v>6.6917586302389598</v>
      </c>
      <c r="S42" s="15">
        <f t="shared" si="14"/>
        <v>7.0207366691280866</v>
      </c>
      <c r="T42" s="15">
        <f t="shared" si="14"/>
        <v>6.6865211105673978</v>
      </c>
      <c r="U42" s="15">
        <f t="shared" si="14"/>
        <v>6.6849082471875265</v>
      </c>
      <c r="V42" s="15">
        <f t="shared" si="14"/>
        <v>5.1856333765635698</v>
      </c>
      <c r="W42" s="15">
        <f t="shared" si="14"/>
        <v>5.8058104398209549</v>
      </c>
      <c r="X42" s="15">
        <f t="shared" si="14"/>
        <v>5.6610010237562385</v>
      </c>
      <c r="Y42" s="15">
        <f t="shared" si="14"/>
        <v>4.9881854516374613</v>
      </c>
      <c r="Z42" s="15">
        <f t="shared" si="14"/>
        <v>3.1427211995838467</v>
      </c>
      <c r="AA42" s="15">
        <f t="shared" si="14"/>
        <v>4.7714131528844055</v>
      </c>
      <c r="AB42" s="15">
        <f t="shared" si="14"/>
        <v>4.1863805847674325</v>
      </c>
      <c r="AC42" s="15">
        <f t="shared" si="14"/>
        <v>4.1135607119523048</v>
      </c>
      <c r="AD42" s="15">
        <f t="shared" si="14"/>
        <v>4.2199415430601848</v>
      </c>
      <c r="AE42" s="15">
        <f t="shared" si="14"/>
        <v>3.5467150339780376</v>
      </c>
      <c r="AF42" s="15">
        <f t="shared" si="14"/>
        <v>3.2557466786352847</v>
      </c>
      <c r="AG42" s="15">
        <f t="shared" si="14"/>
        <v>4.5267536383247897</v>
      </c>
      <c r="AH42" s="51">
        <v>4.4603999999999999</v>
      </c>
      <c r="AI42" s="15">
        <f>AVERAGE(AI37:AI41)</f>
        <v>4.5874059747770843</v>
      </c>
      <c r="AJ42" s="15">
        <f>AVERAGE(AJ37:AJ41)</f>
        <v>3.8190676225169611</v>
      </c>
      <c r="AK42" s="15"/>
    </row>
    <row r="43" spans="1:37">
      <c r="B43" s="9" t="s">
        <v>52</v>
      </c>
      <c r="C43" s="15">
        <f t="shared" ref="C43:AG43" si="15">_xlfn.STDEV.S(C37:C42)</f>
        <v>0.33454993641649078</v>
      </c>
      <c r="D43" s="15">
        <f t="shared" si="15"/>
        <v>1.0500106799534508</v>
      </c>
      <c r="E43" s="15">
        <f t="shared" si="15"/>
        <v>0.17665256504323865</v>
      </c>
      <c r="F43" s="15">
        <f t="shared" si="15"/>
        <v>1.1439876200439605</v>
      </c>
      <c r="G43" s="15">
        <f t="shared" si="15"/>
        <v>0.18446328004719653</v>
      </c>
      <c r="H43" s="15">
        <f t="shared" si="15"/>
        <v>0.25642288062756646</v>
      </c>
      <c r="I43" s="15">
        <f t="shared" si="15"/>
        <v>0.10168958731335041</v>
      </c>
      <c r="J43" s="15">
        <f t="shared" si="15"/>
        <v>0.25451134462670871</v>
      </c>
      <c r="K43" s="15">
        <f t="shared" si="15"/>
        <v>0.24814130407740284</v>
      </c>
      <c r="L43" s="15">
        <f t="shared" si="15"/>
        <v>0.22191400488552152</v>
      </c>
      <c r="M43" s="15">
        <f t="shared" si="15"/>
        <v>0.1796682949525806</v>
      </c>
      <c r="N43" s="15">
        <f t="shared" si="15"/>
        <v>0.23460688153799786</v>
      </c>
      <c r="O43" s="15">
        <f t="shared" si="15"/>
        <v>0.23552700581073815</v>
      </c>
      <c r="P43" s="15">
        <f t="shared" si="15"/>
        <v>0.20784608599850349</v>
      </c>
      <c r="Q43" s="15">
        <f t="shared" si="15"/>
        <v>0.1649124551365698</v>
      </c>
      <c r="R43" s="15">
        <f t="shared" si="15"/>
        <v>0.13328247243394248</v>
      </c>
      <c r="S43" s="15">
        <f t="shared" si="15"/>
        <v>0.12499513308316818</v>
      </c>
      <c r="T43" s="15">
        <f t="shared" si="15"/>
        <v>0.13122324068081145</v>
      </c>
      <c r="U43" s="15">
        <f t="shared" si="15"/>
        <v>0.1324880075221124</v>
      </c>
      <c r="V43" s="15">
        <f t="shared" si="15"/>
        <v>0.61781258793062088</v>
      </c>
      <c r="W43" s="15">
        <f t="shared" si="15"/>
        <v>0.1094185303811027</v>
      </c>
      <c r="X43" s="15">
        <f t="shared" si="15"/>
        <v>0.14228431069981962</v>
      </c>
      <c r="Y43" s="15">
        <f t="shared" si="15"/>
        <v>0.17933124112044818</v>
      </c>
      <c r="Z43" s="15">
        <f t="shared" si="15"/>
        <v>0.15327027662247558</v>
      </c>
      <c r="AA43" s="15">
        <f t="shared" si="15"/>
        <v>0.22974491950188702</v>
      </c>
      <c r="AB43" s="15">
        <f t="shared" si="15"/>
        <v>0.24957284433236274</v>
      </c>
      <c r="AC43" s="15">
        <f t="shared" si="15"/>
        <v>0.23267676130170276</v>
      </c>
      <c r="AD43" s="15">
        <f t="shared" si="15"/>
        <v>0.18814565149180876</v>
      </c>
      <c r="AE43" s="15">
        <f t="shared" si="15"/>
        <v>0.11407120454239113</v>
      </c>
      <c r="AF43" s="15">
        <f t="shared" si="15"/>
        <v>0.15375337394370667</v>
      </c>
      <c r="AG43" s="15">
        <f t="shared" si="15"/>
        <v>0.11888857664720419</v>
      </c>
      <c r="AH43" s="51">
        <v>0.21060000000000001</v>
      </c>
      <c r="AI43" s="15">
        <f>_xlfn.STDEV.S(AI37:AI42)</f>
        <v>0.21865399250193107</v>
      </c>
      <c r="AJ43" s="15">
        <f>_xlfn.STDEV.S(AJ37:AJ42)</f>
        <v>0.21709606163632392</v>
      </c>
      <c r="AK43" s="15"/>
    </row>
    <row r="44" spans="1:37">
      <c r="B44" s="9"/>
      <c r="AH44" s="2"/>
    </row>
    <row r="45" spans="1:37">
      <c r="B45" s="9"/>
      <c r="AH45" s="2"/>
    </row>
    <row r="46" spans="1:37">
      <c r="A46" s="3" t="s">
        <v>48</v>
      </c>
      <c r="B46" s="2"/>
      <c r="AH46" s="2"/>
    </row>
    <row r="47" spans="1:37">
      <c r="A47" s="2" t="s">
        <v>131</v>
      </c>
      <c r="B47" s="2" t="s">
        <v>46</v>
      </c>
      <c r="C47" s="35">
        <f>LOG(C17)</f>
        <v>4.6247769713789921</v>
      </c>
      <c r="D47" s="35">
        <f t="shared" ref="D47:AG47" si="16">LOG(D17)</f>
        <v>2.7543483357110188</v>
      </c>
      <c r="E47" s="35">
        <f t="shared" si="16"/>
        <v>5.8159010246311054</v>
      </c>
      <c r="F47" s="35">
        <f t="shared" si="16"/>
        <v>2.7101173651118162</v>
      </c>
      <c r="G47" s="35">
        <f t="shared" si="16"/>
        <v>3.502836638621003</v>
      </c>
      <c r="H47" s="35">
        <f t="shared" si="16"/>
        <v>4.410304733894276</v>
      </c>
      <c r="I47" s="35">
        <f t="shared" si="16"/>
        <v>6.0483773149666114</v>
      </c>
      <c r="J47" s="35">
        <f t="shared" si="16"/>
        <v>4.8685856665587659</v>
      </c>
      <c r="K47" s="35">
        <f t="shared" si="16"/>
        <v>5.9052101321036083</v>
      </c>
      <c r="L47" s="35">
        <f t="shared" si="16"/>
        <v>4.336779832983642</v>
      </c>
      <c r="M47" s="35">
        <f t="shared" si="16"/>
        <v>6.6568411396973231</v>
      </c>
      <c r="N47" s="35">
        <f t="shared" si="16"/>
        <v>4.545406089684553</v>
      </c>
      <c r="O47" s="35">
        <f t="shared" si="16"/>
        <v>5.3828613835632817</v>
      </c>
      <c r="P47" s="35">
        <f t="shared" si="16"/>
        <v>5.5959897583652864</v>
      </c>
      <c r="Q47" s="35">
        <f t="shared" si="16"/>
        <v>5.9857012456979728</v>
      </c>
      <c r="R47" s="35">
        <f t="shared" si="16"/>
        <v>6.9096477990189156</v>
      </c>
      <c r="S47" s="35">
        <f t="shared" si="16"/>
        <v>7.201767236756357</v>
      </c>
      <c r="T47" s="35">
        <f t="shared" si="16"/>
        <v>6.9008475367043598</v>
      </c>
      <c r="U47" s="35">
        <f t="shared" si="16"/>
        <v>6.8984721532925928</v>
      </c>
      <c r="V47" s="35">
        <f t="shared" si="16"/>
        <v>5.8360106268344891</v>
      </c>
      <c r="W47" s="35">
        <f t="shared" si="16"/>
        <v>5.9837647161569505</v>
      </c>
      <c r="X47" s="35">
        <f t="shared" si="16"/>
        <v>5.7447348778401315</v>
      </c>
      <c r="Y47" s="35">
        <f t="shared" si="16"/>
        <v>4.8768468808058936</v>
      </c>
      <c r="Z47" s="35">
        <f t="shared" si="16"/>
        <v>3.5969268143429707</v>
      </c>
      <c r="AA47" s="35">
        <f t="shared" si="16"/>
        <v>5.3333646398432837</v>
      </c>
      <c r="AB47" s="35">
        <f t="shared" si="16"/>
        <v>4.4843995020539067</v>
      </c>
      <c r="AC47" s="35">
        <f t="shared" si="16"/>
        <v>4.4344571226876983</v>
      </c>
      <c r="AD47" s="35">
        <f t="shared" si="16"/>
        <v>4.8068377032483749</v>
      </c>
      <c r="AE47" s="35">
        <f t="shared" si="16"/>
        <v>3.4191293077419758</v>
      </c>
      <c r="AF47" s="35">
        <f t="shared" si="16"/>
        <v>3.0969100130080562</v>
      </c>
      <c r="AG47" s="35">
        <f t="shared" si="16"/>
        <v>5.365991250147486</v>
      </c>
      <c r="AH47" s="11">
        <v>4.866269612</v>
      </c>
      <c r="AI47" s="35">
        <f t="shared" ref="AI47:AJ53" si="17">LOG(AI17)</f>
        <v>4.8302934790795664</v>
      </c>
      <c r="AJ47" s="35">
        <f t="shared" si="17"/>
        <v>4.1624150361064469</v>
      </c>
      <c r="AK47" s="15">
        <f t="shared" ref="AK47:AK53" si="18">MEDIAN(C47:AG47)</f>
        <v>5.3333646398432837</v>
      </c>
    </row>
    <row r="48" spans="1:37">
      <c r="A48" s="2" t="s">
        <v>132</v>
      </c>
      <c r="B48" s="2" t="s">
        <v>46</v>
      </c>
      <c r="C48" s="35">
        <f t="shared" ref="C48:AG48" si="19">LOG(C18)</f>
        <v>4.300986564044174</v>
      </c>
      <c r="D48" s="35">
        <f t="shared" si="19"/>
        <v>2.3180633349627615</v>
      </c>
      <c r="E48" s="35">
        <f t="shared" si="19"/>
        <v>5.6371073019860942</v>
      </c>
      <c r="F48" s="35">
        <f t="shared" si="19"/>
        <v>2.7234556720351857</v>
      </c>
      <c r="G48" s="35">
        <f t="shared" si="19"/>
        <v>3.3762118502826728</v>
      </c>
      <c r="H48" s="35">
        <f t="shared" si="19"/>
        <v>4.2141282618234097</v>
      </c>
      <c r="I48" s="35">
        <f t="shared" si="19"/>
        <v>5.8421616108088132</v>
      </c>
      <c r="J48" s="35">
        <f t="shared" si="19"/>
        <v>4.6403223984327466</v>
      </c>
      <c r="K48" s="35">
        <f t="shared" si="19"/>
        <v>5.6834127007711635</v>
      </c>
      <c r="L48" s="35">
        <f t="shared" si="19"/>
        <v>4.1046236604353261</v>
      </c>
      <c r="M48" s="35">
        <f t="shared" si="19"/>
        <v>6.4171315980073773</v>
      </c>
      <c r="N48" s="35">
        <f t="shared" si="19"/>
        <v>4.3538970054181618</v>
      </c>
      <c r="O48" s="35">
        <f t="shared" si="19"/>
        <v>5.0119424158462058</v>
      </c>
      <c r="P48" s="35">
        <f t="shared" si="19"/>
        <v>5.4495416488398396</v>
      </c>
      <c r="Q48" s="35">
        <f t="shared" si="19"/>
        <v>5.8729541748216461</v>
      </c>
      <c r="R48" s="35">
        <f t="shared" si="19"/>
        <v>6.6857181875619069</v>
      </c>
      <c r="S48" s="35">
        <f t="shared" si="19"/>
        <v>7.0043120858013364</v>
      </c>
      <c r="T48" s="35">
        <f t="shared" si="19"/>
        <v>6.6817701211293468</v>
      </c>
      <c r="U48" s="35">
        <f t="shared" si="19"/>
        <v>6.680074677078415</v>
      </c>
      <c r="V48" s="35">
        <f t="shared" si="19"/>
        <v>4.3706610982843239</v>
      </c>
      <c r="W48" s="35">
        <f t="shared" si="19"/>
        <v>5.7691483009206808</v>
      </c>
      <c r="X48" s="35">
        <f t="shared" si="19"/>
        <v>5.5861235096320465</v>
      </c>
      <c r="Y48" s="35">
        <f t="shared" si="19"/>
        <v>4.8348846358436095</v>
      </c>
      <c r="Z48" s="35">
        <f t="shared" si="19"/>
        <v>3.0542299098633974</v>
      </c>
      <c r="AA48" s="35">
        <f t="shared" si="19"/>
        <v>5.0259036328811124</v>
      </c>
      <c r="AB48" s="35">
        <f t="shared" si="19"/>
        <v>3.8989444668665096</v>
      </c>
      <c r="AC48" s="35">
        <f t="shared" si="19"/>
        <v>4.2486352446993285</v>
      </c>
      <c r="AD48" s="35">
        <f t="shared" si="19"/>
        <v>4.7119505647286868</v>
      </c>
      <c r="AE48" s="35">
        <f t="shared" si="19"/>
        <v>3.4010557257718439</v>
      </c>
      <c r="AF48" s="35">
        <f t="shared" si="19"/>
        <v>3.1179338350396413</v>
      </c>
      <c r="AG48" s="35">
        <f t="shared" si="19"/>
        <v>5.1206759126322794</v>
      </c>
      <c r="AH48" s="11">
        <v>4.573498206</v>
      </c>
      <c r="AI48" s="35">
        <f t="shared" si="17"/>
        <v>4.6085153365370353</v>
      </c>
      <c r="AJ48" s="35">
        <f t="shared" si="17"/>
        <v>3.9676883504533125</v>
      </c>
      <c r="AK48" s="15">
        <f t="shared" si="18"/>
        <v>4.8348846358436095</v>
      </c>
    </row>
    <row r="49" spans="1:37">
      <c r="A49" s="2" t="s">
        <v>133</v>
      </c>
      <c r="B49" s="2" t="s">
        <v>46</v>
      </c>
      <c r="C49" s="35">
        <f t="shared" ref="C49:AG49" si="20">LOG(C19)</f>
        <v>5.1642130261486683</v>
      </c>
      <c r="D49" s="35">
        <f t="shared" si="20"/>
        <v>2.503790683057181</v>
      </c>
      <c r="E49" s="35">
        <f t="shared" si="20"/>
        <v>6.4784640419544335</v>
      </c>
      <c r="F49" s="35">
        <f t="shared" si="20"/>
        <v>3.3197304943302246</v>
      </c>
      <c r="G49" s="35">
        <f t="shared" si="20"/>
        <v>3.8319976772358961</v>
      </c>
      <c r="H49" s="35">
        <f t="shared" si="20"/>
        <v>4.7234392522736801</v>
      </c>
      <c r="I49" s="35">
        <f t="shared" si="20"/>
        <v>6.2594330789415915</v>
      </c>
      <c r="J49" s="35">
        <f t="shared" si="20"/>
        <v>5.1817578634686772</v>
      </c>
      <c r="K49" s="35">
        <f t="shared" si="20"/>
        <v>6.1217104916520508</v>
      </c>
      <c r="L49" s="35">
        <f t="shared" si="20"/>
        <v>4.575891847510599</v>
      </c>
      <c r="M49" s="35">
        <f t="shared" si="20"/>
        <v>6.9628752757186021</v>
      </c>
      <c r="N49" s="35">
        <f t="shared" si="20"/>
        <v>4.7943904414262821</v>
      </c>
      <c r="O49" s="35">
        <f t="shared" si="20"/>
        <v>5.7074083499685271</v>
      </c>
      <c r="P49" s="35">
        <f t="shared" si="20"/>
        <v>5.8412806144421765</v>
      </c>
      <c r="Q49" s="35">
        <f t="shared" si="20"/>
        <v>6.3139112800500072</v>
      </c>
      <c r="R49" s="35">
        <f t="shared" si="20"/>
        <v>7.297047617725986</v>
      </c>
      <c r="S49" s="35">
        <f t="shared" si="20"/>
        <v>7.5782883210314118</v>
      </c>
      <c r="T49" s="35">
        <f t="shared" si="20"/>
        <v>7.290051559652361</v>
      </c>
      <c r="U49" s="35">
        <f t="shared" si="20"/>
        <v>7.2847824939651371</v>
      </c>
      <c r="V49" s="35">
        <f t="shared" si="20"/>
        <v>6.2162205486701705</v>
      </c>
      <c r="W49" s="35">
        <f t="shared" si="20"/>
        <v>6.4194757778602209</v>
      </c>
      <c r="X49" s="35">
        <f t="shared" si="20"/>
        <v>6.1986153047159727</v>
      </c>
      <c r="Y49" s="35">
        <f t="shared" si="20"/>
        <v>4.9823707474560797</v>
      </c>
      <c r="Z49" s="35">
        <f t="shared" si="20"/>
        <v>4.0478587274074567</v>
      </c>
      <c r="AA49" s="35">
        <f t="shared" si="20"/>
        <v>5.6166519265978652</v>
      </c>
      <c r="AB49" s="35">
        <f t="shared" si="20"/>
        <v>5.1178047191655676</v>
      </c>
      <c r="AC49" s="35">
        <f t="shared" si="20"/>
        <v>4.7774485728203686</v>
      </c>
      <c r="AD49" s="35">
        <f t="shared" si="20"/>
        <v>4.8804362779520885</v>
      </c>
      <c r="AE49" s="35">
        <f t="shared" si="20"/>
        <v>4.1799537296315483</v>
      </c>
      <c r="AF49" s="35">
        <f t="shared" si="20"/>
        <v>3.8951461893759922</v>
      </c>
      <c r="AG49" s="35">
        <f t="shared" si="20"/>
        <v>5.0757622305061281</v>
      </c>
      <c r="AH49" s="11">
        <v>5.1609544769999998</v>
      </c>
      <c r="AI49" s="35">
        <f t="shared" si="17"/>
        <v>5.2939853702223827</v>
      </c>
      <c r="AJ49" s="35">
        <f t="shared" si="17"/>
        <v>5.1058540779335768</v>
      </c>
      <c r="AK49" s="15">
        <f t="shared" si="18"/>
        <v>5.1817578634686772</v>
      </c>
    </row>
    <row r="50" spans="1:37">
      <c r="A50" s="2" t="s">
        <v>134</v>
      </c>
      <c r="B50" s="2" t="s">
        <v>47</v>
      </c>
      <c r="C50" s="35">
        <f t="shared" ref="C50:AG50" si="21">LOG(C20)</f>
        <v>4.2258518108181571</v>
      </c>
      <c r="D50" s="35">
        <f t="shared" si="21"/>
        <v>2.5132176000679389</v>
      </c>
      <c r="E50" s="35">
        <f t="shared" si="21"/>
        <v>5.8282853655102649</v>
      </c>
      <c r="F50" s="35">
        <f t="shared" si="21"/>
        <v>2.5490032620257876</v>
      </c>
      <c r="G50" s="35">
        <f t="shared" si="21"/>
        <v>3.214843848047698</v>
      </c>
      <c r="H50" s="35">
        <f t="shared" si="21"/>
        <v>4.1799537296315483</v>
      </c>
      <c r="I50" s="35">
        <f t="shared" si="21"/>
        <v>5.9038710143454391</v>
      </c>
      <c r="J50" s="35">
        <f t="shared" si="21"/>
        <v>4.487746245072441</v>
      </c>
      <c r="K50" s="35">
        <f t="shared" si="21"/>
        <v>5.5032607656799062</v>
      </c>
      <c r="L50" s="35">
        <f t="shared" si="21"/>
        <v>3.916453948549925</v>
      </c>
      <c r="M50" s="35">
        <f t="shared" si="21"/>
        <v>6.2704517327439486</v>
      </c>
      <c r="N50" s="35">
        <f t="shared" si="21"/>
        <v>4.1264561134318045</v>
      </c>
      <c r="O50" s="35">
        <f t="shared" si="21"/>
        <v>5.1771554233428576</v>
      </c>
      <c r="P50" s="35">
        <f t="shared" si="21"/>
        <v>5.0382266154062041</v>
      </c>
      <c r="Q50" s="35">
        <f t="shared" si="21"/>
        <v>5.5337402919741487</v>
      </c>
      <c r="R50" s="35">
        <f t="shared" si="21"/>
        <v>6.685024695412503</v>
      </c>
      <c r="S50" s="35">
        <f t="shared" si="21"/>
        <v>7.0026435231309625</v>
      </c>
      <c r="T50" s="35">
        <f t="shared" si="21"/>
        <v>6.6797227169989197</v>
      </c>
      <c r="U50" s="35">
        <f t="shared" si="21"/>
        <v>6.6784554609634439</v>
      </c>
      <c r="V50" s="35">
        <f t="shared" si="21"/>
        <v>5.7201866010583311</v>
      </c>
      <c r="W50" s="35">
        <f t="shared" si="21"/>
        <v>5.8704694542161224</v>
      </c>
      <c r="X50" s="35">
        <f t="shared" si="21"/>
        <v>5.6924873543482573</v>
      </c>
      <c r="Y50" s="35">
        <f t="shared" si="21"/>
        <v>4.4769764657595275</v>
      </c>
      <c r="Z50" s="35">
        <f t="shared" si="21"/>
        <v>3.2669369111591728</v>
      </c>
      <c r="AA50" s="35">
        <f t="shared" si="21"/>
        <v>4.9937755971087148</v>
      </c>
      <c r="AB50" s="35">
        <f t="shared" si="21"/>
        <v>3.6655809910179533</v>
      </c>
      <c r="AC50" s="35">
        <f t="shared" si="21"/>
        <v>4.1655410767223726</v>
      </c>
      <c r="AD50" s="35">
        <f t="shared" si="21"/>
        <v>4.5383600525964507</v>
      </c>
      <c r="AE50" s="35">
        <f t="shared" si="21"/>
        <v>2.9978230807457256</v>
      </c>
      <c r="AF50" s="35">
        <f t="shared" si="21"/>
        <v>2.3654879848908998</v>
      </c>
      <c r="AG50" s="35">
        <f t="shared" si="21"/>
        <v>4.8127262356370784</v>
      </c>
      <c r="AH50" s="11">
        <v>4.6170003409999998</v>
      </c>
      <c r="AI50" s="35">
        <f t="shared" si="17"/>
        <v>4.6785456922995738</v>
      </c>
      <c r="AJ50" s="35">
        <f t="shared" si="17"/>
        <v>4.1688803424136429</v>
      </c>
      <c r="AK50" s="15">
        <f t="shared" si="18"/>
        <v>4.8127262356370784</v>
      </c>
    </row>
    <row r="51" spans="1:37">
      <c r="A51" s="2" t="s">
        <v>135</v>
      </c>
      <c r="B51" s="2" t="s">
        <v>47</v>
      </c>
      <c r="C51" s="35">
        <f t="shared" ref="C51:AG51" si="22">LOG(C21)</f>
        <v>4.661481397843616</v>
      </c>
      <c r="D51" s="35">
        <f t="shared" si="22"/>
        <v>2.6655809910179533</v>
      </c>
      <c r="E51" s="35">
        <f t="shared" si="22"/>
        <v>6.2801021608661465</v>
      </c>
      <c r="F51" s="35">
        <f t="shared" si="22"/>
        <v>3.0503797562614579</v>
      </c>
      <c r="G51" s="35">
        <f t="shared" si="22"/>
        <v>3.5265977091034522</v>
      </c>
      <c r="H51" s="35">
        <f t="shared" si="22"/>
        <v>4.414287958434695</v>
      </c>
      <c r="I51" s="35">
        <f t="shared" si="22"/>
        <v>6.1227141296383101</v>
      </c>
      <c r="J51" s="35">
        <f t="shared" si="22"/>
        <v>4.8648491295875624</v>
      </c>
      <c r="K51" s="35">
        <f t="shared" si="22"/>
        <v>5.9171324968311163</v>
      </c>
      <c r="L51" s="35">
        <f t="shared" si="22"/>
        <v>4.3302919914681564</v>
      </c>
      <c r="M51" s="35">
        <f t="shared" si="22"/>
        <v>6.6842657662020448</v>
      </c>
      <c r="N51" s="35">
        <f t="shared" si="22"/>
        <v>4.5984512526557531</v>
      </c>
      <c r="O51" s="35">
        <f t="shared" si="22"/>
        <v>5.5315070175407834</v>
      </c>
      <c r="P51" s="35">
        <f t="shared" si="22"/>
        <v>5.536550867601715</v>
      </c>
      <c r="Q51" s="35">
        <f t="shared" si="22"/>
        <v>5.9569225062231306</v>
      </c>
      <c r="R51" s="35">
        <f t="shared" si="22"/>
        <v>7.0327161237546241</v>
      </c>
      <c r="S51" s="35">
        <f t="shared" si="22"/>
        <v>7.3099370242940598</v>
      </c>
      <c r="T51" s="35">
        <f t="shared" si="22"/>
        <v>7.0258550642703286</v>
      </c>
      <c r="U51" s="35">
        <f t="shared" si="22"/>
        <v>7.0232438971557274</v>
      </c>
      <c r="V51" s="35">
        <f t="shared" si="22"/>
        <v>5.9317384949396592</v>
      </c>
      <c r="W51" s="35">
        <f t="shared" si="22"/>
        <v>6.085629459750213</v>
      </c>
      <c r="X51" s="35">
        <f t="shared" si="22"/>
        <v>5.8461675680883713</v>
      </c>
      <c r="Y51" s="35">
        <f t="shared" si="22"/>
        <v>4.9938725103095249</v>
      </c>
      <c r="Z51" s="35">
        <f t="shared" si="22"/>
        <v>2.9795483747040952</v>
      </c>
      <c r="AA51" s="35">
        <f t="shared" si="22"/>
        <v>5.2953603485731868</v>
      </c>
      <c r="AB51" s="35">
        <f t="shared" si="22"/>
        <v>4.7050165252149725</v>
      </c>
      <c r="AC51" s="35">
        <f t="shared" si="22"/>
        <v>4.4725370532620774</v>
      </c>
      <c r="AD51" s="35">
        <f t="shared" si="22"/>
        <v>4.8418723108755612</v>
      </c>
      <c r="AE51" s="35">
        <f t="shared" si="22"/>
        <v>3.514547752660286</v>
      </c>
      <c r="AF51" s="35">
        <f t="shared" si="22"/>
        <v>3.4504030861553661</v>
      </c>
      <c r="AG51" s="35">
        <f t="shared" si="22"/>
        <v>5.2489536154957079</v>
      </c>
      <c r="AH51" s="11">
        <v>4.9591797719999997</v>
      </c>
      <c r="AI51" s="35">
        <f t="shared" si="17"/>
        <v>4.9400181550076629</v>
      </c>
      <c r="AJ51" s="35">
        <f t="shared" si="17"/>
        <v>4.3784160718852299</v>
      </c>
      <c r="AK51" s="15">
        <f t="shared" si="18"/>
        <v>5.2489536154957079</v>
      </c>
    </row>
    <row r="52" spans="1:37">
      <c r="A52" s="2" t="s">
        <v>136</v>
      </c>
      <c r="B52" s="2" t="s">
        <v>47</v>
      </c>
      <c r="C52" s="35">
        <f t="shared" ref="C52:AG52" si="23">LOG(C22)</f>
        <v>4.748234556065249</v>
      </c>
      <c r="D52" s="35">
        <f t="shared" si="23"/>
        <v>2.7118072290411912</v>
      </c>
      <c r="E52" s="35">
        <f t="shared" si="23"/>
        <v>5.6118528337435647</v>
      </c>
      <c r="F52" s="35">
        <f t="shared" si="23"/>
        <v>2.9542425094393248</v>
      </c>
      <c r="G52" s="35">
        <f t="shared" si="23"/>
        <v>3.5240064455573727</v>
      </c>
      <c r="H52" s="35">
        <f t="shared" si="23"/>
        <v>4.4553778768849766</v>
      </c>
      <c r="I52" s="35">
        <f t="shared" si="23"/>
        <v>5.8154309665187567</v>
      </c>
      <c r="J52" s="35">
        <f t="shared" si="23"/>
        <v>4.8828431692838494</v>
      </c>
      <c r="K52" s="35">
        <f t="shared" si="23"/>
        <v>5.9041570394803182</v>
      </c>
      <c r="L52" s="35">
        <f t="shared" si="23"/>
        <v>4.2722594429402223</v>
      </c>
      <c r="M52" s="35">
        <f t="shared" si="23"/>
        <v>6.532691076913772</v>
      </c>
      <c r="N52" s="35">
        <f t="shared" si="23"/>
        <v>4.5357749962920328</v>
      </c>
      <c r="O52" s="35">
        <f t="shared" si="23"/>
        <v>5.2461389818802608</v>
      </c>
      <c r="P52" s="35">
        <f t="shared" si="23"/>
        <v>5.55481975211947</v>
      </c>
      <c r="Q52" s="35">
        <f t="shared" si="23"/>
        <v>5.9560324519572845</v>
      </c>
      <c r="R52" s="35">
        <f t="shared" si="23"/>
        <v>6.8725899425731454</v>
      </c>
      <c r="S52" s="35">
        <f t="shared" si="23"/>
        <v>7.1838040531842466</v>
      </c>
      <c r="T52" s="35">
        <f t="shared" si="23"/>
        <v>6.8633243474277785</v>
      </c>
      <c r="U52" s="35">
        <f t="shared" si="23"/>
        <v>6.8615689379886566</v>
      </c>
      <c r="V52" s="35">
        <f t="shared" si="23"/>
        <v>5.851990526659872</v>
      </c>
      <c r="W52" s="35">
        <f t="shared" si="23"/>
        <v>5.9757974729469048</v>
      </c>
      <c r="X52" s="35">
        <f t="shared" si="23"/>
        <v>5.8126085754397936</v>
      </c>
      <c r="Y52" s="35">
        <f t="shared" si="23"/>
        <v>5.1752334045829942</v>
      </c>
      <c r="Z52" s="35">
        <f t="shared" si="23"/>
        <v>3.2900346113625178</v>
      </c>
      <c r="AA52" s="35">
        <f t="shared" si="23"/>
        <v>5.1018879219410671</v>
      </c>
      <c r="AB52" s="35">
        <f t="shared" si="23"/>
        <v>4.4889171740735287</v>
      </c>
      <c r="AC52" s="35">
        <f t="shared" si="23"/>
        <v>4.3531080261481501</v>
      </c>
      <c r="AD52" s="35">
        <f t="shared" si="23"/>
        <v>4.4649959786188651</v>
      </c>
      <c r="AE52" s="35">
        <f t="shared" si="23"/>
        <v>3.7660408603813891</v>
      </c>
      <c r="AF52" s="35">
        <f t="shared" si="23"/>
        <v>3.4097641042663462</v>
      </c>
      <c r="AG52" s="35">
        <f t="shared" si="23"/>
        <v>4.8060985361334936</v>
      </c>
      <c r="AH52" s="11">
        <v>4.7902077299999997</v>
      </c>
      <c r="AI52" s="35">
        <f t="shared" si="17"/>
        <v>4.871158289974975</v>
      </c>
      <c r="AJ52" s="35">
        <f t="shared" si="17"/>
        <v>4.0746336182969038</v>
      </c>
      <c r="AK52" s="15">
        <f t="shared" si="18"/>
        <v>5.1018879219410671</v>
      </c>
    </row>
    <row r="53" spans="1:37">
      <c r="A53" s="2" t="s">
        <v>137</v>
      </c>
      <c r="B53" s="2" t="s">
        <v>45</v>
      </c>
      <c r="C53" s="35">
        <f t="shared" ref="C53:AG53" si="24">LOG(C23)</f>
        <v>4.7148325124333326</v>
      </c>
      <c r="D53" s="35">
        <f t="shared" si="24"/>
        <v>2.6242820958356683</v>
      </c>
      <c r="E53" s="35">
        <f t="shared" si="24"/>
        <v>5.9701901485527875</v>
      </c>
      <c r="F53" s="35">
        <f t="shared" si="24"/>
        <v>2.5877109650189114</v>
      </c>
      <c r="G53" s="35">
        <f t="shared" si="24"/>
        <v>3.3510228525841237</v>
      </c>
      <c r="H53" s="35">
        <f t="shared" si="24"/>
        <v>4.2313166429095013</v>
      </c>
      <c r="I53" s="35">
        <f t="shared" si="24"/>
        <v>6.0267962945884088</v>
      </c>
      <c r="J53" s="35">
        <f t="shared" si="24"/>
        <v>4.6188531494868039</v>
      </c>
      <c r="K53" s="35">
        <f t="shared" si="24"/>
        <v>5.6499653936457497</v>
      </c>
      <c r="L53" s="35">
        <f t="shared" si="24"/>
        <v>4.0135113334658996</v>
      </c>
      <c r="M53" s="35">
        <f t="shared" si="24"/>
        <v>6.4208486839000285</v>
      </c>
      <c r="N53" s="35">
        <f t="shared" si="24"/>
        <v>4.3456285464563065</v>
      </c>
      <c r="O53" s="35">
        <f t="shared" si="24"/>
        <v>4.9999435380472459</v>
      </c>
      <c r="P53" s="35">
        <f t="shared" si="24"/>
        <v>5.4936127800498875</v>
      </c>
      <c r="Q53" s="35">
        <f t="shared" si="24"/>
        <v>6.099370517335883</v>
      </c>
      <c r="R53" s="35">
        <f t="shared" si="24"/>
        <v>6.8238968411124858</v>
      </c>
      <c r="S53" s="35">
        <f t="shared" si="24"/>
        <v>7.143282980199678</v>
      </c>
      <c r="T53" s="35">
        <f t="shared" si="24"/>
        <v>6.8174627661108724</v>
      </c>
      <c r="U53" s="35">
        <f t="shared" si="24"/>
        <v>6.8148547836958668</v>
      </c>
      <c r="V53" s="35">
        <f t="shared" si="24"/>
        <v>4.5782379611606316</v>
      </c>
      <c r="W53" s="35">
        <f t="shared" si="24"/>
        <v>5.9318584166619379</v>
      </c>
      <c r="X53" s="35">
        <f t="shared" si="24"/>
        <v>5.7380024112545467</v>
      </c>
      <c r="Y53" s="35">
        <f t="shared" si="24"/>
        <v>5.3657294004870302</v>
      </c>
      <c r="Z53" s="35">
        <f t="shared" si="24"/>
        <v>3.633367445117007</v>
      </c>
      <c r="AA53" s="35">
        <f t="shared" si="24"/>
        <v>4.7668513820409792</v>
      </c>
      <c r="AB53" s="35">
        <f t="shared" si="24"/>
        <v>4.3569623107062254</v>
      </c>
      <c r="AC53" s="35">
        <f t="shared" si="24"/>
        <v>4.2500538695217989</v>
      </c>
      <c r="AD53" s="35">
        <f t="shared" si="24"/>
        <v>4.2930087866585644</v>
      </c>
      <c r="AE53" s="35">
        <f t="shared" si="24"/>
        <v>3.9330821623697911</v>
      </c>
      <c r="AF53" s="35">
        <f t="shared" si="24"/>
        <v>3.531095546870028</v>
      </c>
      <c r="AG53" s="35">
        <f t="shared" si="24"/>
        <v>4.8618449368610328</v>
      </c>
      <c r="AH53" s="11">
        <v>4.519066327</v>
      </c>
      <c r="AI53" s="35">
        <f t="shared" si="17"/>
        <v>4.7554403438984734</v>
      </c>
      <c r="AJ53" s="35">
        <f t="shared" si="17"/>
        <v>3.7798128631705805</v>
      </c>
      <c r="AK53" s="15">
        <f t="shared" si="18"/>
        <v>4.7668513820409792</v>
      </c>
    </row>
    <row r="54" spans="1:37">
      <c r="A54" s="2"/>
      <c r="B54" s="19" t="s">
        <v>51</v>
      </c>
      <c r="C54" s="15">
        <f>AVERAGE(C47:C53)</f>
        <v>4.6343395483903134</v>
      </c>
      <c r="D54" s="15">
        <f t="shared" ref="D54:AG54" si="25">AVERAGE(D47:D53)</f>
        <v>2.5844414670991016</v>
      </c>
      <c r="E54" s="15">
        <f t="shared" si="25"/>
        <v>5.9459861253206281</v>
      </c>
      <c r="F54" s="15">
        <f t="shared" si="25"/>
        <v>2.8420914320318151</v>
      </c>
      <c r="G54" s="15">
        <f t="shared" si="25"/>
        <v>3.4753595744903167</v>
      </c>
      <c r="H54" s="15">
        <f t="shared" si="25"/>
        <v>4.3755440651217272</v>
      </c>
      <c r="I54" s="15">
        <f t="shared" si="25"/>
        <v>6.0026834871154184</v>
      </c>
      <c r="J54" s="15">
        <f t="shared" si="25"/>
        <v>4.7921368031272635</v>
      </c>
      <c r="K54" s="15">
        <f t="shared" si="25"/>
        <v>5.8121212885948443</v>
      </c>
      <c r="L54" s="15">
        <f t="shared" si="25"/>
        <v>4.2214017224791096</v>
      </c>
      <c r="M54" s="15">
        <f t="shared" si="25"/>
        <v>6.5635864675975855</v>
      </c>
      <c r="N54" s="15">
        <f t="shared" si="25"/>
        <v>4.4714292064806989</v>
      </c>
      <c r="O54" s="15">
        <f t="shared" si="25"/>
        <v>5.2938510157413088</v>
      </c>
      <c r="P54" s="15">
        <f t="shared" si="25"/>
        <v>5.5014317195463676</v>
      </c>
      <c r="Q54" s="15">
        <f t="shared" si="25"/>
        <v>5.9598046382942957</v>
      </c>
      <c r="R54" s="15">
        <f t="shared" si="25"/>
        <v>6.9009487438799377</v>
      </c>
      <c r="S54" s="15">
        <f t="shared" si="25"/>
        <v>7.2034336034854363</v>
      </c>
      <c r="T54" s="15">
        <f t="shared" si="25"/>
        <v>6.8941477303277097</v>
      </c>
      <c r="U54" s="15">
        <f t="shared" si="25"/>
        <v>6.8916360577342619</v>
      </c>
      <c r="V54" s="15">
        <f t="shared" si="25"/>
        <v>5.5007208368010678</v>
      </c>
      <c r="W54" s="15">
        <f t="shared" si="25"/>
        <v>6.0051633712161472</v>
      </c>
      <c r="X54" s="15">
        <f t="shared" si="25"/>
        <v>5.8026770859027312</v>
      </c>
      <c r="Y54" s="15">
        <f t="shared" si="25"/>
        <v>4.9579877207492373</v>
      </c>
      <c r="Z54" s="15">
        <f t="shared" si="25"/>
        <v>3.4098432562795167</v>
      </c>
      <c r="AA54" s="15">
        <f t="shared" si="25"/>
        <v>5.1619707784266007</v>
      </c>
      <c r="AB54" s="15">
        <f t="shared" si="25"/>
        <v>4.3882322412998089</v>
      </c>
      <c r="AC54" s="15">
        <f t="shared" si="25"/>
        <v>4.3859687094088278</v>
      </c>
      <c r="AD54" s="15">
        <f t="shared" si="25"/>
        <v>4.648208810668371</v>
      </c>
      <c r="AE54" s="15">
        <f t="shared" si="25"/>
        <v>3.601661802757508</v>
      </c>
      <c r="AF54" s="15">
        <f t="shared" si="25"/>
        <v>3.2666772513723328</v>
      </c>
      <c r="AG54" s="15">
        <f t="shared" si="25"/>
        <v>5.0417218167733155</v>
      </c>
      <c r="AH54" s="51">
        <v>4.7836999999999996</v>
      </c>
      <c r="AI54" s="15">
        <f>AVERAGE(AI47:AI53)</f>
        <v>4.8539938095742388</v>
      </c>
      <c r="AJ54" s="15">
        <f>AVERAGE(AJ47:AJ53)</f>
        <v>4.2339571943228131</v>
      </c>
    </row>
    <row r="55" spans="1:37">
      <c r="A55" s="2"/>
      <c r="B55" s="19" t="s">
        <v>52</v>
      </c>
      <c r="C55" s="15">
        <f>_xlfn.STDEV.S(C47:C53)</f>
        <v>0.31065298411989589</v>
      </c>
      <c r="D55" s="15">
        <f t="shared" ref="D55:AG55" si="26">_xlfn.STDEV.S(D47:D53)</f>
        <v>0.15044155943886975</v>
      </c>
      <c r="E55" s="15">
        <f t="shared" si="26"/>
        <v>0.32495611959615511</v>
      </c>
      <c r="F55" s="15">
        <f t="shared" si="26"/>
        <v>0.27874799230724789</v>
      </c>
      <c r="G55" s="15">
        <f t="shared" si="26"/>
        <v>0.19412020556016113</v>
      </c>
      <c r="H55" s="15">
        <f t="shared" si="26"/>
        <v>0.18939644589955099</v>
      </c>
      <c r="I55" s="15">
        <f t="shared" si="26"/>
        <v>0.15999570069900984</v>
      </c>
      <c r="J55" s="15">
        <f t="shared" si="26"/>
        <v>0.22981593235558515</v>
      </c>
      <c r="K55" s="15">
        <f t="shared" si="26"/>
        <v>0.20907103983785316</v>
      </c>
      <c r="L55" s="15">
        <f t="shared" si="26"/>
        <v>0.22482127345314962</v>
      </c>
      <c r="M55" s="15">
        <f t="shared" si="26"/>
        <v>0.22781464722283509</v>
      </c>
      <c r="N55" s="15">
        <f t="shared" si="26"/>
        <v>0.21552168440166039</v>
      </c>
      <c r="O55" s="15">
        <f t="shared" si="26"/>
        <v>0.26368581464308505</v>
      </c>
      <c r="P55" s="15">
        <f t="shared" si="26"/>
        <v>0.24008151893458346</v>
      </c>
      <c r="Q55" s="15">
        <f t="shared" si="26"/>
        <v>0.23616277892195597</v>
      </c>
      <c r="R55" s="15">
        <f t="shared" si="26"/>
        <v>0.21370588754666137</v>
      </c>
      <c r="S55" s="15">
        <f t="shared" si="26"/>
        <v>0.19825541883672651</v>
      </c>
      <c r="T55" s="15">
        <f t="shared" si="26"/>
        <v>0.21293369515488361</v>
      </c>
      <c r="U55" s="15">
        <f t="shared" si="26"/>
        <v>0.21171327161912187</v>
      </c>
      <c r="V55" s="15">
        <f t="shared" si="26"/>
        <v>0.71991904495964021</v>
      </c>
      <c r="W55" s="15">
        <f t="shared" si="26"/>
        <v>0.20763309031729368</v>
      </c>
      <c r="X55" s="15">
        <f t="shared" si="26"/>
        <v>0.19379304725826077</v>
      </c>
      <c r="Y55" s="15">
        <f t="shared" si="26"/>
        <v>0.27941642981391757</v>
      </c>
      <c r="Z55" s="15">
        <f t="shared" si="26"/>
        <v>0.3738132185605374</v>
      </c>
      <c r="AA55" s="15">
        <f t="shared" si="26"/>
        <v>0.27701887836289069</v>
      </c>
      <c r="AB55" s="15">
        <f t="shared" si="26"/>
        <v>0.48556136670637373</v>
      </c>
      <c r="AC55" s="15">
        <f t="shared" si="26"/>
        <v>0.20416626305671443</v>
      </c>
      <c r="AD55" s="15">
        <f t="shared" si="26"/>
        <v>0.22077969154018126</v>
      </c>
      <c r="AE55" s="15">
        <f t="shared" si="26"/>
        <v>0.39095022100515514</v>
      </c>
      <c r="AF55" s="15">
        <f t="shared" si="26"/>
        <v>0.47996647174788659</v>
      </c>
      <c r="AG55" s="15">
        <f t="shared" si="26"/>
        <v>0.22203647648111946</v>
      </c>
      <c r="AH55" s="51">
        <v>0.23169999999999999</v>
      </c>
      <c r="AI55" s="15">
        <f>_xlfn.STDEV.S(AI47:AI53)</f>
        <v>0.22457500405522582</v>
      </c>
      <c r="AJ55" s="15">
        <f>_xlfn.STDEV.S(AJ47:AJ53)</f>
        <v>0.42680127940772222</v>
      </c>
    </row>
    <row r="56" spans="1:37">
      <c r="A56" s="2"/>
      <c r="B56" s="9"/>
      <c r="AH56" s="2"/>
    </row>
    <row r="57" spans="1:37">
      <c r="A57" s="13" t="s">
        <v>54</v>
      </c>
      <c r="B57" s="14" t="s">
        <v>55</v>
      </c>
      <c r="C57" s="16">
        <f t="shared" ref="C57:AG57" si="27">_xlfn.T.TEST(C37:C41,C47:C53,2,3)</f>
        <v>0.53397712893583882</v>
      </c>
      <c r="D57" s="16">
        <f t="shared" si="27"/>
        <v>0.39458431681370604</v>
      </c>
      <c r="E57" s="16">
        <f t="shared" si="27"/>
        <v>0.45346345790707732</v>
      </c>
      <c r="F57" s="16">
        <f t="shared" si="27"/>
        <v>0.38745770122256834</v>
      </c>
      <c r="G57" s="16">
        <f t="shared" si="27"/>
        <v>0.21156310875542916</v>
      </c>
      <c r="H57" s="16">
        <f t="shared" si="27"/>
        <v>0.22057713438441565</v>
      </c>
      <c r="I57" s="16">
        <f t="shared" si="27"/>
        <v>0.22831769691378709</v>
      </c>
      <c r="J57" s="16">
        <f t="shared" si="27"/>
        <v>0.18983781347800116</v>
      </c>
      <c r="K57" s="16">
        <f t="shared" si="27"/>
        <v>9.3721216361764115E-2</v>
      </c>
      <c r="L57" s="16">
        <f t="shared" si="27"/>
        <v>6.0202382213983885E-2</v>
      </c>
      <c r="M57" s="16">
        <f t="shared" si="27"/>
        <v>0.22839321860267084</v>
      </c>
      <c r="N57" s="16">
        <f t="shared" si="27"/>
        <v>9.2964256934291445E-2</v>
      </c>
      <c r="O57" s="16">
        <f t="shared" si="27"/>
        <v>6.2479884486639568E-2</v>
      </c>
      <c r="P57" s="16">
        <f t="shared" si="27"/>
        <v>0.29648529339722152</v>
      </c>
      <c r="Q57" s="16">
        <f t="shared" si="27"/>
        <v>0.69528322913373786</v>
      </c>
      <c r="R57" s="16">
        <f t="shared" si="27"/>
        <v>7.3673212757077125E-2</v>
      </c>
      <c r="S57" s="16">
        <f t="shared" si="27"/>
        <v>9.0667832244983579E-2</v>
      </c>
      <c r="T57" s="16">
        <f t="shared" si="27"/>
        <v>7.3444072261680607E-2</v>
      </c>
      <c r="U57" s="16">
        <f t="shared" si="27"/>
        <v>7.4622862931857908E-2</v>
      </c>
      <c r="V57" s="16">
        <f t="shared" si="27"/>
        <v>0.46362221947921667</v>
      </c>
      <c r="W57" s="16">
        <f t="shared" si="27"/>
        <v>6.4394040127900773E-2</v>
      </c>
      <c r="X57" s="16">
        <f t="shared" si="27"/>
        <v>0.19632282019217276</v>
      </c>
      <c r="Y57" s="16">
        <f t="shared" si="27"/>
        <v>0.83184134012610123</v>
      </c>
      <c r="Z57" s="16">
        <f t="shared" si="27"/>
        <v>0.13129820288438884</v>
      </c>
      <c r="AA57" s="16">
        <f t="shared" si="27"/>
        <v>3.2682065343875126E-2</v>
      </c>
      <c r="AB57" s="16">
        <f t="shared" si="27"/>
        <v>0.38508007772200792</v>
      </c>
      <c r="AC57" s="16">
        <f t="shared" si="27"/>
        <v>9.0044253105766331E-2</v>
      </c>
      <c r="AD57" s="16">
        <f t="shared" si="27"/>
        <v>7.7523485739910752E-3</v>
      </c>
      <c r="AE57" s="16">
        <f t="shared" si="27"/>
        <v>0.73799176200365868</v>
      </c>
      <c r="AF57" s="16">
        <f t="shared" si="27"/>
        <v>0.95712471208657746</v>
      </c>
      <c r="AG57" s="16">
        <f t="shared" si="27"/>
        <v>5.6127996908784353E-4</v>
      </c>
      <c r="AH57" s="49">
        <v>4.3499999999999997E-2</v>
      </c>
      <c r="AI57" s="16">
        <f>_xlfn.T.TEST(AI37:AI41,AI47:AI53,2,3)</f>
        <v>8.9066152143011085E-2</v>
      </c>
      <c r="AJ57" s="16">
        <f>_xlfn.T.TEST(AJ37:AJ41,AJ47:AJ53,2,3)</f>
        <v>5.9518372194836418E-2</v>
      </c>
    </row>
    <row r="58" spans="1:37">
      <c r="A58" s="2"/>
      <c r="B58" s="19"/>
      <c r="AH58" s="2"/>
    </row>
    <row r="59" spans="1:37" ht="19" customHeight="1">
      <c r="A59" s="2"/>
      <c r="AH59" s="2"/>
    </row>
    <row r="60" spans="1:37" ht="14" customHeight="1">
      <c r="A60" s="2"/>
      <c r="AH60" s="2"/>
    </row>
    <row r="61" spans="1:37" ht="16" customHeight="1">
      <c r="A61" s="2"/>
      <c r="AH61" s="2"/>
    </row>
    <row r="62" spans="1:37">
      <c r="A62" s="2"/>
      <c r="B62" s="19"/>
      <c r="AH62" s="2"/>
    </row>
    <row r="63" spans="1:37" ht="20">
      <c r="A63" s="36" t="s">
        <v>146</v>
      </c>
      <c r="B63" s="19"/>
      <c r="AH63" s="2"/>
    </row>
    <row r="64" spans="1:37" ht="20">
      <c r="A64" s="5" t="s">
        <v>71</v>
      </c>
      <c r="B64" s="6"/>
      <c r="AH64" s="2"/>
    </row>
    <row r="65" spans="1:36" s="53" customFormat="1" ht="52" customHeight="1">
      <c r="A65" s="53" t="s">
        <v>0</v>
      </c>
      <c r="B65" s="53" t="s">
        <v>1</v>
      </c>
      <c r="C65" s="67" t="s">
        <v>2</v>
      </c>
      <c r="D65" s="53" t="s">
        <v>3</v>
      </c>
      <c r="E65" s="53" t="s">
        <v>4</v>
      </c>
      <c r="F65" s="53" t="s">
        <v>5</v>
      </c>
      <c r="G65" s="53" t="s">
        <v>6</v>
      </c>
      <c r="H65" s="53" t="s">
        <v>7</v>
      </c>
      <c r="I65" s="53" t="s">
        <v>8</v>
      </c>
      <c r="J65" s="53" t="s">
        <v>9</v>
      </c>
      <c r="K65" s="53" t="s">
        <v>10</v>
      </c>
      <c r="L65" s="53" t="s">
        <v>11</v>
      </c>
      <c r="M65" s="53" t="s">
        <v>12</v>
      </c>
      <c r="N65" s="53" t="s">
        <v>13</v>
      </c>
      <c r="O65" s="53" t="s">
        <v>14</v>
      </c>
      <c r="P65" s="53" t="s">
        <v>15</v>
      </c>
      <c r="Q65" s="53" t="s">
        <v>17</v>
      </c>
      <c r="R65" s="53" t="s">
        <v>18</v>
      </c>
      <c r="S65" s="53" t="s">
        <v>19</v>
      </c>
      <c r="T65" s="53" t="s">
        <v>20</v>
      </c>
      <c r="U65" s="53" t="s">
        <v>21</v>
      </c>
      <c r="V65" s="53" t="s">
        <v>22</v>
      </c>
      <c r="W65" s="53" t="s">
        <v>23</v>
      </c>
      <c r="X65" s="53" t="s">
        <v>26</v>
      </c>
      <c r="Y65" s="53" t="s">
        <v>27</v>
      </c>
      <c r="Z65" s="53" t="s">
        <v>28</v>
      </c>
      <c r="AA65" s="76" t="s">
        <v>29</v>
      </c>
      <c r="AB65" s="53" t="s">
        <v>30</v>
      </c>
      <c r="AC65" s="53" t="s">
        <v>31</v>
      </c>
      <c r="AD65" s="76" t="s">
        <v>32</v>
      </c>
      <c r="AE65" s="53" t="s">
        <v>33</v>
      </c>
      <c r="AF65" s="78" t="s">
        <v>34</v>
      </c>
      <c r="AG65" s="76" t="s">
        <v>35</v>
      </c>
      <c r="AH65" s="76" t="s">
        <v>16</v>
      </c>
      <c r="AI65" s="53" t="s">
        <v>24</v>
      </c>
      <c r="AJ65" s="53" t="s">
        <v>25</v>
      </c>
    </row>
    <row r="66" spans="1:36">
      <c r="A66" s="28" t="s">
        <v>143</v>
      </c>
      <c r="B66" s="25"/>
      <c r="AH66" s="2"/>
    </row>
    <row r="67" spans="1:36">
      <c r="A67" s="2" t="s">
        <v>138</v>
      </c>
      <c r="B67" s="2" t="s">
        <v>43</v>
      </c>
      <c r="C67" s="22">
        <f t="shared" ref="C67:AG67" si="28">C37/$AK37</f>
        <v>1.0280483917181376</v>
      </c>
      <c r="D67" s="22">
        <f t="shared" si="28"/>
        <v>0.55506910548501687</v>
      </c>
      <c r="E67" s="22">
        <f t="shared" si="28"/>
        <v>1.234274338076071</v>
      </c>
      <c r="F67" s="22">
        <f t="shared" si="28"/>
        <v>0.6047171040633621</v>
      </c>
      <c r="G67" s="22">
        <f t="shared" si="28"/>
        <v>0.71682833979719551</v>
      </c>
      <c r="H67" s="22">
        <f t="shared" si="28"/>
        <v>0.9046532069659976</v>
      </c>
      <c r="I67" s="22">
        <f t="shared" si="28"/>
        <v>1.2620358106429765</v>
      </c>
      <c r="J67" s="22">
        <f t="shared" si="28"/>
        <v>0.98475007445885276</v>
      </c>
      <c r="K67" s="22">
        <f t="shared" si="28"/>
        <v>1.190410943094766</v>
      </c>
      <c r="L67" s="22">
        <f t="shared" si="28"/>
        <v>0.83838879492608687</v>
      </c>
      <c r="M67" s="22">
        <f t="shared" si="28"/>
        <v>1.3781889843351094</v>
      </c>
      <c r="N67" s="22">
        <f t="shared" si="28"/>
        <v>0.905412964025888</v>
      </c>
      <c r="O67" s="22">
        <f t="shared" si="28"/>
        <v>1.0547131112905175</v>
      </c>
      <c r="P67" s="22">
        <f t="shared" si="28"/>
        <v>1.1568156426160816</v>
      </c>
      <c r="Q67" s="22">
        <f t="shared" si="28"/>
        <v>1.2911093730623135</v>
      </c>
      <c r="R67" s="22">
        <f t="shared" si="28"/>
        <v>1.4317114618907851</v>
      </c>
      <c r="S67" s="22">
        <f t="shared" si="28"/>
        <v>1.5034868158582726</v>
      </c>
      <c r="T67" s="22">
        <f t="shared" si="28"/>
        <v>1.4305355688245167</v>
      </c>
      <c r="U67" s="22">
        <f t="shared" si="28"/>
        <v>1.4306177536759339</v>
      </c>
      <c r="V67" s="22">
        <f t="shared" si="28"/>
        <v>0.9420936809626822</v>
      </c>
      <c r="W67" s="22">
        <f t="shared" si="28"/>
        <v>1.238502879048043</v>
      </c>
      <c r="X67" s="22">
        <f t="shared" si="28"/>
        <v>1.2061653262833159</v>
      </c>
      <c r="Y67" s="22">
        <f t="shared" si="28"/>
        <v>1.0934958738217864</v>
      </c>
      <c r="Z67" s="22">
        <f t="shared" si="28"/>
        <v>0.67337718000546432</v>
      </c>
      <c r="AA67" s="22">
        <f t="shared" si="28"/>
        <v>1</v>
      </c>
      <c r="AB67" s="22">
        <f t="shared" si="28"/>
        <v>0.87673783123112559</v>
      </c>
      <c r="AC67" s="22">
        <f t="shared" si="28"/>
        <v>0.84499362438273773</v>
      </c>
      <c r="AD67" s="22">
        <f t="shared" si="28"/>
        <v>0.87618747423053711</v>
      </c>
      <c r="AE67" s="22">
        <f t="shared" si="28"/>
        <v>0.76426984957144473</v>
      </c>
      <c r="AF67" s="22">
        <f t="shared" si="28"/>
        <v>0.71196567534487676</v>
      </c>
      <c r="AG67" s="22">
        <f t="shared" si="28"/>
        <v>0.92933894126892613</v>
      </c>
      <c r="AH67" s="46">
        <v>0.95938284699999998</v>
      </c>
      <c r="AI67" s="22">
        <f t="shared" ref="AI67:AJ71" si="29">AI37/$AK37</f>
        <v>0.9897299784095267</v>
      </c>
      <c r="AJ67" s="22">
        <f t="shared" si="29"/>
        <v>0.83242370346858319</v>
      </c>
    </row>
    <row r="68" spans="1:36">
      <c r="A68" s="2" t="s">
        <v>139</v>
      </c>
      <c r="B68" s="2" t="s">
        <v>43</v>
      </c>
      <c r="C68" s="22">
        <f t="shared" ref="C68:AG68" si="30">C38/$AK38</f>
        <v>1.0298930543373817</v>
      </c>
      <c r="D68" s="22">
        <f t="shared" si="30"/>
        <v>0.58072383453404619</v>
      </c>
      <c r="E68" s="22">
        <f t="shared" si="30"/>
        <v>1.1778341541384179</v>
      </c>
      <c r="F68" s="22">
        <f t="shared" si="30"/>
        <v>0.58236573269646741</v>
      </c>
      <c r="G68" s="22">
        <f t="shared" si="30"/>
        <v>0.69248988945619172</v>
      </c>
      <c r="H68" s="22">
        <f t="shared" si="30"/>
        <v>0.87838838226644822</v>
      </c>
      <c r="I68" s="22">
        <f t="shared" si="30"/>
        <v>1.2098979457601313</v>
      </c>
      <c r="J68" s="22">
        <f t="shared" si="30"/>
        <v>0.96356190721917367</v>
      </c>
      <c r="K68" s="22">
        <f t="shared" si="30"/>
        <v>1.1495224463292355</v>
      </c>
      <c r="L68" s="22">
        <f t="shared" si="30"/>
        <v>0.82048766708002618</v>
      </c>
      <c r="M68" s="22">
        <f t="shared" si="30"/>
        <v>1.3226182420075694</v>
      </c>
      <c r="N68" s="22">
        <f t="shared" si="30"/>
        <v>0.88394684514603694</v>
      </c>
      <c r="O68" s="22">
        <f t="shared" si="30"/>
        <v>1.0424045095758014</v>
      </c>
      <c r="P68" s="22">
        <f t="shared" si="30"/>
        <v>1.116445995807098</v>
      </c>
      <c r="Q68" s="22">
        <f t="shared" si="30"/>
        <v>1.2236094944191775</v>
      </c>
      <c r="R68" s="22">
        <f t="shared" si="30"/>
        <v>1.3763888231451964</v>
      </c>
      <c r="S68" s="22">
        <f t="shared" si="30"/>
        <v>1.444045327642369</v>
      </c>
      <c r="T68" s="22">
        <f t="shared" si="30"/>
        <v>1.3750757821741804</v>
      </c>
      <c r="U68" s="22">
        <f t="shared" si="30"/>
        <v>1.3751030626798517</v>
      </c>
      <c r="V68" s="22">
        <f t="shared" si="30"/>
        <v>0.91714430264684643</v>
      </c>
      <c r="W68" s="22">
        <f t="shared" si="30"/>
        <v>1.1843647712683709</v>
      </c>
      <c r="X68" s="22">
        <f t="shared" si="30"/>
        <v>1.1708445263774767</v>
      </c>
      <c r="Y68" s="22">
        <f t="shared" si="30"/>
        <v>1.041606344528017</v>
      </c>
      <c r="Z68" s="22">
        <f t="shared" si="30"/>
        <v>0.66353667729726584</v>
      </c>
      <c r="AA68" s="22">
        <f t="shared" si="30"/>
        <v>1</v>
      </c>
      <c r="AB68" s="22">
        <f t="shared" si="30"/>
        <v>0.91130047386838042</v>
      </c>
      <c r="AC68" s="22">
        <f t="shared" si="30"/>
        <v>0.84299752977607012</v>
      </c>
      <c r="AD68" s="22">
        <f t="shared" si="30"/>
        <v>0.87848178673637056</v>
      </c>
      <c r="AE68" s="22">
        <f t="shared" si="30"/>
        <v>0.73419459825916011</v>
      </c>
      <c r="AF68" s="22">
        <f t="shared" si="30"/>
        <v>0.68165467845929006</v>
      </c>
      <c r="AG68" s="22">
        <f t="shared" si="30"/>
        <v>0.92630397813615273</v>
      </c>
      <c r="AH68" s="46">
        <v>0.97038602399999996</v>
      </c>
      <c r="AI68" s="22">
        <f t="shared" si="29"/>
        <v>0.9613064130368022</v>
      </c>
      <c r="AJ68" s="22">
        <f t="shared" si="29"/>
        <v>0.82316471567872052</v>
      </c>
    </row>
    <row r="69" spans="1:36">
      <c r="A69" s="2" t="s">
        <v>140</v>
      </c>
      <c r="B69" s="2" t="s">
        <v>43</v>
      </c>
      <c r="C69" s="22">
        <f t="shared" ref="C69:AG69" si="31">C39/$AK39</f>
        <v>0.93447592082373843</v>
      </c>
      <c r="D69" s="22">
        <f t="shared" si="31"/>
        <v>0.54398798156537131</v>
      </c>
      <c r="E69" s="22">
        <f t="shared" si="31"/>
        <v>1.2624496489889188</v>
      </c>
      <c r="F69" s="22">
        <f t="shared" si="31"/>
        <v>0</v>
      </c>
      <c r="G69" s="22">
        <f t="shared" si="31"/>
        <v>0.66272929504445011</v>
      </c>
      <c r="H69" s="22">
        <f t="shared" si="31"/>
        <v>0.82817751513809734</v>
      </c>
      <c r="I69" s="22">
        <f t="shared" si="31"/>
        <v>1.2829731331846526</v>
      </c>
      <c r="J69" s="22">
        <f t="shared" si="31"/>
        <v>0.91925796067958709</v>
      </c>
      <c r="K69" s="22">
        <f t="shared" si="31"/>
        <v>1.1325217838667436</v>
      </c>
      <c r="L69" s="22">
        <f t="shared" si="31"/>
        <v>0.7836182948431738</v>
      </c>
      <c r="M69" s="22">
        <f t="shared" si="31"/>
        <v>1.3574547837075754</v>
      </c>
      <c r="N69" s="22">
        <f t="shared" si="31"/>
        <v>0.84197749446003056</v>
      </c>
      <c r="O69" s="22">
        <f t="shared" si="31"/>
        <v>1.0258215036360183</v>
      </c>
      <c r="P69" s="22">
        <f t="shared" si="31"/>
        <v>1.1077079833554966</v>
      </c>
      <c r="Q69" s="22">
        <f t="shared" si="31"/>
        <v>1.2517235541688554</v>
      </c>
      <c r="R69" s="22">
        <f t="shared" si="31"/>
        <v>1.4462227355154944</v>
      </c>
      <c r="S69" s="22">
        <f t="shared" si="31"/>
        <v>1.5231097196135011</v>
      </c>
      <c r="T69" s="22">
        <f t="shared" si="31"/>
        <v>1.4457944328134176</v>
      </c>
      <c r="U69" s="22">
        <f t="shared" si="31"/>
        <v>1.4447437775725105</v>
      </c>
      <c r="V69" s="22">
        <f t="shared" si="31"/>
        <v>1.2259452123299015</v>
      </c>
      <c r="W69" s="22">
        <f t="shared" si="31"/>
        <v>1.2596367092342735</v>
      </c>
      <c r="X69" s="22">
        <f t="shared" si="31"/>
        <v>1.2168338627443025</v>
      </c>
      <c r="Y69" s="22">
        <f t="shared" si="31"/>
        <v>1.0394478370494469</v>
      </c>
      <c r="Z69" s="22">
        <f t="shared" si="31"/>
        <v>0.64297587080080121</v>
      </c>
      <c r="AA69" s="22">
        <f t="shared" si="31"/>
        <v>0.97916352041795462</v>
      </c>
      <c r="AB69" s="22">
        <f t="shared" si="31"/>
        <v>0.85801067377965035</v>
      </c>
      <c r="AC69" s="22">
        <f t="shared" si="31"/>
        <v>0.84685954808753794</v>
      </c>
      <c r="AD69" s="22">
        <f t="shared" si="31"/>
        <v>0.88065387139970386</v>
      </c>
      <c r="AE69" s="22">
        <f t="shared" si="31"/>
        <v>0.7493660379989272</v>
      </c>
      <c r="AF69" s="22">
        <f t="shared" si="31"/>
        <v>0.66464887895119196</v>
      </c>
      <c r="AG69" s="22">
        <f t="shared" si="31"/>
        <v>1</v>
      </c>
      <c r="AH69" s="46">
        <v>0.95967717299999999</v>
      </c>
      <c r="AI69" s="22">
        <f t="shared" si="29"/>
        <v>0.93711604342672539</v>
      </c>
      <c r="AJ69" s="22">
        <f t="shared" si="29"/>
        <v>0.78659072192978696</v>
      </c>
    </row>
    <row r="70" spans="1:36">
      <c r="A70" s="2" t="s">
        <v>141</v>
      </c>
      <c r="B70" s="2" t="s">
        <v>44</v>
      </c>
      <c r="C70" s="22">
        <f t="shared" ref="C70:AG70" si="32">C40/$AK40</f>
        <v>0.95500675756765685</v>
      </c>
      <c r="D70" s="22">
        <f t="shared" si="32"/>
        <v>0</v>
      </c>
      <c r="E70" s="22">
        <f t="shared" si="32"/>
        <v>1.24802277071559</v>
      </c>
      <c r="F70" s="22">
        <f t="shared" si="32"/>
        <v>0.5577376357816195</v>
      </c>
      <c r="G70" s="22">
        <f t="shared" si="32"/>
        <v>0.69235820256700709</v>
      </c>
      <c r="H70" s="22">
        <f t="shared" si="32"/>
        <v>0.85326377463847525</v>
      </c>
      <c r="I70" s="22">
        <f t="shared" si="32"/>
        <v>1.2233600901518462</v>
      </c>
      <c r="J70" s="22">
        <f t="shared" si="32"/>
        <v>0.92854429482264866</v>
      </c>
      <c r="K70" s="22">
        <f t="shared" si="32"/>
        <v>1.1410318741621268</v>
      </c>
      <c r="L70" s="22">
        <f t="shared" si="32"/>
        <v>0.81592878590069418</v>
      </c>
      <c r="M70" s="22">
        <f t="shared" si="32"/>
        <v>1.314105956569612</v>
      </c>
      <c r="N70" s="22">
        <f t="shared" si="32"/>
        <v>0.85764375959984995</v>
      </c>
      <c r="O70" s="22">
        <f t="shared" si="32"/>
        <v>1</v>
      </c>
      <c r="P70" s="22">
        <f t="shared" si="32"/>
        <v>1.0979656712394661</v>
      </c>
      <c r="Q70" s="22">
        <f t="shared" si="32"/>
        <v>1.2140497943839621</v>
      </c>
      <c r="R70" s="22">
        <f t="shared" si="32"/>
        <v>1.3640151902635098</v>
      </c>
      <c r="S70" s="22">
        <f t="shared" si="32"/>
        <v>1.4284472536808326</v>
      </c>
      <c r="T70" s="22">
        <f t="shared" si="32"/>
        <v>1.3632933482461056</v>
      </c>
      <c r="U70" s="22">
        <f t="shared" si="32"/>
        <v>1.3627269632341201</v>
      </c>
      <c r="V70" s="22">
        <f t="shared" si="32"/>
        <v>1.1677467207381544</v>
      </c>
      <c r="W70" s="22">
        <f t="shared" si="32"/>
        <v>1.1987559387427271</v>
      </c>
      <c r="X70" s="22">
        <f t="shared" si="32"/>
        <v>1.1455219857944887</v>
      </c>
      <c r="Y70" s="22">
        <f t="shared" si="32"/>
        <v>1.0149322109397223</v>
      </c>
      <c r="Z70" s="22">
        <f t="shared" si="32"/>
        <v>0.63550338986919086</v>
      </c>
      <c r="AA70" s="22">
        <f t="shared" si="32"/>
        <v>1.0005979614613425</v>
      </c>
      <c r="AB70" s="22">
        <f t="shared" si="32"/>
        <v>0.82536775274105745</v>
      </c>
      <c r="AC70" s="22">
        <f t="shared" si="32"/>
        <v>0.89620424792398257</v>
      </c>
      <c r="AD70" s="22">
        <f t="shared" si="32"/>
        <v>0.87526268157309106</v>
      </c>
      <c r="AE70" s="22">
        <f t="shared" si="32"/>
        <v>0.71721336198490671</v>
      </c>
      <c r="AF70" s="22">
        <f t="shared" si="32"/>
        <v>0.65839216274437862</v>
      </c>
      <c r="AG70" s="22">
        <f t="shared" si="32"/>
        <v>0.94108476957869092</v>
      </c>
      <c r="AH70" s="46">
        <v>0.954766526</v>
      </c>
      <c r="AI70" s="22">
        <f t="shared" si="29"/>
        <v>0.9329296657658287</v>
      </c>
      <c r="AJ70" s="22">
        <f t="shared" si="29"/>
        <v>0.7343604175635926</v>
      </c>
    </row>
    <row r="71" spans="1:36">
      <c r="A71" s="2" t="s">
        <v>142</v>
      </c>
      <c r="B71" s="2" t="s">
        <v>44</v>
      </c>
      <c r="C71" s="22">
        <f t="shared" ref="C71:AG71" si="33">C41/$AK41</f>
        <v>1.0044963472952526</v>
      </c>
      <c r="D71" s="22">
        <f t="shared" si="33"/>
        <v>0.50117789287588743</v>
      </c>
      <c r="E71" s="22">
        <f t="shared" si="33"/>
        <v>1.1432885506546588</v>
      </c>
      <c r="F71" s="22">
        <f t="shared" si="33"/>
        <v>0.58675846366943385</v>
      </c>
      <c r="G71" s="22">
        <f t="shared" si="33"/>
        <v>0.68162213276949557</v>
      </c>
      <c r="H71" s="22">
        <f t="shared" si="33"/>
        <v>0.87470438462770939</v>
      </c>
      <c r="I71" s="22">
        <f t="shared" si="33"/>
        <v>1.1649728708184759</v>
      </c>
      <c r="J71" s="22">
        <f t="shared" si="33"/>
        <v>0.95314604473669862</v>
      </c>
      <c r="K71" s="22">
        <f t="shared" si="33"/>
        <v>1.133425155946054</v>
      </c>
      <c r="L71" s="22">
        <f t="shared" si="33"/>
        <v>0.81148900916894406</v>
      </c>
      <c r="M71" s="22">
        <f t="shared" si="33"/>
        <v>1.2898461441438183</v>
      </c>
      <c r="N71" s="22">
        <f t="shared" si="33"/>
        <v>0.87271722258692042</v>
      </c>
      <c r="O71" s="22">
        <f t="shared" si="33"/>
        <v>1.0382069007526049</v>
      </c>
      <c r="P71" s="22">
        <f t="shared" si="33"/>
        <v>1.0835175127464725</v>
      </c>
      <c r="Q71" s="22">
        <f t="shared" si="33"/>
        <v>1.1708635197291555</v>
      </c>
      <c r="R71" s="22">
        <f t="shared" si="33"/>
        <v>1.3462154619120574</v>
      </c>
      <c r="S71" s="22">
        <f t="shared" si="33"/>
        <v>1.408606481831205</v>
      </c>
      <c r="T71" s="22">
        <f t="shared" si="33"/>
        <v>1.3444879128144771</v>
      </c>
      <c r="U71" s="22">
        <f t="shared" si="33"/>
        <v>1.344271900136341</v>
      </c>
      <c r="V71" s="22">
        <f t="shared" si="33"/>
        <v>1.1408303926496393</v>
      </c>
      <c r="W71" s="22">
        <f t="shared" si="33"/>
        <v>1.1616270379845377</v>
      </c>
      <c r="X71" s="22">
        <f t="shared" si="33"/>
        <v>1.1511593321314342</v>
      </c>
      <c r="Y71" s="22">
        <f t="shared" si="33"/>
        <v>1</v>
      </c>
      <c r="Z71" s="22">
        <f t="shared" si="33"/>
        <v>0.6515336254412446</v>
      </c>
      <c r="AA71" s="22">
        <f t="shared" si="33"/>
        <v>0.97955600776740381</v>
      </c>
      <c r="AB71" s="22">
        <f t="shared" si="33"/>
        <v>0.87931879185771422</v>
      </c>
      <c r="AC71" s="22">
        <f t="shared" si="33"/>
        <v>0.84371018246892693</v>
      </c>
      <c r="AD71" s="22">
        <f t="shared" si="33"/>
        <v>0.87614216365443398</v>
      </c>
      <c r="AE71" s="22">
        <f t="shared" si="33"/>
        <v>0.7245839048636481</v>
      </c>
      <c r="AF71" s="22">
        <f t="shared" si="33"/>
        <v>0.66855484561375667</v>
      </c>
      <c r="AG71" s="22">
        <f t="shared" si="33"/>
        <v>0.91437270188065745</v>
      </c>
      <c r="AH71" s="46">
        <v>0.96333855099999999</v>
      </c>
      <c r="AI71" s="22">
        <f t="shared" si="29"/>
        <v>0.94789904975068873</v>
      </c>
      <c r="AJ71" s="22">
        <f t="shared" si="29"/>
        <v>0.79476653481967685</v>
      </c>
    </row>
    <row r="72" spans="1:36">
      <c r="B72" s="9" t="s">
        <v>51</v>
      </c>
      <c r="C72" s="38">
        <f>AVERAGE(C67:C71)</f>
        <v>0.99038409434843344</v>
      </c>
      <c r="D72" s="38">
        <f t="shared" ref="D72:AG72" si="34">AVERAGE(D67:D71)</f>
        <v>0.43619176289206435</v>
      </c>
      <c r="E72" s="38">
        <f t="shared" si="34"/>
        <v>1.2131738925147313</v>
      </c>
      <c r="F72" s="38">
        <f t="shared" si="34"/>
        <v>0.46631578724217659</v>
      </c>
      <c r="G72" s="38">
        <f t="shared" si="34"/>
        <v>0.68920557192686815</v>
      </c>
      <c r="H72" s="38">
        <f t="shared" si="34"/>
        <v>0.86783745272734547</v>
      </c>
      <c r="I72" s="38">
        <f t="shared" si="34"/>
        <v>1.2286479701116166</v>
      </c>
      <c r="J72" s="38">
        <f t="shared" si="34"/>
        <v>0.9498520563833921</v>
      </c>
      <c r="K72" s="38">
        <f t="shared" si="34"/>
        <v>1.1493824406797852</v>
      </c>
      <c r="L72" s="38">
        <f t="shared" si="34"/>
        <v>0.813982510383785</v>
      </c>
      <c r="M72" s="38">
        <f t="shared" si="34"/>
        <v>1.3324428221527371</v>
      </c>
      <c r="N72" s="38">
        <f t="shared" si="34"/>
        <v>0.87233965716374517</v>
      </c>
      <c r="O72" s="38">
        <f t="shared" si="34"/>
        <v>1.0322292050509885</v>
      </c>
      <c r="P72" s="38">
        <f t="shared" si="34"/>
        <v>1.112490561152923</v>
      </c>
      <c r="Q72" s="38">
        <f t="shared" si="34"/>
        <v>1.2302711471526928</v>
      </c>
      <c r="R72" s="38">
        <f t="shared" si="34"/>
        <v>1.3929107345454088</v>
      </c>
      <c r="S72" s="38">
        <f t="shared" si="34"/>
        <v>1.4615391197252361</v>
      </c>
      <c r="T72" s="38">
        <f t="shared" si="34"/>
        <v>1.3918374089745396</v>
      </c>
      <c r="U72" s="38">
        <f t="shared" si="34"/>
        <v>1.3914926914597516</v>
      </c>
      <c r="V72" s="38">
        <f t="shared" si="34"/>
        <v>1.0787520618654447</v>
      </c>
      <c r="W72" s="38">
        <f t="shared" si="34"/>
        <v>1.2085774672555905</v>
      </c>
      <c r="X72" s="38">
        <f t="shared" si="34"/>
        <v>1.1781050066662035</v>
      </c>
      <c r="Y72" s="38">
        <f t="shared" si="34"/>
        <v>1.0378964532677946</v>
      </c>
      <c r="Z72" s="38">
        <f t="shared" si="34"/>
        <v>0.65338534868279341</v>
      </c>
      <c r="AA72" s="38">
        <f t="shared" si="34"/>
        <v>0.99186349792934025</v>
      </c>
      <c r="AB72" s="38">
        <f t="shared" si="34"/>
        <v>0.87014710469558554</v>
      </c>
      <c r="AC72" s="38">
        <f t="shared" si="34"/>
        <v>0.8549530265278511</v>
      </c>
      <c r="AD72" s="38">
        <f t="shared" si="34"/>
        <v>0.8773455955188274</v>
      </c>
      <c r="AE72" s="38">
        <f t="shared" si="34"/>
        <v>0.73792555053561737</v>
      </c>
      <c r="AF72" s="38">
        <f t="shared" si="34"/>
        <v>0.67704324822269879</v>
      </c>
      <c r="AG72" s="38">
        <f t="shared" si="34"/>
        <v>0.94222007817288544</v>
      </c>
      <c r="AH72" s="52">
        <v>0.96151022399999997</v>
      </c>
      <c r="AI72" s="38">
        <f>AVERAGE(AI67:AI71)</f>
        <v>0.95379623007791436</v>
      </c>
      <c r="AJ72" s="38">
        <f>AVERAGE(AJ67:AJ71)</f>
        <v>0.79426121869207211</v>
      </c>
    </row>
    <row r="73" spans="1:36">
      <c r="B73" s="9" t="s">
        <v>52</v>
      </c>
      <c r="C73" s="39">
        <f>_xlfn.STDEV.S(C67:C71)</f>
        <v>4.3462606696920265E-2</v>
      </c>
      <c r="D73" s="39">
        <f t="shared" ref="D73:AJ73" si="35">_xlfn.STDEV.S(D67:D71)</f>
        <v>0.24552383702021163</v>
      </c>
      <c r="E73" s="39">
        <f t="shared" si="35"/>
        <v>5.0548569233595152E-2</v>
      </c>
      <c r="F73" s="39">
        <f t="shared" si="35"/>
        <v>0.26121701727892965</v>
      </c>
      <c r="G73" s="39">
        <f t="shared" si="35"/>
        <v>1.9635713084916157E-2</v>
      </c>
      <c r="H73" s="39">
        <f t="shared" si="35"/>
        <v>2.8719241679774781E-2</v>
      </c>
      <c r="I73" s="39">
        <f t="shared" si="35"/>
        <v>4.6097761865141113E-2</v>
      </c>
      <c r="J73" s="39">
        <f t="shared" si="35"/>
        <v>2.6489155467234862E-2</v>
      </c>
      <c r="K73" s="39">
        <f t="shared" si="35"/>
        <v>2.3937451083001399E-2</v>
      </c>
      <c r="L73" s="39">
        <f t="shared" si="35"/>
        <v>1.9811454457556128E-2</v>
      </c>
      <c r="M73" s="39">
        <f t="shared" si="35"/>
        <v>3.5233327855435932E-2</v>
      </c>
      <c r="N73" s="39">
        <f t="shared" si="35"/>
        <v>2.4323565345965626E-2</v>
      </c>
      <c r="O73" s="39">
        <f t="shared" si="35"/>
        <v>2.0764007341453901E-2</v>
      </c>
      <c r="P73" s="39">
        <f t="shared" si="35"/>
        <v>2.7629881113425465E-2</v>
      </c>
      <c r="Q73" s="39">
        <f t="shared" si="35"/>
        <v>4.4716528257179505E-2</v>
      </c>
      <c r="R73" s="39">
        <f t="shared" si="35"/>
        <v>4.3692220165411917E-2</v>
      </c>
      <c r="S73" s="39">
        <f t="shared" si="35"/>
        <v>4.9379946576597084E-2</v>
      </c>
      <c r="T73" s="39">
        <f t="shared" si="35"/>
        <v>4.4007380971259953E-2</v>
      </c>
      <c r="U73" s="39">
        <f t="shared" si="35"/>
        <v>4.3852989780377293E-2</v>
      </c>
      <c r="V73" s="39">
        <f t="shared" si="35"/>
        <v>0.13985007411071992</v>
      </c>
      <c r="W73" s="39">
        <f t="shared" si="35"/>
        <v>3.9967600442171278E-2</v>
      </c>
      <c r="X73" s="39">
        <f t="shared" si="35"/>
        <v>3.2123756899745996E-2</v>
      </c>
      <c r="Y73" s="39">
        <f t="shared" si="35"/>
        <v>3.5605348076942239E-2</v>
      </c>
      <c r="Z73" s="39">
        <f t="shared" si="35"/>
        <v>1.5282942714211547E-2</v>
      </c>
      <c r="AA73" s="39">
        <f t="shared" si="35"/>
        <v>1.1417748551700559E-2</v>
      </c>
      <c r="AB73" s="39">
        <f t="shared" si="35"/>
        <v>3.1518409829746082E-2</v>
      </c>
      <c r="AC73" s="39">
        <f t="shared" si="35"/>
        <v>2.3106778205429727E-2</v>
      </c>
      <c r="AD73" s="39">
        <f t="shared" si="35"/>
        <v>2.2002070051919333E-3</v>
      </c>
      <c r="AE73" s="39">
        <f t="shared" si="35"/>
        <v>1.9011977236554144E-2</v>
      </c>
      <c r="AF73" s="39">
        <f t="shared" si="35"/>
        <v>2.1297755532804118E-2</v>
      </c>
      <c r="AG73" s="39">
        <f t="shared" si="35"/>
        <v>3.3669461633022472E-2</v>
      </c>
      <c r="AH73" s="39">
        <f t="shared" si="35"/>
        <v>5.8199200347354872E-3</v>
      </c>
      <c r="AI73" s="39">
        <f t="shared" si="35"/>
        <v>2.2891352002210073E-2</v>
      </c>
      <c r="AJ73" s="39">
        <f t="shared" si="35"/>
        <v>3.853240591754338E-2</v>
      </c>
    </row>
    <row r="74" spans="1:36">
      <c r="B74" s="9"/>
      <c r="AH74" s="2"/>
    </row>
    <row r="75" spans="1:36">
      <c r="B75" s="9"/>
      <c r="AH75" s="2"/>
    </row>
    <row r="76" spans="1:36">
      <c r="A76" s="3" t="s">
        <v>48</v>
      </c>
      <c r="B76" s="2"/>
      <c r="AH76" s="2"/>
    </row>
    <row r="77" spans="1:36">
      <c r="A77" s="2" t="s">
        <v>131</v>
      </c>
      <c r="B77" s="2" t="s">
        <v>46</v>
      </c>
      <c r="C77" s="35">
        <f t="shared" ref="C77:AG77" si="36">C47/$AK47</f>
        <v>0.86714059204376603</v>
      </c>
      <c r="D77" s="35">
        <f t="shared" si="36"/>
        <v>0.51643728147414891</v>
      </c>
      <c r="E77" s="35">
        <f t="shared" si="36"/>
        <v>1.090475041061884</v>
      </c>
      <c r="F77" s="35">
        <f t="shared" si="36"/>
        <v>0.50814402316798102</v>
      </c>
      <c r="G77" s="35">
        <f t="shared" si="36"/>
        <v>0.65677801447379203</v>
      </c>
      <c r="H77" s="35">
        <f t="shared" si="36"/>
        <v>0.82692728356632095</v>
      </c>
      <c r="I77" s="35">
        <f t="shared" si="36"/>
        <v>1.1340640896333571</v>
      </c>
      <c r="J77" s="35">
        <f t="shared" si="36"/>
        <v>0.9128544540509469</v>
      </c>
      <c r="K77" s="35">
        <f t="shared" si="36"/>
        <v>1.1072204004182111</v>
      </c>
      <c r="L77" s="35">
        <f t="shared" si="36"/>
        <v>0.81314144556804102</v>
      </c>
      <c r="M77" s="35">
        <f t="shared" si="36"/>
        <v>1.248150387087152</v>
      </c>
      <c r="N77" s="35">
        <f t="shared" si="36"/>
        <v>0.85225863908268529</v>
      </c>
      <c r="O77" s="35">
        <f t="shared" si="36"/>
        <v>1.0092805849707385</v>
      </c>
      <c r="P77" s="35">
        <f t="shared" si="36"/>
        <v>1.049241920674248</v>
      </c>
      <c r="Q77" s="35">
        <f t="shared" si="36"/>
        <v>1.122312395627586</v>
      </c>
      <c r="R77" s="35">
        <f t="shared" si="36"/>
        <v>1.2955513574676472</v>
      </c>
      <c r="S77" s="35">
        <f t="shared" si="36"/>
        <v>1.3503234305329581</v>
      </c>
      <c r="T77" s="35">
        <f t="shared" si="36"/>
        <v>1.2939013179693515</v>
      </c>
      <c r="U77" s="35">
        <f t="shared" si="36"/>
        <v>1.293455936194023</v>
      </c>
      <c r="V77" s="35">
        <f t="shared" si="36"/>
        <v>1.0942455693421282</v>
      </c>
      <c r="W77" s="35">
        <f t="shared" si="36"/>
        <v>1.1219492984700139</v>
      </c>
      <c r="X77" s="35">
        <f t="shared" si="36"/>
        <v>1.077131466864965</v>
      </c>
      <c r="Y77" s="35">
        <f t="shared" si="36"/>
        <v>0.91440342262988328</v>
      </c>
      <c r="Z77" s="35">
        <f t="shared" si="36"/>
        <v>0.67441981886478763</v>
      </c>
      <c r="AA77" s="35">
        <f t="shared" si="36"/>
        <v>1</v>
      </c>
      <c r="AB77" s="35">
        <f t="shared" si="36"/>
        <v>0.84081997104658435</v>
      </c>
      <c r="AC77" s="35">
        <f t="shared" si="36"/>
        <v>0.83145582988265376</v>
      </c>
      <c r="AD77" s="35">
        <f t="shared" si="36"/>
        <v>0.90127677889086155</v>
      </c>
      <c r="AE77" s="35">
        <f t="shared" si="36"/>
        <v>0.64108298206335357</v>
      </c>
      <c r="AF77" s="35">
        <f t="shared" si="36"/>
        <v>0.58066721893949791</v>
      </c>
      <c r="AG77" s="35">
        <f t="shared" si="36"/>
        <v>1.0061174535227655</v>
      </c>
      <c r="AH77" s="11">
        <v>0.99867698800000004</v>
      </c>
      <c r="AI77" s="35">
        <f t="shared" ref="AI77:AJ83" si="37">AI47/$AK47</f>
        <v>0.90567471104347752</v>
      </c>
      <c r="AJ77" s="35">
        <f t="shared" si="37"/>
        <v>0.78044823806173436</v>
      </c>
    </row>
    <row r="78" spans="1:36">
      <c r="A78" s="2" t="s">
        <v>132</v>
      </c>
      <c r="B78" s="2" t="s">
        <v>46</v>
      </c>
      <c r="C78" s="35">
        <f t="shared" ref="C78:AG78" si="38">C48/$AK48</f>
        <v>0.88957377227961942</v>
      </c>
      <c r="D78" s="35">
        <f t="shared" si="38"/>
        <v>0.47944542828958253</v>
      </c>
      <c r="E78" s="35">
        <f t="shared" si="38"/>
        <v>1.1659238485640744</v>
      </c>
      <c r="F78" s="35">
        <f t="shared" si="38"/>
        <v>0.56329279334707161</v>
      </c>
      <c r="G78" s="35">
        <f t="shared" si="38"/>
        <v>0.6983024631555822</v>
      </c>
      <c r="H78" s="35">
        <f t="shared" si="38"/>
        <v>0.87160885506591046</v>
      </c>
      <c r="I78" s="35">
        <f t="shared" si="38"/>
        <v>1.208335265643717</v>
      </c>
      <c r="J78" s="35">
        <f t="shared" si="38"/>
        <v>0.9597586598099016</v>
      </c>
      <c r="K78" s="35">
        <f t="shared" si="38"/>
        <v>1.1755012019598063</v>
      </c>
      <c r="L78" s="35">
        <f t="shared" si="38"/>
        <v>0.84895999999783556</v>
      </c>
      <c r="M78" s="35">
        <f t="shared" si="38"/>
        <v>1.3272564045135054</v>
      </c>
      <c r="N78" s="35">
        <f t="shared" si="38"/>
        <v>0.90051724774162623</v>
      </c>
      <c r="O78" s="35">
        <f t="shared" si="38"/>
        <v>1.0366208903290002</v>
      </c>
      <c r="P78" s="35">
        <f t="shared" si="38"/>
        <v>1.1271296130706916</v>
      </c>
      <c r="Q78" s="35">
        <f t="shared" si="38"/>
        <v>1.2147040968221385</v>
      </c>
      <c r="R78" s="35">
        <f t="shared" si="38"/>
        <v>1.3828082138707238</v>
      </c>
      <c r="S78" s="35">
        <f t="shared" si="38"/>
        <v>1.4487030432690349</v>
      </c>
      <c r="T78" s="35">
        <f t="shared" si="38"/>
        <v>1.3819916346284207</v>
      </c>
      <c r="U78" s="35">
        <f t="shared" si="38"/>
        <v>1.3816409656510551</v>
      </c>
      <c r="V78" s="35">
        <f t="shared" si="38"/>
        <v>0.90398456788032833</v>
      </c>
      <c r="W78" s="35">
        <f t="shared" si="38"/>
        <v>1.1932339105158518</v>
      </c>
      <c r="X78" s="35">
        <f t="shared" si="38"/>
        <v>1.1553788622419443</v>
      </c>
      <c r="Y78" s="35">
        <f t="shared" si="38"/>
        <v>1</v>
      </c>
      <c r="Z78" s="35">
        <f t="shared" si="38"/>
        <v>0.63170688442506828</v>
      </c>
      <c r="AA78" s="35">
        <f t="shared" si="38"/>
        <v>1.0395084911895056</v>
      </c>
      <c r="AB78" s="35">
        <f t="shared" si="38"/>
        <v>0.80641933790136988</v>
      </c>
      <c r="AC78" s="35">
        <f t="shared" si="38"/>
        <v>0.87874594012066021</v>
      </c>
      <c r="AD78" s="35">
        <f t="shared" si="38"/>
        <v>0.97457352545631681</v>
      </c>
      <c r="AE78" s="35">
        <f t="shared" si="38"/>
        <v>0.70344092608911124</v>
      </c>
      <c r="AF78" s="35">
        <f t="shared" si="38"/>
        <v>0.64488277795186977</v>
      </c>
      <c r="AG78" s="35">
        <f t="shared" si="38"/>
        <v>1.0591102577029337</v>
      </c>
      <c r="AH78" s="11">
        <v>0.97805062499999995</v>
      </c>
      <c r="AI78" s="35">
        <f t="shared" si="37"/>
        <v>0.95317999986424151</v>
      </c>
      <c r="AJ78" s="35">
        <f t="shared" si="37"/>
        <v>0.82063764687138496</v>
      </c>
    </row>
    <row r="79" spans="1:36">
      <c r="A79" s="2" t="s">
        <v>133</v>
      </c>
      <c r="B79" s="2" t="s">
        <v>46</v>
      </c>
      <c r="C79" s="35">
        <f t="shared" ref="C79:AG79" si="39">C49/$AK49</f>
        <v>0.99661411478840034</v>
      </c>
      <c r="D79" s="35">
        <f t="shared" si="39"/>
        <v>0.4831933002328942</v>
      </c>
      <c r="E79" s="35">
        <f t="shared" si="39"/>
        <v>1.2502444561579222</v>
      </c>
      <c r="F79" s="35">
        <f t="shared" si="39"/>
        <v>0.64065720201522336</v>
      </c>
      <c r="G79" s="35">
        <f t="shared" si="39"/>
        <v>0.73951693193760126</v>
      </c>
      <c r="H79" s="35">
        <f t="shared" si="39"/>
        <v>0.91155151914254096</v>
      </c>
      <c r="I79" s="35">
        <f t="shared" si="39"/>
        <v>1.2079748309102805</v>
      </c>
      <c r="J79" s="35">
        <f t="shared" si="39"/>
        <v>1</v>
      </c>
      <c r="K79" s="35">
        <f t="shared" si="39"/>
        <v>1.1813964783669315</v>
      </c>
      <c r="L79" s="35">
        <f t="shared" si="39"/>
        <v>0.88307712712139153</v>
      </c>
      <c r="M79" s="35">
        <f t="shared" si="39"/>
        <v>1.3437284140208052</v>
      </c>
      <c r="N79" s="35">
        <f t="shared" si="39"/>
        <v>0.92524401327716799</v>
      </c>
      <c r="O79" s="35">
        <f t="shared" si="39"/>
        <v>1.1014425027857204</v>
      </c>
      <c r="P79" s="35">
        <f t="shared" si="39"/>
        <v>1.127277801925699</v>
      </c>
      <c r="Q79" s="35">
        <f t="shared" si="39"/>
        <v>1.2184882903469876</v>
      </c>
      <c r="R79" s="35">
        <f t="shared" si="39"/>
        <v>1.4082185640456248</v>
      </c>
      <c r="S79" s="35">
        <f t="shared" si="39"/>
        <v>1.4624937175197323</v>
      </c>
      <c r="T79" s="35">
        <f t="shared" si="39"/>
        <v>1.4068684318592202</v>
      </c>
      <c r="U79" s="35">
        <f t="shared" si="39"/>
        <v>1.4058515827848219</v>
      </c>
      <c r="V79" s="35">
        <f t="shared" si="39"/>
        <v>1.1996354736091475</v>
      </c>
      <c r="W79" s="35">
        <f t="shared" si="39"/>
        <v>1.2388606235573913</v>
      </c>
      <c r="X79" s="35">
        <f t="shared" si="39"/>
        <v>1.1962379308412163</v>
      </c>
      <c r="Y79" s="35">
        <f t="shared" si="39"/>
        <v>0.96152133672276086</v>
      </c>
      <c r="Z79" s="35">
        <f t="shared" si="39"/>
        <v>0.78117481249843912</v>
      </c>
      <c r="AA79" s="35">
        <f t="shared" si="39"/>
        <v>1.0839279014164642</v>
      </c>
      <c r="AB79" s="35">
        <f t="shared" si="39"/>
        <v>0.98765802146912762</v>
      </c>
      <c r="AC79" s="35">
        <f t="shared" si="39"/>
        <v>0.92197449180350866</v>
      </c>
      <c r="AD79" s="35">
        <f t="shared" si="39"/>
        <v>0.94184954344530414</v>
      </c>
      <c r="AE79" s="35">
        <f t="shared" si="39"/>
        <v>0.80666712721182232</v>
      </c>
      <c r="AF79" s="35">
        <f t="shared" si="39"/>
        <v>0.75170362876982733</v>
      </c>
      <c r="AG79" s="35">
        <f t="shared" si="39"/>
        <v>0.97954446430046127</v>
      </c>
      <c r="AH79" s="11">
        <v>0.99767426999999997</v>
      </c>
      <c r="AI79" s="35">
        <f t="shared" si="37"/>
        <v>1.0216581920094931</v>
      </c>
      <c r="AJ79" s="35">
        <f t="shared" si="37"/>
        <v>0.98535173052561542</v>
      </c>
    </row>
    <row r="80" spans="1:36">
      <c r="A80" s="2" t="s">
        <v>134</v>
      </c>
      <c r="B80" s="2" t="s">
        <v>47</v>
      </c>
      <c r="C80" s="35">
        <f t="shared" ref="C80:AG80" si="40">C50/$AK50</f>
        <v>0.87805780007321887</v>
      </c>
      <c r="D80" s="35">
        <f t="shared" si="40"/>
        <v>0.5222024850402186</v>
      </c>
      <c r="E80" s="35">
        <f t="shared" si="40"/>
        <v>1.2110153539075661</v>
      </c>
      <c r="F80" s="35">
        <f t="shared" si="40"/>
        <v>0.52963811719665921</v>
      </c>
      <c r="G80" s="35">
        <f t="shared" si="40"/>
        <v>0.66798809877082843</v>
      </c>
      <c r="H80" s="35">
        <f t="shared" si="40"/>
        <v>0.86852098477573858</v>
      </c>
      <c r="I80" s="35">
        <f t="shared" si="40"/>
        <v>1.2267207244469249</v>
      </c>
      <c r="J80" s="35">
        <f t="shared" si="40"/>
        <v>0.93247486462906637</v>
      </c>
      <c r="K80" s="35">
        <f t="shared" si="40"/>
        <v>1.143480949514557</v>
      </c>
      <c r="L80" s="35">
        <f t="shared" si="40"/>
        <v>0.81377035733915781</v>
      </c>
      <c r="M80" s="35">
        <f t="shared" si="40"/>
        <v>1.3028897605504266</v>
      </c>
      <c r="N80" s="35">
        <f t="shared" si="40"/>
        <v>0.85740511955082566</v>
      </c>
      <c r="O80" s="35">
        <f t="shared" si="40"/>
        <v>1.0757219858065619</v>
      </c>
      <c r="P80" s="35">
        <f t="shared" si="40"/>
        <v>1.0468550191156418</v>
      </c>
      <c r="Q80" s="35">
        <f t="shared" si="40"/>
        <v>1.1498140598561652</v>
      </c>
      <c r="R80" s="35">
        <f t="shared" si="40"/>
        <v>1.3890307422665154</v>
      </c>
      <c r="S80" s="35">
        <f t="shared" si="40"/>
        <v>1.4550263572604805</v>
      </c>
      <c r="T80" s="35">
        <f t="shared" si="40"/>
        <v>1.3879290842552361</v>
      </c>
      <c r="U80" s="35">
        <f t="shared" si="40"/>
        <v>1.3876657707041573</v>
      </c>
      <c r="V80" s="35">
        <f t="shared" si="40"/>
        <v>1.1885543288753322</v>
      </c>
      <c r="W80" s="35">
        <f t="shared" si="40"/>
        <v>1.2197804667854801</v>
      </c>
      <c r="X80" s="35">
        <f t="shared" si="40"/>
        <v>1.1827989118094355</v>
      </c>
      <c r="Y80" s="35">
        <f t="shared" si="40"/>
        <v>0.93023709360582263</v>
      </c>
      <c r="Z80" s="35">
        <f t="shared" si="40"/>
        <v>0.67881212252803658</v>
      </c>
      <c r="AA80" s="35">
        <f t="shared" si="40"/>
        <v>1.0376188780760081</v>
      </c>
      <c r="AB80" s="35">
        <f t="shared" si="40"/>
        <v>0.76164336210840522</v>
      </c>
      <c r="AC80" s="35">
        <f t="shared" si="40"/>
        <v>0.86552628858827341</v>
      </c>
      <c r="AD80" s="35">
        <f t="shared" si="40"/>
        <v>0.94299152505101747</v>
      </c>
      <c r="AE80" s="35">
        <f t="shared" si="40"/>
        <v>0.6228949942233506</v>
      </c>
      <c r="AF80" s="35">
        <f t="shared" si="40"/>
        <v>0.49150686514745656</v>
      </c>
      <c r="AG80" s="35">
        <f t="shared" si="40"/>
        <v>1</v>
      </c>
      <c r="AH80" s="11">
        <v>0.99337904899999996</v>
      </c>
      <c r="AI80" s="35">
        <f t="shared" si="37"/>
        <v>0.97211963931296774</v>
      </c>
      <c r="AJ80" s="35">
        <f t="shared" si="37"/>
        <v>0.86622012936121073</v>
      </c>
    </row>
    <row r="81" spans="1:36">
      <c r="A81" s="2" t="s">
        <v>135</v>
      </c>
      <c r="B81" s="2" t="s">
        <v>47</v>
      </c>
      <c r="C81" s="35">
        <f t="shared" ref="C81:AG81" si="41">C51/$AK51</f>
        <v>0.88807822269227432</v>
      </c>
      <c r="D81" s="35">
        <f t="shared" si="41"/>
        <v>0.50783092903483729</v>
      </c>
      <c r="E81" s="35">
        <f t="shared" si="41"/>
        <v>1.1964484011301475</v>
      </c>
      <c r="F81" s="35">
        <f t="shared" si="41"/>
        <v>0.58114054337540222</v>
      </c>
      <c r="G81" s="35">
        <f t="shared" si="41"/>
        <v>0.67186680764188889</v>
      </c>
      <c r="H81" s="35">
        <f t="shared" si="41"/>
        <v>0.84098437170468543</v>
      </c>
      <c r="I81" s="35">
        <f t="shared" si="41"/>
        <v>1.1664637522349461</v>
      </c>
      <c r="J81" s="35">
        <f t="shared" si="41"/>
        <v>0.92682265570527989</v>
      </c>
      <c r="K81" s="35">
        <f t="shared" si="41"/>
        <v>1.127297539715886</v>
      </c>
      <c r="L81" s="35">
        <f t="shared" si="41"/>
        <v>0.82498195043760281</v>
      </c>
      <c r="M81" s="35">
        <f t="shared" si="41"/>
        <v>1.2734472917552706</v>
      </c>
      <c r="N81" s="35">
        <f t="shared" si="41"/>
        <v>0.87607008739426218</v>
      </c>
      <c r="O81" s="35">
        <f t="shared" si="41"/>
        <v>1.0538304246413865</v>
      </c>
      <c r="P81" s="35">
        <f t="shared" si="41"/>
        <v>1.0547913495095433</v>
      </c>
      <c r="Q81" s="35">
        <f t="shared" si="41"/>
        <v>1.1348781000154757</v>
      </c>
      <c r="R81" s="35">
        <f t="shared" si="41"/>
        <v>1.3398320196606384</v>
      </c>
      <c r="S81" s="35">
        <f t="shared" si="41"/>
        <v>1.3926465272457382</v>
      </c>
      <c r="T81" s="35">
        <f t="shared" si="41"/>
        <v>1.3385248906618146</v>
      </c>
      <c r="U81" s="35">
        <f t="shared" si="41"/>
        <v>1.3380274263468523</v>
      </c>
      <c r="V81" s="35">
        <f t="shared" si="41"/>
        <v>1.1300801892072863</v>
      </c>
      <c r="W81" s="35">
        <f t="shared" si="41"/>
        <v>1.159398597424163</v>
      </c>
      <c r="X81" s="35">
        <f t="shared" si="41"/>
        <v>1.1137777157774069</v>
      </c>
      <c r="Y81" s="35">
        <f t="shared" si="41"/>
        <v>0.95140343697586793</v>
      </c>
      <c r="Z81" s="35">
        <f t="shared" si="41"/>
        <v>0.56764616206704821</v>
      </c>
      <c r="AA81" s="35">
        <f t="shared" si="41"/>
        <v>1.0088411398684263</v>
      </c>
      <c r="AB81" s="35">
        <f t="shared" si="41"/>
        <v>0.8963722810056941</v>
      </c>
      <c r="AC81" s="35">
        <f t="shared" si="41"/>
        <v>0.85208164919927454</v>
      </c>
      <c r="AD81" s="35">
        <f t="shared" si="41"/>
        <v>0.92244524634045522</v>
      </c>
      <c r="AE81" s="35">
        <f t="shared" si="41"/>
        <v>0.66957112028668109</v>
      </c>
      <c r="AF81" s="35">
        <f t="shared" si="41"/>
        <v>0.65735065289379813</v>
      </c>
      <c r="AG81" s="35">
        <f t="shared" si="41"/>
        <v>1</v>
      </c>
      <c r="AH81" s="11">
        <v>0.99651436199999999</v>
      </c>
      <c r="AI81" s="35">
        <f t="shared" si="37"/>
        <v>0.94114341959966641</v>
      </c>
      <c r="AJ81" s="35">
        <f t="shared" si="37"/>
        <v>0.83415026929548031</v>
      </c>
    </row>
    <row r="82" spans="1:36">
      <c r="A82" s="2" t="s">
        <v>136</v>
      </c>
      <c r="B82" s="2" t="s">
        <v>47</v>
      </c>
      <c r="C82" s="35">
        <f t="shared" ref="C82:AG82" si="42">C52/$AK52</f>
        <v>0.93068186301096423</v>
      </c>
      <c r="D82" s="35">
        <f t="shared" si="42"/>
        <v>0.53153014541516141</v>
      </c>
      <c r="E82" s="35">
        <f t="shared" si="42"/>
        <v>1.0999561181282234</v>
      </c>
      <c r="F82" s="35">
        <f t="shared" si="42"/>
        <v>0.5790488843814805</v>
      </c>
      <c r="G82" s="35">
        <f t="shared" si="42"/>
        <v>0.69072596252107143</v>
      </c>
      <c r="H82" s="35">
        <f t="shared" si="42"/>
        <v>0.87328023371981112</v>
      </c>
      <c r="I82" s="35">
        <f t="shared" si="42"/>
        <v>1.1398586279226248</v>
      </c>
      <c r="J82" s="35">
        <f t="shared" si="42"/>
        <v>0.95706594186140415</v>
      </c>
      <c r="K82" s="35">
        <f t="shared" si="42"/>
        <v>1.1572494593793468</v>
      </c>
      <c r="L82" s="35">
        <f t="shared" si="42"/>
        <v>0.8373879450716738</v>
      </c>
      <c r="M82" s="35">
        <f t="shared" si="42"/>
        <v>1.2804458225786233</v>
      </c>
      <c r="N82" s="35">
        <f t="shared" si="42"/>
        <v>0.88903854135751958</v>
      </c>
      <c r="O82" s="35">
        <f t="shared" si="42"/>
        <v>1.028274055045159</v>
      </c>
      <c r="P82" s="35">
        <f t="shared" si="42"/>
        <v>1.0887772991308833</v>
      </c>
      <c r="Q82" s="35">
        <f t="shared" si="42"/>
        <v>1.167417344928904</v>
      </c>
      <c r="R82" s="35">
        <f t="shared" si="42"/>
        <v>1.3470679967345101</v>
      </c>
      <c r="S82" s="35">
        <f t="shared" si="42"/>
        <v>1.4080677904133756</v>
      </c>
      <c r="T82" s="35">
        <f t="shared" si="42"/>
        <v>1.3452518856620737</v>
      </c>
      <c r="U82" s="35">
        <f t="shared" si="42"/>
        <v>1.3449078151011402</v>
      </c>
      <c r="V82" s="35">
        <f t="shared" si="42"/>
        <v>1.1470245164526116</v>
      </c>
      <c r="W82" s="35">
        <f t="shared" si="42"/>
        <v>1.1712914051379923</v>
      </c>
      <c r="X82" s="35">
        <f t="shared" si="42"/>
        <v>1.1393054226930812</v>
      </c>
      <c r="Y82" s="35">
        <f t="shared" si="42"/>
        <v>1.0143761454120737</v>
      </c>
      <c r="Z82" s="35">
        <f t="shared" si="42"/>
        <v>0.64486610872290384</v>
      </c>
      <c r="AA82" s="35">
        <f t="shared" si="42"/>
        <v>1</v>
      </c>
      <c r="AB82" s="35">
        <f t="shared" si="42"/>
        <v>0.87985413297077542</v>
      </c>
      <c r="AC82" s="35">
        <f t="shared" si="42"/>
        <v>0.85323474226614604</v>
      </c>
      <c r="AD82" s="35">
        <f t="shared" si="42"/>
        <v>0.87516543815413927</v>
      </c>
      <c r="AE82" s="35">
        <f t="shared" si="42"/>
        <v>0.73816612948027271</v>
      </c>
      <c r="AF82" s="35">
        <f t="shared" si="42"/>
        <v>0.66833379259516656</v>
      </c>
      <c r="AG82" s="35">
        <f t="shared" si="42"/>
        <v>0.94202354298386126</v>
      </c>
      <c r="AH82" s="11">
        <v>0.98220361199999995</v>
      </c>
      <c r="AI82" s="35">
        <f t="shared" si="37"/>
        <v>0.95477563688260947</v>
      </c>
      <c r="AJ82" s="35">
        <f t="shared" si="37"/>
        <v>0.79865212263358909</v>
      </c>
    </row>
    <row r="83" spans="1:36">
      <c r="A83" s="2" t="s">
        <v>137</v>
      </c>
      <c r="B83" s="2" t="s">
        <v>45</v>
      </c>
      <c r="C83" s="35">
        <f t="shared" ref="C83:AG83" si="43">C53/$AK53</f>
        <v>0.98908737331236574</v>
      </c>
      <c r="D83" s="35">
        <f t="shared" si="43"/>
        <v>0.55052735768574634</v>
      </c>
      <c r="E83" s="35">
        <f t="shared" si="43"/>
        <v>1.2524389098945614</v>
      </c>
      <c r="F83" s="35">
        <f t="shared" si="43"/>
        <v>0.54285538977952252</v>
      </c>
      <c r="G83" s="35">
        <f t="shared" si="43"/>
        <v>0.70298454556587142</v>
      </c>
      <c r="H83" s="35">
        <f t="shared" si="43"/>
        <v>0.88765440828528974</v>
      </c>
      <c r="I83" s="35">
        <f t="shared" si="43"/>
        <v>1.2643138649747394</v>
      </c>
      <c r="J83" s="35">
        <f t="shared" si="43"/>
        <v>0.9689526228756038</v>
      </c>
      <c r="K83" s="35">
        <f t="shared" si="43"/>
        <v>1.1852614946066675</v>
      </c>
      <c r="L83" s="35">
        <f t="shared" si="43"/>
        <v>0.84196275734266146</v>
      </c>
      <c r="M83" s="35">
        <f t="shared" si="43"/>
        <v>1.3469789950008619</v>
      </c>
      <c r="N83" s="35">
        <f t="shared" si="43"/>
        <v>0.91163499722864827</v>
      </c>
      <c r="O83" s="35">
        <f t="shared" si="43"/>
        <v>1.0488985574176777</v>
      </c>
      <c r="P83" s="35">
        <f t="shared" si="43"/>
        <v>1.1524615180466855</v>
      </c>
      <c r="Q83" s="35">
        <f t="shared" si="43"/>
        <v>1.2795386364079115</v>
      </c>
      <c r="R83" s="35">
        <f t="shared" si="43"/>
        <v>1.4315312759322403</v>
      </c>
      <c r="S83" s="35">
        <f t="shared" si="43"/>
        <v>1.4985327646487698</v>
      </c>
      <c r="T83" s="35">
        <f t="shared" si="43"/>
        <v>1.4301815222927932</v>
      </c>
      <c r="U83" s="35">
        <f t="shared" si="43"/>
        <v>1.4296344143160622</v>
      </c>
      <c r="V83" s="35">
        <f t="shared" si="43"/>
        <v>0.96043228417169768</v>
      </c>
      <c r="W83" s="35">
        <f t="shared" si="43"/>
        <v>1.2443975994322165</v>
      </c>
      <c r="X83" s="35">
        <f t="shared" si="43"/>
        <v>1.2037300833150284</v>
      </c>
      <c r="Y83" s="35">
        <f t="shared" si="43"/>
        <v>1.1256338766302454</v>
      </c>
      <c r="Z83" s="35">
        <f t="shared" si="43"/>
        <v>0.76221538158408897</v>
      </c>
      <c r="AA83" s="35">
        <f t="shared" si="43"/>
        <v>1</v>
      </c>
      <c r="AB83" s="35">
        <f t="shared" si="43"/>
        <v>0.91401261787203958</v>
      </c>
      <c r="AC83" s="35">
        <f t="shared" si="43"/>
        <v>0.891585142665407</v>
      </c>
      <c r="AD83" s="35">
        <f t="shared" si="43"/>
        <v>0.90059631454682898</v>
      </c>
      <c r="AE83" s="35">
        <f t="shared" si="43"/>
        <v>0.82509015850328427</v>
      </c>
      <c r="AF83" s="35">
        <f t="shared" si="43"/>
        <v>0.7407605700008526</v>
      </c>
      <c r="AG83" s="35">
        <f t="shared" si="43"/>
        <v>1.0199279455570904</v>
      </c>
      <c r="AH83" s="11">
        <v>0.95436876999999998</v>
      </c>
      <c r="AI83" s="35">
        <f t="shared" si="37"/>
        <v>0.99760616867865926</v>
      </c>
      <c r="AJ83" s="35">
        <f t="shared" si="37"/>
        <v>0.79293700605203521</v>
      </c>
    </row>
    <row r="84" spans="1:36">
      <c r="A84" s="2"/>
      <c r="B84" s="19" t="s">
        <v>51</v>
      </c>
      <c r="C84" s="40">
        <f>AVERAGE(C77:C83)</f>
        <v>0.91989053402865828</v>
      </c>
      <c r="D84" s="40">
        <f t="shared" ref="D84:AG84" si="44">AVERAGE(D77:D83)</f>
        <v>0.51302384673894141</v>
      </c>
      <c r="E84" s="40">
        <f t="shared" si="44"/>
        <v>1.1809288755491971</v>
      </c>
      <c r="F84" s="40">
        <f t="shared" si="44"/>
        <v>0.56353956475190581</v>
      </c>
      <c r="G84" s="40">
        <f t="shared" si="44"/>
        <v>0.68973754629523376</v>
      </c>
      <c r="H84" s="40">
        <f t="shared" si="44"/>
        <v>0.8686468080371853</v>
      </c>
      <c r="I84" s="40">
        <f t="shared" si="44"/>
        <v>1.1925330222523698</v>
      </c>
      <c r="J84" s="40">
        <f t="shared" si="44"/>
        <v>0.95113274270460046</v>
      </c>
      <c r="K84" s="40">
        <f t="shared" si="44"/>
        <v>1.1539153605659149</v>
      </c>
      <c r="L84" s="40">
        <f t="shared" si="44"/>
        <v>0.83761165469690912</v>
      </c>
      <c r="M84" s="40">
        <f t="shared" si="44"/>
        <v>1.3032710107866634</v>
      </c>
      <c r="N84" s="40">
        <f t="shared" si="44"/>
        <v>0.88745266366181941</v>
      </c>
      <c r="O84" s="40">
        <f t="shared" si="44"/>
        <v>1.0505812858566064</v>
      </c>
      <c r="P84" s="40">
        <f t="shared" si="44"/>
        <v>1.0923620744961988</v>
      </c>
      <c r="Q84" s="40">
        <f t="shared" si="44"/>
        <v>1.1838789891435955</v>
      </c>
      <c r="R84" s="40">
        <f t="shared" si="44"/>
        <v>1.3705771671397002</v>
      </c>
      <c r="S84" s="40">
        <f t="shared" si="44"/>
        <v>1.4308276615557269</v>
      </c>
      <c r="T84" s="40">
        <f t="shared" si="44"/>
        <v>1.3692355381898442</v>
      </c>
      <c r="U84" s="40">
        <f t="shared" si="44"/>
        <v>1.3687405587283017</v>
      </c>
      <c r="V84" s="40">
        <f t="shared" si="44"/>
        <v>1.0891367042197901</v>
      </c>
      <c r="W84" s="40">
        <f t="shared" si="44"/>
        <v>1.1927017001890157</v>
      </c>
      <c r="X84" s="40">
        <f t="shared" si="44"/>
        <v>1.1526229133632968</v>
      </c>
      <c r="Y84" s="40">
        <f t="shared" si="44"/>
        <v>0.98536790171095057</v>
      </c>
      <c r="Z84" s="40">
        <f t="shared" si="44"/>
        <v>0.67726304152719607</v>
      </c>
      <c r="AA84" s="40">
        <f t="shared" si="44"/>
        <v>1.0242709157929148</v>
      </c>
      <c r="AB84" s="40">
        <f t="shared" si="44"/>
        <v>0.86953996062485661</v>
      </c>
      <c r="AC84" s="40">
        <f t="shared" si="44"/>
        <v>0.87065772636084626</v>
      </c>
      <c r="AD84" s="40">
        <f t="shared" si="44"/>
        <v>0.92269976741213189</v>
      </c>
      <c r="AE84" s="40">
        <f t="shared" si="44"/>
        <v>0.71527334826541089</v>
      </c>
      <c r="AF84" s="40">
        <f t="shared" si="44"/>
        <v>0.64788650089978128</v>
      </c>
      <c r="AG84" s="40">
        <f t="shared" si="44"/>
        <v>1.0009605234381589</v>
      </c>
      <c r="AH84" s="40">
        <v>0.98583823900000001</v>
      </c>
      <c r="AI84" s="40">
        <f>AVERAGE(AI77:AI83)</f>
        <v>0.96373682391301629</v>
      </c>
      <c r="AJ84" s="40">
        <f>AVERAGE(AJ77:AJ83)</f>
        <v>0.83977102040015006</v>
      </c>
    </row>
    <row r="85" spans="1:36">
      <c r="A85" s="2"/>
      <c r="B85" s="19" t="s">
        <v>52</v>
      </c>
      <c r="C85" s="41">
        <f>STDEV(C77:C83)</f>
        <v>5.3626527014409786E-2</v>
      </c>
      <c r="D85" s="41">
        <f t="shared" ref="D85:AG85" si="45">STDEV(D77:D83)</f>
        <v>2.5459881665341199E-2</v>
      </c>
      <c r="E85" s="41">
        <f t="shared" si="45"/>
        <v>6.5863521813550915E-2</v>
      </c>
      <c r="F85" s="41">
        <f t="shared" si="45"/>
        <v>4.3095501669906722E-2</v>
      </c>
      <c r="G85" s="41">
        <f t="shared" si="45"/>
        <v>2.7708414779598525E-2</v>
      </c>
      <c r="H85" s="41">
        <f t="shared" si="45"/>
        <v>2.8101276352389955E-2</v>
      </c>
      <c r="I85" s="41">
        <f t="shared" si="45"/>
        <v>4.7753295615691117E-2</v>
      </c>
      <c r="J85" s="41">
        <f t="shared" si="45"/>
        <v>2.9494322587785081E-2</v>
      </c>
      <c r="K85" s="41">
        <f t="shared" si="45"/>
        <v>2.9475021465818377E-2</v>
      </c>
      <c r="L85" s="41">
        <f t="shared" si="45"/>
        <v>2.4295350337974562E-2</v>
      </c>
      <c r="M85" s="41">
        <f t="shared" si="45"/>
        <v>3.7796297030070494E-2</v>
      </c>
      <c r="N85" s="41">
        <f t="shared" si="45"/>
        <v>2.7255602003369617E-2</v>
      </c>
      <c r="O85" s="41">
        <f t="shared" si="45"/>
        <v>3.0633749750757892E-2</v>
      </c>
      <c r="P85" s="41">
        <f t="shared" si="45"/>
        <v>4.3578440045926724E-2</v>
      </c>
      <c r="Q85" s="41">
        <f t="shared" si="45"/>
        <v>5.6157066664304436E-2</v>
      </c>
      <c r="R85" s="41">
        <f t="shared" si="45"/>
        <v>4.6096327370728635E-2</v>
      </c>
      <c r="S85" s="41">
        <f t="shared" si="45"/>
        <v>4.9914206719369948E-2</v>
      </c>
      <c r="T85" s="41">
        <f t="shared" si="45"/>
        <v>4.6253681874077253E-2</v>
      </c>
      <c r="U85" s="41">
        <f t="shared" si="45"/>
        <v>4.616807060725267E-2</v>
      </c>
      <c r="V85" s="41">
        <f t="shared" si="45"/>
        <v>0.11401275639927098</v>
      </c>
      <c r="W85" s="41">
        <f t="shared" si="45"/>
        <v>4.4925966489796229E-2</v>
      </c>
      <c r="X85" s="41">
        <f t="shared" si="45"/>
        <v>4.6219876918497035E-2</v>
      </c>
      <c r="Y85" s="41">
        <f t="shared" si="45"/>
        <v>7.1329899110953346E-2</v>
      </c>
      <c r="Z85" s="41">
        <f t="shared" si="45"/>
        <v>7.4348083098128737E-2</v>
      </c>
      <c r="AA85" s="41">
        <f t="shared" si="45"/>
        <v>3.1555817688994271E-2</v>
      </c>
      <c r="AB85" s="41">
        <f t="shared" si="45"/>
        <v>7.4393969171157356E-2</v>
      </c>
      <c r="AC85" s="41">
        <f t="shared" si="45"/>
        <v>2.9856707032880736E-2</v>
      </c>
      <c r="AD85" s="41">
        <f t="shared" si="45"/>
        <v>3.3357758789015632E-2</v>
      </c>
      <c r="AE85" s="41">
        <f t="shared" si="45"/>
        <v>7.8743576100077109E-2</v>
      </c>
      <c r="AF85" s="41">
        <f t="shared" si="45"/>
        <v>9.0271161284626714E-2</v>
      </c>
      <c r="AG85" s="41">
        <f t="shared" si="45"/>
        <v>3.5827850176013684E-2</v>
      </c>
      <c r="AH85" s="37">
        <v>1.6020578000000001E-2</v>
      </c>
      <c r="AI85" s="41">
        <f>STDEV(AI77:AI83)</f>
        <v>3.7959867551980685E-2</v>
      </c>
      <c r="AJ85" s="41">
        <f>STDEV(AJ77:AJ83)</f>
        <v>7.0349554024774621E-2</v>
      </c>
    </row>
    <row r="86" spans="1:36">
      <c r="A86" s="2"/>
      <c r="B86" s="19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37"/>
      <c r="AI86" s="41"/>
      <c r="AJ86" s="41"/>
    </row>
    <row r="87" spans="1:36">
      <c r="A87" s="2"/>
      <c r="B87" s="101"/>
      <c r="C87" s="100"/>
      <c r="AA87" s="1" t="s">
        <v>122</v>
      </c>
      <c r="AD87" t="s">
        <v>122</v>
      </c>
      <c r="AG87" t="s">
        <v>122</v>
      </c>
      <c r="AH87" s="2" t="s">
        <v>122</v>
      </c>
    </row>
    <row r="88" spans="1:36">
      <c r="A88" s="13"/>
      <c r="B88" s="45" t="s">
        <v>55</v>
      </c>
      <c r="C88" s="73">
        <f>TTEST(C67:C71,C77:C83,2,3)</f>
        <v>3.1458332016688122E-2</v>
      </c>
      <c r="D88" s="74">
        <f t="shared" ref="D88:AJ88" si="46">TTEST(D67:D71,D77:D83,2,3)</f>
        <v>0.52360416199879523</v>
      </c>
      <c r="E88" s="74">
        <f t="shared" si="46"/>
        <v>0.3604593294136772</v>
      </c>
      <c r="F88" s="74">
        <f t="shared" si="46"/>
        <v>0.45446227528885585</v>
      </c>
      <c r="G88" s="74">
        <f t="shared" si="46"/>
        <v>0.96971800581647571</v>
      </c>
      <c r="H88" s="74">
        <f t="shared" si="46"/>
        <v>0.96237161055159548</v>
      </c>
      <c r="I88" s="74">
        <f t="shared" si="46"/>
        <v>0.22015268737859003</v>
      </c>
      <c r="J88" s="74">
        <f t="shared" si="46"/>
        <v>0.93890856273457723</v>
      </c>
      <c r="K88" s="74">
        <f t="shared" si="46"/>
        <v>0.77538199768931937</v>
      </c>
      <c r="L88" s="74">
        <f t="shared" si="46"/>
        <v>9.4605766833278607E-2</v>
      </c>
      <c r="M88" s="74">
        <f t="shared" si="46"/>
        <v>0.20286808657789923</v>
      </c>
      <c r="N88" s="74">
        <f t="shared" si="46"/>
        <v>0.33843027882675247</v>
      </c>
      <c r="O88" s="74">
        <f t="shared" si="46"/>
        <v>0.24454078431542042</v>
      </c>
      <c r="P88" s="74">
        <f t="shared" si="46"/>
        <v>0.35150161000411473</v>
      </c>
      <c r="Q88" s="74">
        <f t="shared" si="46"/>
        <v>0.14335744171792411</v>
      </c>
      <c r="R88" s="74">
        <f t="shared" si="46"/>
        <v>0.41556883117265353</v>
      </c>
      <c r="S88" s="74">
        <f t="shared" si="46"/>
        <v>0.31839549747017093</v>
      </c>
      <c r="T88" s="74">
        <f t="shared" si="46"/>
        <v>0.41272982786072021</v>
      </c>
      <c r="U88" s="74">
        <f t="shared" si="46"/>
        <v>0.40847405852745189</v>
      </c>
      <c r="V88" s="74">
        <f t="shared" si="46"/>
        <v>0.89481520139579074</v>
      </c>
      <c r="W88" s="74">
        <f t="shared" si="46"/>
        <v>0.53503335347664582</v>
      </c>
      <c r="X88" s="74">
        <f t="shared" si="46"/>
        <v>0.28620787429859046</v>
      </c>
      <c r="Y88" s="74">
        <f t="shared" si="46"/>
        <v>0.12688706207325981</v>
      </c>
      <c r="Z88" s="74">
        <f t="shared" si="46"/>
        <v>0.43743132082317737</v>
      </c>
      <c r="AA88" s="73">
        <f t="shared" si="46"/>
        <v>3.7072202928379872E-2</v>
      </c>
      <c r="AB88" s="74">
        <f t="shared" si="46"/>
        <v>0.98504075731989038</v>
      </c>
      <c r="AC88" s="74">
        <f t="shared" si="46"/>
        <v>0.32921597555679261</v>
      </c>
      <c r="AD88" s="73">
        <f t="shared" si="46"/>
        <v>1.1319523582101027E-2</v>
      </c>
      <c r="AE88" s="74">
        <f t="shared" si="46"/>
        <v>0.48821110859661176</v>
      </c>
      <c r="AF88" s="74">
        <f t="shared" si="46"/>
        <v>0.43794443983243947</v>
      </c>
      <c r="AG88" s="73">
        <f t="shared" si="46"/>
        <v>1.7355811628535958E-2</v>
      </c>
      <c r="AH88" s="73">
        <f t="shared" si="46"/>
        <v>6.1043742563651115E-3</v>
      </c>
      <c r="AI88" s="74">
        <f t="shared" si="46"/>
        <v>0.58538321893208733</v>
      </c>
      <c r="AJ88" s="74">
        <f t="shared" si="46"/>
        <v>0.1827975205235122</v>
      </c>
    </row>
    <row r="89" spans="1:36">
      <c r="A89" s="2"/>
      <c r="B89" s="19" t="s">
        <v>74</v>
      </c>
      <c r="C89" s="68">
        <f>C84/C72</f>
        <v>0.92882199873559923</v>
      </c>
      <c r="D89" s="29">
        <f t="shared" ref="D89:AG89" si="47">D84/D72</f>
        <v>1.1761429040692113</v>
      </c>
      <c r="E89" s="29">
        <f t="shared" si="47"/>
        <v>0.97342094388571532</v>
      </c>
      <c r="F89" s="29">
        <f t="shared" si="47"/>
        <v>1.2084934290659926</v>
      </c>
      <c r="G89" s="29">
        <f t="shared" si="47"/>
        <v>1.000771866029577</v>
      </c>
      <c r="H89" s="29">
        <f t="shared" si="47"/>
        <v>1.0009326116397677</v>
      </c>
      <c r="I89" s="29">
        <f t="shared" si="47"/>
        <v>0.97060594349415974</v>
      </c>
      <c r="J89" s="29">
        <f t="shared" si="47"/>
        <v>1.0013483008354844</v>
      </c>
      <c r="K89" s="29">
        <f t="shared" si="47"/>
        <v>1.0039437873119488</v>
      </c>
      <c r="L89" s="69">
        <f t="shared" si="47"/>
        <v>1.0290290565358502</v>
      </c>
      <c r="M89" s="29">
        <f t="shared" si="47"/>
        <v>0.97810651918335767</v>
      </c>
      <c r="N89" s="29">
        <f t="shared" si="47"/>
        <v>1.0173246812453896</v>
      </c>
      <c r="O89" s="29">
        <f t="shared" si="47"/>
        <v>1.0177790753408409</v>
      </c>
      <c r="P89" s="29">
        <f t="shared" si="47"/>
        <v>0.9819068247771342</v>
      </c>
      <c r="Q89" s="29">
        <f t="shared" si="47"/>
        <v>0.96229111109655285</v>
      </c>
      <c r="R89" s="29">
        <f t="shared" si="47"/>
        <v>0.98396626082934358</v>
      </c>
      <c r="S89" s="29">
        <f t="shared" si="47"/>
        <v>0.97898690650491604</v>
      </c>
      <c r="T89" s="29">
        <f t="shared" si="47"/>
        <v>0.98376112709792185</v>
      </c>
      <c r="U89" s="29">
        <f t="shared" si="47"/>
        <v>0.98364911805064403</v>
      </c>
      <c r="V89" s="29">
        <f t="shared" si="47"/>
        <v>1.009626533029645</v>
      </c>
      <c r="W89" s="29">
        <f t="shared" si="47"/>
        <v>0.98686408815594995</v>
      </c>
      <c r="X89" s="29">
        <f t="shared" si="47"/>
        <v>0.97837026991760623</v>
      </c>
      <c r="Y89" s="29">
        <f t="shared" si="47"/>
        <v>0.94938941029092161</v>
      </c>
      <c r="Z89" s="29">
        <f t="shared" si="47"/>
        <v>1.036544579538766</v>
      </c>
      <c r="AA89" s="68">
        <f t="shared" si="47"/>
        <v>1.0326732639433045</v>
      </c>
      <c r="AB89" s="29">
        <f t="shared" si="47"/>
        <v>0.9993022512314842</v>
      </c>
      <c r="AC89" s="29">
        <f t="shared" si="47"/>
        <v>1.0183690791724258</v>
      </c>
      <c r="AD89" s="68">
        <f t="shared" si="47"/>
        <v>1.0516947621609518</v>
      </c>
      <c r="AE89" s="29">
        <f t="shared" si="47"/>
        <v>0.96930286225519013</v>
      </c>
      <c r="AF89" s="29">
        <f t="shared" si="47"/>
        <v>0.95693517748023238</v>
      </c>
      <c r="AG89" s="68">
        <f t="shared" si="47"/>
        <v>1.0623425955634278</v>
      </c>
      <c r="AH89" s="68">
        <v>1.0253018789999999</v>
      </c>
      <c r="AI89" s="29">
        <f>AI84/AI72</f>
        <v>1.0104221357996874</v>
      </c>
      <c r="AJ89" s="29">
        <f>AJ84/AJ72</f>
        <v>1.0572982800079551</v>
      </c>
    </row>
    <row r="90" spans="1:36" s="43" customFormat="1">
      <c r="C90" s="44" t="s">
        <v>72</v>
      </c>
      <c r="L90" s="44"/>
      <c r="AA90" s="44" t="s">
        <v>73</v>
      </c>
      <c r="AD90" s="44" t="s">
        <v>73</v>
      </c>
      <c r="AG90" s="44" t="s">
        <v>73</v>
      </c>
      <c r="AH90" s="44" t="s">
        <v>73</v>
      </c>
    </row>
    <row r="91" spans="1:36">
      <c r="AH91" s="2"/>
    </row>
    <row r="92" spans="1:36">
      <c r="AH92" s="2"/>
    </row>
    <row r="93" spans="1:36">
      <c r="AH93" s="2"/>
    </row>
    <row r="94" spans="1:36">
      <c r="A94" s="42" t="s">
        <v>145</v>
      </c>
      <c r="B94" s="42" t="s">
        <v>1</v>
      </c>
      <c r="AH94" s="2"/>
    </row>
    <row r="95" spans="1:36">
      <c r="A95" t="s">
        <v>36</v>
      </c>
      <c r="B95" t="s">
        <v>37</v>
      </c>
      <c r="C95">
        <v>239455</v>
      </c>
      <c r="D95">
        <v>0</v>
      </c>
      <c r="E95">
        <v>738541</v>
      </c>
      <c r="F95">
        <v>2502</v>
      </c>
      <c r="G95">
        <v>10378</v>
      </c>
      <c r="H95">
        <v>87285</v>
      </c>
      <c r="I95">
        <v>800801</v>
      </c>
      <c r="J95">
        <v>221710</v>
      </c>
      <c r="K95">
        <v>2187227</v>
      </c>
      <c r="L95">
        <v>55068</v>
      </c>
      <c r="M95">
        <v>11019566</v>
      </c>
      <c r="N95">
        <v>82307</v>
      </c>
      <c r="O95">
        <v>552675</v>
      </c>
      <c r="P95">
        <v>1239886</v>
      </c>
      <c r="Q95">
        <v>3544466</v>
      </c>
      <c r="R95">
        <v>22917490</v>
      </c>
      <c r="S95">
        <v>39767979</v>
      </c>
      <c r="T95">
        <v>22666016</v>
      </c>
      <c r="U95">
        <v>22434596</v>
      </c>
      <c r="V95">
        <v>2016026</v>
      </c>
      <c r="W95">
        <v>3009011</v>
      </c>
      <c r="X95">
        <v>2374595</v>
      </c>
      <c r="Y95">
        <v>109012</v>
      </c>
      <c r="Z95">
        <v>8232</v>
      </c>
      <c r="AA95">
        <v>496835</v>
      </c>
      <c r="AB95">
        <v>197986</v>
      </c>
      <c r="AC95">
        <v>100394</v>
      </c>
      <c r="AD95">
        <v>175349</v>
      </c>
      <c r="AE95">
        <v>22047</v>
      </c>
      <c r="AF95">
        <v>11447</v>
      </c>
      <c r="AG95">
        <v>438275</v>
      </c>
      <c r="AH95" s="2">
        <v>200011</v>
      </c>
      <c r="AI95">
        <v>228840</v>
      </c>
      <c r="AJ95">
        <v>171153</v>
      </c>
    </row>
    <row r="96" spans="1:36">
      <c r="A96" t="s">
        <v>38</v>
      </c>
      <c r="B96" t="s">
        <v>37</v>
      </c>
      <c r="C96">
        <v>28004</v>
      </c>
      <c r="D96">
        <v>170</v>
      </c>
      <c r="E96">
        <v>350935</v>
      </c>
      <c r="F96">
        <v>406</v>
      </c>
      <c r="G96">
        <v>1390</v>
      </c>
      <c r="H96">
        <v>11198</v>
      </c>
      <c r="I96">
        <v>520363</v>
      </c>
      <c r="J96">
        <v>29796</v>
      </c>
      <c r="K96">
        <v>306186</v>
      </c>
      <c r="L96">
        <v>8495</v>
      </c>
      <c r="M96">
        <v>2200331</v>
      </c>
      <c r="N96">
        <v>15514</v>
      </c>
      <c r="O96">
        <v>100643</v>
      </c>
      <c r="P96">
        <v>179595</v>
      </c>
      <c r="Q96">
        <v>451565</v>
      </c>
      <c r="R96">
        <v>3460990</v>
      </c>
      <c r="S96">
        <v>7766131</v>
      </c>
      <c r="T96">
        <v>3431253</v>
      </c>
      <c r="U96">
        <v>3421880</v>
      </c>
      <c r="V96">
        <v>359017</v>
      </c>
      <c r="W96">
        <v>497710</v>
      </c>
      <c r="X96">
        <v>311507</v>
      </c>
      <c r="Y96">
        <v>64827</v>
      </c>
      <c r="Z96">
        <v>733</v>
      </c>
      <c r="AA96">
        <v>47951</v>
      </c>
      <c r="AB96">
        <v>6442</v>
      </c>
      <c r="AC96">
        <v>8566</v>
      </c>
      <c r="AD96">
        <v>15631</v>
      </c>
      <c r="AE96">
        <v>2560</v>
      </c>
      <c r="AF96">
        <v>1047</v>
      </c>
      <c r="AG96">
        <v>51460</v>
      </c>
      <c r="AH96" s="2">
        <v>26783</v>
      </c>
      <c r="AI96">
        <v>31716</v>
      </c>
      <c r="AJ96">
        <v>5353</v>
      </c>
    </row>
    <row r="97" spans="1:36">
      <c r="A97" t="s">
        <v>39</v>
      </c>
      <c r="B97" t="s">
        <v>37</v>
      </c>
      <c r="C97">
        <v>41389</v>
      </c>
      <c r="D97">
        <v>278</v>
      </c>
      <c r="E97">
        <v>462421</v>
      </c>
      <c r="F97">
        <v>582</v>
      </c>
      <c r="G97">
        <v>2451</v>
      </c>
      <c r="H97">
        <v>21720</v>
      </c>
      <c r="I97">
        <v>785892</v>
      </c>
      <c r="J97">
        <v>55637</v>
      </c>
      <c r="K97">
        <v>555572</v>
      </c>
      <c r="L97">
        <v>14907</v>
      </c>
      <c r="M97">
        <v>3550124</v>
      </c>
      <c r="N97">
        <v>25858</v>
      </c>
      <c r="O97">
        <v>163205</v>
      </c>
      <c r="P97">
        <v>302698</v>
      </c>
      <c r="Q97">
        <v>868450</v>
      </c>
      <c r="R97">
        <v>6158802</v>
      </c>
      <c r="S97">
        <v>12438040</v>
      </c>
      <c r="T97">
        <v>6029276</v>
      </c>
      <c r="U97">
        <v>5999836</v>
      </c>
      <c r="V97">
        <v>480237</v>
      </c>
      <c r="W97">
        <v>670172</v>
      </c>
      <c r="X97">
        <v>428075</v>
      </c>
      <c r="Y97">
        <v>88859</v>
      </c>
      <c r="Z97">
        <v>1278</v>
      </c>
      <c r="AA97">
        <v>85629</v>
      </c>
      <c r="AB97">
        <v>18491</v>
      </c>
      <c r="AC97">
        <v>15005</v>
      </c>
      <c r="AD97">
        <v>26654</v>
      </c>
      <c r="AE97">
        <v>4278</v>
      </c>
      <c r="AF97">
        <v>2069</v>
      </c>
      <c r="AG97">
        <v>87673</v>
      </c>
      <c r="AH97" s="2">
        <v>49788</v>
      </c>
      <c r="AI97">
        <v>41262</v>
      </c>
      <c r="AJ97">
        <v>5356</v>
      </c>
    </row>
    <row r="98" spans="1:36">
      <c r="A98" t="s">
        <v>40</v>
      </c>
      <c r="B98" t="s">
        <v>37</v>
      </c>
      <c r="C98">
        <v>87641</v>
      </c>
      <c r="D98">
        <v>0</v>
      </c>
      <c r="E98">
        <v>863791</v>
      </c>
      <c r="F98">
        <v>1194</v>
      </c>
      <c r="G98">
        <v>3964</v>
      </c>
      <c r="H98">
        <v>29557</v>
      </c>
      <c r="I98">
        <v>956147</v>
      </c>
      <c r="J98">
        <v>77608</v>
      </c>
      <c r="K98">
        <v>769331</v>
      </c>
      <c r="L98">
        <v>21250</v>
      </c>
      <c r="M98">
        <v>4809086</v>
      </c>
      <c r="N98">
        <v>36586</v>
      </c>
      <c r="O98">
        <v>229294</v>
      </c>
      <c r="P98">
        <v>448446</v>
      </c>
      <c r="Q98">
        <v>1363074</v>
      </c>
      <c r="R98">
        <v>9582000</v>
      </c>
      <c r="S98">
        <v>18341551</v>
      </c>
      <c r="T98">
        <v>9397890</v>
      </c>
      <c r="U98">
        <v>9324825</v>
      </c>
      <c r="V98">
        <v>834977</v>
      </c>
      <c r="W98">
        <v>1219381</v>
      </c>
      <c r="X98">
        <v>854801</v>
      </c>
      <c r="Y98">
        <v>181950</v>
      </c>
      <c r="Z98">
        <v>2458</v>
      </c>
      <c r="AA98">
        <v>165152</v>
      </c>
      <c r="AB98">
        <v>3814</v>
      </c>
      <c r="AC98">
        <v>32021</v>
      </c>
      <c r="AD98">
        <v>52443</v>
      </c>
      <c r="AE98">
        <v>6705</v>
      </c>
      <c r="AF98">
        <v>3619</v>
      </c>
      <c r="AG98">
        <v>133356</v>
      </c>
      <c r="AH98" s="2">
        <v>69857</v>
      </c>
      <c r="AI98">
        <v>81800</v>
      </c>
      <c r="AJ98">
        <v>14234</v>
      </c>
    </row>
    <row r="99" spans="1:36">
      <c r="A99" t="s">
        <v>41</v>
      </c>
      <c r="B99" t="s">
        <v>37</v>
      </c>
      <c r="C99">
        <v>114070</v>
      </c>
      <c r="D99">
        <v>867</v>
      </c>
      <c r="E99">
        <v>1348652</v>
      </c>
      <c r="F99">
        <v>1405</v>
      </c>
      <c r="G99">
        <v>5295</v>
      </c>
      <c r="H99">
        <v>39731</v>
      </c>
      <c r="I99">
        <v>1365304</v>
      </c>
      <c r="J99">
        <v>103603</v>
      </c>
      <c r="K99">
        <v>1029891</v>
      </c>
      <c r="L99">
        <v>26726</v>
      </c>
      <c r="M99">
        <v>6219939</v>
      </c>
      <c r="N99">
        <v>47612</v>
      </c>
      <c r="O99">
        <v>298805</v>
      </c>
      <c r="P99">
        <v>589197</v>
      </c>
      <c r="Q99">
        <v>1769520</v>
      </c>
      <c r="R99">
        <v>12467600</v>
      </c>
      <c r="S99">
        <v>23139657</v>
      </c>
      <c r="T99">
        <v>12178880</v>
      </c>
      <c r="U99">
        <v>12136655</v>
      </c>
      <c r="V99">
        <v>1074919</v>
      </c>
      <c r="W99">
        <v>1596413</v>
      </c>
      <c r="X99">
        <v>1119252</v>
      </c>
      <c r="Y99">
        <v>217386</v>
      </c>
      <c r="Z99">
        <v>4010</v>
      </c>
      <c r="AA99">
        <v>222714</v>
      </c>
      <c r="AB99">
        <v>74132</v>
      </c>
      <c r="AC99">
        <v>39441</v>
      </c>
      <c r="AD99">
        <v>71203</v>
      </c>
      <c r="AE99">
        <v>8253</v>
      </c>
      <c r="AF99">
        <v>4767</v>
      </c>
      <c r="AG99">
        <v>176324</v>
      </c>
      <c r="AH99" s="2">
        <v>104264</v>
      </c>
      <c r="AI99">
        <v>111964</v>
      </c>
      <c r="AJ99">
        <v>19442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0"/>
  <sheetViews>
    <sheetView topLeftCell="A56" workbookViewId="0">
      <selection activeCell="D87" sqref="D87"/>
    </sheetView>
  </sheetViews>
  <sheetFormatPr baseColWidth="10" defaultRowHeight="15" x14ac:dyDescent="0"/>
  <cols>
    <col min="1" max="2" width="23.5" customWidth="1"/>
    <col min="3" max="18" width="11" bestFit="1" customWidth="1"/>
    <col min="19" max="19" width="11.83203125" bestFit="1" customWidth="1"/>
    <col min="20" max="36" width="11" bestFit="1" customWidth="1"/>
  </cols>
  <sheetData>
    <row r="1" spans="1:37" ht="25">
      <c r="A1" s="4" t="s">
        <v>56</v>
      </c>
      <c r="B1" s="2"/>
    </row>
    <row r="2" spans="1:37" ht="25">
      <c r="A2" s="4"/>
      <c r="B2" s="2"/>
    </row>
    <row r="3" spans="1:37" ht="32" customHeight="1">
      <c r="A3" s="23" t="s">
        <v>49</v>
      </c>
      <c r="B3" s="5"/>
      <c r="C3" s="23"/>
      <c r="D3" s="23"/>
      <c r="E3" s="5"/>
      <c r="F3" s="5"/>
    </row>
    <row r="4" spans="1:37" s="53" customFormat="1" ht="52" customHeight="1">
      <c r="A4" s="53" t="s">
        <v>0</v>
      </c>
      <c r="B4" s="53" t="s">
        <v>1</v>
      </c>
      <c r="C4" s="53" t="s">
        <v>2</v>
      </c>
      <c r="D4" s="53" t="s">
        <v>3</v>
      </c>
      <c r="E4" s="53" t="s">
        <v>4</v>
      </c>
      <c r="F4" s="53" t="s">
        <v>5</v>
      </c>
      <c r="G4" s="53" t="s">
        <v>6</v>
      </c>
      <c r="H4" s="53" t="s">
        <v>7</v>
      </c>
      <c r="I4" s="53" t="s">
        <v>8</v>
      </c>
      <c r="J4" s="53" t="s">
        <v>9</v>
      </c>
      <c r="K4" s="53" t="s">
        <v>10</v>
      </c>
      <c r="L4" s="53" t="s">
        <v>11</v>
      </c>
      <c r="M4" s="53" t="s">
        <v>12</v>
      </c>
      <c r="N4" s="53" t="s">
        <v>13</v>
      </c>
      <c r="O4" s="53" t="s">
        <v>14</v>
      </c>
      <c r="P4" s="53" t="s">
        <v>15</v>
      </c>
      <c r="Q4" s="53" t="s">
        <v>17</v>
      </c>
      <c r="R4" s="53" t="s">
        <v>18</v>
      </c>
      <c r="S4" s="53" t="s">
        <v>19</v>
      </c>
      <c r="T4" s="53" t="s">
        <v>20</v>
      </c>
      <c r="U4" s="53" t="s">
        <v>21</v>
      </c>
      <c r="V4" s="53" t="s">
        <v>22</v>
      </c>
      <c r="W4" s="53" t="s">
        <v>23</v>
      </c>
      <c r="X4" s="53" t="s">
        <v>26</v>
      </c>
      <c r="Y4" s="53" t="s">
        <v>27</v>
      </c>
      <c r="Z4" s="53" t="s">
        <v>28</v>
      </c>
      <c r="AA4" s="53" t="s">
        <v>29</v>
      </c>
      <c r="AB4" s="53" t="s">
        <v>30</v>
      </c>
      <c r="AC4" s="53" t="s">
        <v>31</v>
      </c>
      <c r="AD4" s="53" t="s">
        <v>32</v>
      </c>
      <c r="AE4" s="53" t="s">
        <v>33</v>
      </c>
      <c r="AF4" s="53" t="s">
        <v>34</v>
      </c>
      <c r="AG4" s="53" t="s">
        <v>35</v>
      </c>
      <c r="AH4" s="53" t="s">
        <v>16</v>
      </c>
      <c r="AI4" s="53" t="s">
        <v>24</v>
      </c>
      <c r="AJ4" s="53" t="s">
        <v>25</v>
      </c>
    </row>
    <row r="5" spans="1:37">
      <c r="A5" s="28" t="s">
        <v>62</v>
      </c>
      <c r="B5" s="25"/>
    </row>
    <row r="6" spans="1:37" s="9" customFormat="1">
      <c r="A6" s="2" t="s">
        <v>138</v>
      </c>
      <c r="B6" s="2" t="s">
        <v>58</v>
      </c>
      <c r="C6" s="22">
        <v>474027</v>
      </c>
      <c r="D6" s="22">
        <v>1070</v>
      </c>
      <c r="E6" s="22">
        <v>1651959</v>
      </c>
      <c r="F6" s="22">
        <v>4886</v>
      </c>
      <c r="G6" s="22">
        <v>15960</v>
      </c>
      <c r="H6" s="22">
        <v>115413</v>
      </c>
      <c r="I6" s="22">
        <v>1242567</v>
      </c>
      <c r="J6" s="22">
        <v>282560</v>
      </c>
      <c r="K6" s="22">
        <v>2434777</v>
      </c>
      <c r="L6" s="22">
        <v>65229</v>
      </c>
      <c r="M6" s="22">
        <v>15114324</v>
      </c>
      <c r="N6" s="22">
        <v>100962</v>
      </c>
      <c r="O6" s="22">
        <v>492112</v>
      </c>
      <c r="P6" s="22">
        <v>1683581</v>
      </c>
      <c r="Q6" s="22">
        <v>5946341</v>
      </c>
      <c r="R6" s="22">
        <v>25545311</v>
      </c>
      <c r="S6" s="22">
        <v>46945816</v>
      </c>
      <c r="T6" s="22">
        <v>25192741</v>
      </c>
      <c r="U6" s="22">
        <v>24920804</v>
      </c>
      <c r="V6" s="22">
        <v>151066</v>
      </c>
      <c r="W6" s="22">
        <v>3597797</v>
      </c>
      <c r="X6" s="22">
        <v>2709032</v>
      </c>
      <c r="Y6" s="22">
        <v>197987</v>
      </c>
      <c r="Z6" s="22">
        <v>9965</v>
      </c>
      <c r="AA6" s="22">
        <v>318233</v>
      </c>
      <c r="AB6" s="22">
        <v>192172</v>
      </c>
      <c r="AC6" s="22">
        <v>59712</v>
      </c>
      <c r="AD6" s="22">
        <v>96310</v>
      </c>
      <c r="AE6" s="22">
        <v>25336</v>
      </c>
      <c r="AF6" s="22">
        <v>11935</v>
      </c>
      <c r="AG6" s="22">
        <v>160799</v>
      </c>
      <c r="AH6" s="22">
        <v>198241</v>
      </c>
      <c r="AI6" s="22">
        <v>232974</v>
      </c>
      <c r="AJ6" s="34">
        <v>170377</v>
      </c>
    </row>
    <row r="7" spans="1:37">
      <c r="A7" s="2" t="s">
        <v>139</v>
      </c>
      <c r="B7" s="2" t="s">
        <v>58</v>
      </c>
      <c r="C7" s="22">
        <v>74554</v>
      </c>
      <c r="D7" s="22">
        <v>1326</v>
      </c>
      <c r="E7" s="22">
        <v>469639</v>
      </c>
      <c r="F7" s="22">
        <v>430</v>
      </c>
      <c r="G7" s="22">
        <v>1664</v>
      </c>
      <c r="H7" s="22">
        <v>13214</v>
      </c>
      <c r="I7" s="22">
        <v>691520</v>
      </c>
      <c r="J7" s="22">
        <v>33444</v>
      </c>
      <c r="K7" s="22">
        <v>253751</v>
      </c>
      <c r="L7" s="22">
        <v>7408</v>
      </c>
      <c r="M7" s="22">
        <v>2048088</v>
      </c>
      <c r="N7" s="22">
        <v>14857</v>
      </c>
      <c r="O7" s="22">
        <v>73552</v>
      </c>
      <c r="P7" s="22">
        <v>178419</v>
      </c>
      <c r="Q7" s="22">
        <v>634453</v>
      </c>
      <c r="R7" s="22">
        <v>3489363</v>
      </c>
      <c r="S7" s="22">
        <v>7591394</v>
      </c>
      <c r="T7" s="22">
        <v>3469011</v>
      </c>
      <c r="U7" s="22">
        <v>3436212</v>
      </c>
      <c r="V7" s="22">
        <v>18268</v>
      </c>
      <c r="W7" s="22">
        <v>398693</v>
      </c>
      <c r="X7" s="22">
        <v>307798</v>
      </c>
      <c r="Y7" s="22">
        <v>78157</v>
      </c>
      <c r="Z7" s="22">
        <v>1369</v>
      </c>
      <c r="AA7" s="22">
        <v>39755</v>
      </c>
      <c r="AB7" s="22">
        <v>9202</v>
      </c>
      <c r="AC7" s="22">
        <v>7393</v>
      </c>
      <c r="AD7" s="22">
        <v>11111</v>
      </c>
      <c r="AE7" s="22">
        <v>3148</v>
      </c>
      <c r="AF7" s="22">
        <v>1362</v>
      </c>
      <c r="AG7" s="22">
        <v>18072</v>
      </c>
      <c r="AH7" s="22">
        <v>22231</v>
      </c>
      <c r="AI7" s="22">
        <v>24184</v>
      </c>
      <c r="AJ7" s="22">
        <v>4172</v>
      </c>
    </row>
    <row r="8" spans="1:37">
      <c r="A8" s="2" t="s">
        <v>140</v>
      </c>
      <c r="B8" s="2" t="s">
        <v>58</v>
      </c>
      <c r="C8" s="22">
        <v>37098</v>
      </c>
      <c r="D8" s="22">
        <v>404</v>
      </c>
      <c r="E8" s="22">
        <v>339383</v>
      </c>
      <c r="F8" s="22">
        <v>366</v>
      </c>
      <c r="G8" s="22">
        <v>1830</v>
      </c>
      <c r="H8" s="22">
        <v>13227</v>
      </c>
      <c r="I8" s="22">
        <v>500374</v>
      </c>
      <c r="J8" s="22">
        <v>36592</v>
      </c>
      <c r="K8" s="22">
        <v>371220</v>
      </c>
      <c r="L8" s="22">
        <v>9017</v>
      </c>
      <c r="M8" s="22">
        <v>3409261</v>
      </c>
      <c r="N8" s="22">
        <v>18029</v>
      </c>
      <c r="O8" s="22">
        <v>123049</v>
      </c>
      <c r="P8" s="22">
        <v>367551</v>
      </c>
      <c r="Q8" s="22">
        <v>905793</v>
      </c>
      <c r="R8" s="22">
        <v>6920058</v>
      </c>
      <c r="S8" s="22">
        <v>14082544</v>
      </c>
      <c r="T8" s="22">
        <v>6834278</v>
      </c>
      <c r="U8" s="22">
        <v>6809906</v>
      </c>
      <c r="V8" s="22">
        <v>788588</v>
      </c>
      <c r="W8" s="22">
        <v>1174848</v>
      </c>
      <c r="X8" s="22">
        <v>978750</v>
      </c>
      <c r="Y8" s="22">
        <v>172929</v>
      </c>
      <c r="Z8" s="22">
        <v>2148</v>
      </c>
      <c r="AA8" s="22">
        <v>70147</v>
      </c>
      <c r="AB8" s="22">
        <v>14978</v>
      </c>
      <c r="AC8" s="22">
        <v>21120</v>
      </c>
      <c r="AD8" s="22">
        <v>27151</v>
      </c>
      <c r="AE8" s="22">
        <v>7133</v>
      </c>
      <c r="AF8" s="22">
        <v>3129</v>
      </c>
      <c r="AG8" s="22">
        <v>83966</v>
      </c>
      <c r="AH8" s="22">
        <v>39666</v>
      </c>
      <c r="AI8" s="22">
        <v>53035</v>
      </c>
      <c r="AJ8" s="22">
        <v>11489</v>
      </c>
    </row>
    <row r="9" spans="1:37">
      <c r="A9" s="2" t="s">
        <v>141</v>
      </c>
      <c r="B9" s="2" t="s">
        <v>59</v>
      </c>
      <c r="C9" s="22">
        <v>66601</v>
      </c>
      <c r="D9" s="22">
        <v>676</v>
      </c>
      <c r="E9" s="22">
        <v>342396</v>
      </c>
      <c r="F9" s="22">
        <v>885</v>
      </c>
      <c r="G9" s="22">
        <v>2774</v>
      </c>
      <c r="H9" s="22">
        <v>21311</v>
      </c>
      <c r="I9" s="22">
        <v>556854</v>
      </c>
      <c r="J9" s="22">
        <v>46153</v>
      </c>
      <c r="K9" s="22">
        <v>509849</v>
      </c>
      <c r="L9" s="22">
        <v>12489</v>
      </c>
      <c r="M9" s="22">
        <v>3369239</v>
      </c>
      <c r="N9" s="22">
        <v>21361</v>
      </c>
      <c r="O9" s="22">
        <v>114628</v>
      </c>
      <c r="P9" s="22">
        <v>299420</v>
      </c>
      <c r="Q9" s="22">
        <v>1002160</v>
      </c>
      <c r="R9" s="22">
        <v>6070465</v>
      </c>
      <c r="S9" s="22">
        <v>12339738</v>
      </c>
      <c r="T9" s="22">
        <v>5973949</v>
      </c>
      <c r="U9" s="22">
        <v>5943611</v>
      </c>
      <c r="V9" s="22">
        <v>640624</v>
      </c>
      <c r="W9" s="22">
        <v>906806</v>
      </c>
      <c r="X9" s="22">
        <v>582780</v>
      </c>
      <c r="Y9" s="22">
        <v>100987</v>
      </c>
      <c r="Z9" s="22">
        <v>1098</v>
      </c>
      <c r="AA9" s="22">
        <v>84341</v>
      </c>
      <c r="AB9" s="22">
        <v>21105</v>
      </c>
      <c r="AC9" s="22">
        <v>17480</v>
      </c>
      <c r="AD9" s="22">
        <v>23396</v>
      </c>
      <c r="AE9" s="22">
        <v>2922</v>
      </c>
      <c r="AF9" s="22">
        <v>1435</v>
      </c>
      <c r="AG9" s="22">
        <v>71013</v>
      </c>
      <c r="AH9" s="22">
        <v>34386</v>
      </c>
      <c r="AI9" s="22">
        <v>48891</v>
      </c>
      <c r="AJ9" s="22">
        <v>7588</v>
      </c>
    </row>
    <row r="10" spans="1:37">
      <c r="A10" s="2" t="s">
        <v>148</v>
      </c>
      <c r="B10" s="2" t="s">
        <v>59</v>
      </c>
      <c r="C10" s="46">
        <v>98513</v>
      </c>
      <c r="D10" s="46">
        <v>199</v>
      </c>
      <c r="E10" s="46">
        <v>2636391</v>
      </c>
      <c r="F10" s="46">
        <v>926</v>
      </c>
      <c r="G10" s="46">
        <v>3438</v>
      </c>
      <c r="H10" s="46">
        <v>18521</v>
      </c>
      <c r="I10" s="46">
        <v>1944398</v>
      </c>
      <c r="J10" s="46">
        <v>43558</v>
      </c>
      <c r="K10" s="46">
        <v>528897</v>
      </c>
      <c r="L10" s="46">
        <v>13154</v>
      </c>
      <c r="M10" s="46">
        <v>4285592</v>
      </c>
      <c r="N10" s="46">
        <v>22979</v>
      </c>
      <c r="O10" s="46">
        <v>118392</v>
      </c>
      <c r="P10" s="46">
        <v>408274</v>
      </c>
      <c r="Q10" s="46">
        <v>1717482</v>
      </c>
      <c r="R10" s="46">
        <v>8064604</v>
      </c>
      <c r="S10" s="46">
        <v>15706737</v>
      </c>
      <c r="T10" s="46">
        <v>7919363</v>
      </c>
      <c r="U10" s="46">
        <v>7871904</v>
      </c>
      <c r="V10" s="46">
        <v>43300</v>
      </c>
      <c r="W10" s="46">
        <v>7579</v>
      </c>
      <c r="X10" s="46">
        <v>693381</v>
      </c>
      <c r="Y10" s="46">
        <v>287173</v>
      </c>
      <c r="Z10" s="46">
        <v>3346</v>
      </c>
      <c r="AA10" s="46">
        <v>154913</v>
      </c>
      <c r="AB10" s="46">
        <v>38142</v>
      </c>
      <c r="AC10" s="46">
        <v>25023</v>
      </c>
      <c r="AD10" s="46">
        <v>14417</v>
      </c>
      <c r="AE10" s="46">
        <v>10844</v>
      </c>
      <c r="AF10" s="46">
        <v>3273</v>
      </c>
      <c r="AG10" s="46">
        <v>69133</v>
      </c>
      <c r="AH10" s="46">
        <v>39571</v>
      </c>
      <c r="AI10" s="46">
        <v>1022948</v>
      </c>
      <c r="AJ10" s="46">
        <v>61638</v>
      </c>
    </row>
    <row r="11" spans="1:37">
      <c r="A11" s="2" t="s">
        <v>142</v>
      </c>
      <c r="B11" s="2" t="s">
        <v>59</v>
      </c>
      <c r="C11" s="22">
        <v>126277</v>
      </c>
      <c r="D11" s="22">
        <v>554</v>
      </c>
      <c r="E11" s="22">
        <v>807241</v>
      </c>
      <c r="F11" s="22">
        <v>987</v>
      </c>
      <c r="G11" s="22">
        <v>3312</v>
      </c>
      <c r="H11" s="22">
        <v>25618</v>
      </c>
      <c r="I11" s="22">
        <v>1143342</v>
      </c>
      <c r="J11" s="22">
        <v>64572</v>
      </c>
      <c r="K11" s="22">
        <v>522187</v>
      </c>
      <c r="L11" s="22">
        <v>14449</v>
      </c>
      <c r="M11" s="22">
        <v>3662201</v>
      </c>
      <c r="N11" s="22">
        <v>25839</v>
      </c>
      <c r="O11" s="22">
        <v>194136</v>
      </c>
      <c r="P11" s="22">
        <v>287164</v>
      </c>
      <c r="Q11" s="22">
        <v>792020</v>
      </c>
      <c r="R11" s="22">
        <v>6813669</v>
      </c>
      <c r="S11" s="22">
        <v>13630332</v>
      </c>
      <c r="T11" s="22">
        <v>6715846</v>
      </c>
      <c r="U11" s="22">
        <v>6694372</v>
      </c>
      <c r="V11" s="22">
        <v>562110</v>
      </c>
      <c r="W11" s="22">
        <v>788045</v>
      </c>
      <c r="X11" s="22">
        <v>637359</v>
      </c>
      <c r="Y11" s="22">
        <v>107873</v>
      </c>
      <c r="Z11" s="22">
        <v>1445</v>
      </c>
      <c r="AA11" s="22">
        <v>85453</v>
      </c>
      <c r="AB11" s="22">
        <v>31338</v>
      </c>
      <c r="AC11" s="22">
        <v>15057</v>
      </c>
      <c r="AD11" s="22">
        <v>25379</v>
      </c>
      <c r="AE11" s="22">
        <v>4340</v>
      </c>
      <c r="AF11" s="22">
        <v>2266</v>
      </c>
      <c r="AG11" s="22">
        <v>36390</v>
      </c>
      <c r="AH11" s="22">
        <v>53648</v>
      </c>
      <c r="AI11" s="22">
        <v>54567</v>
      </c>
      <c r="AJ11" s="22">
        <v>8949</v>
      </c>
    </row>
    <row r="12" spans="1:37">
      <c r="B12" s="19" t="s">
        <v>51</v>
      </c>
      <c r="C12" s="8">
        <f t="shared" ref="C12:AJ12" si="0">AVERAGE(C6:C11)</f>
        <v>146178.33333333334</v>
      </c>
      <c r="D12" s="8">
        <f t="shared" si="0"/>
        <v>704.83333333333337</v>
      </c>
      <c r="E12" s="8">
        <f t="shared" si="0"/>
        <v>1041168.1666666666</v>
      </c>
      <c r="F12" s="8">
        <f t="shared" si="0"/>
        <v>1413.3333333333333</v>
      </c>
      <c r="G12" s="8">
        <f t="shared" si="0"/>
        <v>4829.666666666667</v>
      </c>
      <c r="H12" s="8">
        <f t="shared" si="0"/>
        <v>34550.666666666664</v>
      </c>
      <c r="I12" s="8">
        <f t="shared" si="0"/>
        <v>1013175.8333333334</v>
      </c>
      <c r="J12" s="8">
        <f t="shared" si="0"/>
        <v>84479.833333333328</v>
      </c>
      <c r="K12" s="8">
        <f t="shared" si="0"/>
        <v>770113.5</v>
      </c>
      <c r="L12" s="8">
        <f t="shared" si="0"/>
        <v>20291</v>
      </c>
      <c r="M12" s="8">
        <f t="shared" si="0"/>
        <v>5314784.166666667</v>
      </c>
      <c r="N12" s="8">
        <f t="shared" si="0"/>
        <v>34004.5</v>
      </c>
      <c r="O12" s="8">
        <f t="shared" si="0"/>
        <v>185978.16666666666</v>
      </c>
      <c r="P12" s="8">
        <f t="shared" si="0"/>
        <v>537401.5</v>
      </c>
      <c r="Q12" s="8">
        <f t="shared" si="0"/>
        <v>1833041.5</v>
      </c>
      <c r="R12" s="8">
        <f t="shared" si="0"/>
        <v>9483911.666666666</v>
      </c>
      <c r="S12" s="8">
        <f t="shared" si="0"/>
        <v>18382760.166666668</v>
      </c>
      <c r="T12" s="8">
        <f t="shared" si="0"/>
        <v>9350864.666666666</v>
      </c>
      <c r="U12" s="8">
        <f t="shared" si="0"/>
        <v>9279468.166666666</v>
      </c>
      <c r="V12" s="8">
        <f t="shared" si="0"/>
        <v>367326</v>
      </c>
      <c r="W12" s="8">
        <f t="shared" si="0"/>
        <v>1145628</v>
      </c>
      <c r="X12" s="8">
        <f t="shared" si="0"/>
        <v>984850</v>
      </c>
      <c r="Y12" s="8">
        <f t="shared" si="0"/>
        <v>157517.66666666666</v>
      </c>
      <c r="Z12" s="8">
        <f t="shared" si="0"/>
        <v>3228.5</v>
      </c>
      <c r="AA12" s="8">
        <f t="shared" si="0"/>
        <v>125473.66666666667</v>
      </c>
      <c r="AB12" s="8">
        <f t="shared" si="0"/>
        <v>51156.166666666664</v>
      </c>
      <c r="AC12" s="8">
        <f t="shared" si="0"/>
        <v>24297.5</v>
      </c>
      <c r="AD12" s="8">
        <f t="shared" si="0"/>
        <v>32960.666666666664</v>
      </c>
      <c r="AE12" s="8">
        <f t="shared" si="0"/>
        <v>8953.8333333333339</v>
      </c>
      <c r="AF12" s="8">
        <f t="shared" si="0"/>
        <v>3900</v>
      </c>
      <c r="AG12" s="8">
        <f t="shared" si="0"/>
        <v>73228.833333333328</v>
      </c>
      <c r="AH12" s="8">
        <f t="shared" si="0"/>
        <v>64623.833333333336</v>
      </c>
      <c r="AI12" s="8">
        <f t="shared" si="0"/>
        <v>239433.16666666666</v>
      </c>
      <c r="AJ12" s="8">
        <f t="shared" si="0"/>
        <v>44035.5</v>
      </c>
      <c r="AK12" s="8"/>
    </row>
    <row r="13" spans="1:37">
      <c r="B13" s="19" t="s">
        <v>52</v>
      </c>
      <c r="C13" s="8">
        <f t="shared" ref="C13:AJ13" si="1">_xlfn.STDEV.S(C6:C11)</f>
        <v>163409.85988081218</v>
      </c>
      <c r="D13" s="8">
        <f t="shared" si="1"/>
        <v>421.69771954169579</v>
      </c>
      <c r="E13" s="8">
        <f t="shared" si="1"/>
        <v>925197.68685279717</v>
      </c>
      <c r="F13" s="8">
        <f t="shared" si="1"/>
        <v>1721.7232839996871</v>
      </c>
      <c r="G13" s="8">
        <f t="shared" si="1"/>
        <v>5502.1737401382252</v>
      </c>
      <c r="H13" s="8">
        <f t="shared" si="1"/>
        <v>39901.630486318056</v>
      </c>
      <c r="I13" s="8">
        <f t="shared" si="1"/>
        <v>549799.2493528584</v>
      </c>
      <c r="J13" s="8">
        <f t="shared" si="1"/>
        <v>97645.806583624813</v>
      </c>
      <c r="K13" s="8">
        <f t="shared" si="1"/>
        <v>822707.89265881001</v>
      </c>
      <c r="L13" s="8">
        <f t="shared" si="1"/>
        <v>22174.018787761499</v>
      </c>
      <c r="M13" s="8">
        <f t="shared" si="1"/>
        <v>4856103.7254845137</v>
      </c>
      <c r="N13" s="8">
        <f t="shared" si="1"/>
        <v>33024.976292194362</v>
      </c>
      <c r="O13" s="8">
        <f t="shared" si="1"/>
        <v>154947.04471711189</v>
      </c>
      <c r="P13" s="8">
        <f t="shared" si="1"/>
        <v>566987.29895501188</v>
      </c>
      <c r="Q13" s="8">
        <f t="shared" si="1"/>
        <v>2049540.474268781</v>
      </c>
      <c r="R13" s="8">
        <f t="shared" si="1"/>
        <v>8015893.6642602654</v>
      </c>
      <c r="S13" s="8">
        <f t="shared" si="1"/>
        <v>14262246.609394643</v>
      </c>
      <c r="T13" s="8">
        <f t="shared" si="1"/>
        <v>7903044.1803482454</v>
      </c>
      <c r="U13" s="8">
        <f t="shared" si="1"/>
        <v>7806224.0383688295</v>
      </c>
      <c r="V13" s="8">
        <f t="shared" si="1"/>
        <v>335766.88334140403</v>
      </c>
      <c r="W13" s="8">
        <f t="shared" si="1"/>
        <v>1269011.8662297842</v>
      </c>
      <c r="X13" s="8">
        <f t="shared" si="1"/>
        <v>871619.71613427834</v>
      </c>
      <c r="Y13" s="8">
        <f t="shared" si="1"/>
        <v>78286.916165261413</v>
      </c>
      <c r="Z13" s="8">
        <f t="shared" si="1"/>
        <v>3398.2160466927348</v>
      </c>
      <c r="AA13" s="8">
        <f t="shared" si="1"/>
        <v>101710.48600939171</v>
      </c>
      <c r="AB13" s="8">
        <f t="shared" si="1"/>
        <v>69885.160051091443</v>
      </c>
      <c r="AC13" s="8">
        <f t="shared" si="1"/>
        <v>18343.59252436665</v>
      </c>
      <c r="AD13" s="8">
        <f t="shared" si="1"/>
        <v>31676.901001623668</v>
      </c>
      <c r="AE13" s="8">
        <f t="shared" si="1"/>
        <v>8563.1970762482542</v>
      </c>
      <c r="AF13" s="8">
        <f t="shared" si="1"/>
        <v>4018.3683255769374</v>
      </c>
      <c r="AG13" s="8">
        <f t="shared" si="1"/>
        <v>49406.239506429411</v>
      </c>
      <c r="AH13" s="8">
        <f t="shared" si="1"/>
        <v>66235.991622128422</v>
      </c>
      <c r="AI13" s="8">
        <f t="shared" si="1"/>
        <v>391278.80393162963</v>
      </c>
      <c r="AJ13" s="8">
        <f t="shared" si="1"/>
        <v>65543.693306831585</v>
      </c>
      <c r="AK13" s="8"/>
    </row>
    <row r="14" spans="1:37">
      <c r="B14" s="19" t="s">
        <v>53</v>
      </c>
      <c r="C14" s="8">
        <f t="shared" ref="C14:AJ14" si="2">MEDIAN(C6:C11)</f>
        <v>86533.5</v>
      </c>
      <c r="D14" s="8">
        <f t="shared" si="2"/>
        <v>615</v>
      </c>
      <c r="E14" s="8">
        <f t="shared" si="2"/>
        <v>638440</v>
      </c>
      <c r="F14" s="8">
        <f t="shared" si="2"/>
        <v>905.5</v>
      </c>
      <c r="G14" s="8">
        <f t="shared" si="2"/>
        <v>3043</v>
      </c>
      <c r="H14" s="8">
        <f t="shared" si="2"/>
        <v>19916</v>
      </c>
      <c r="I14" s="8">
        <f t="shared" si="2"/>
        <v>917431</v>
      </c>
      <c r="J14" s="8">
        <f t="shared" si="2"/>
        <v>44855.5</v>
      </c>
      <c r="K14" s="8">
        <f t="shared" si="2"/>
        <v>516018</v>
      </c>
      <c r="L14" s="8">
        <f t="shared" si="2"/>
        <v>12821.5</v>
      </c>
      <c r="M14" s="8">
        <f t="shared" si="2"/>
        <v>3535731</v>
      </c>
      <c r="N14" s="8">
        <f t="shared" si="2"/>
        <v>22170</v>
      </c>
      <c r="O14" s="8">
        <f t="shared" si="2"/>
        <v>120720.5</v>
      </c>
      <c r="P14" s="8">
        <f t="shared" si="2"/>
        <v>333485.5</v>
      </c>
      <c r="Q14" s="8">
        <f t="shared" si="2"/>
        <v>953976.5</v>
      </c>
      <c r="R14" s="8">
        <f t="shared" si="2"/>
        <v>6866863.5</v>
      </c>
      <c r="S14" s="8">
        <f t="shared" si="2"/>
        <v>13856438</v>
      </c>
      <c r="T14" s="8">
        <f t="shared" si="2"/>
        <v>6775062</v>
      </c>
      <c r="U14" s="8">
        <f t="shared" si="2"/>
        <v>6752139</v>
      </c>
      <c r="V14" s="8">
        <f t="shared" si="2"/>
        <v>356588</v>
      </c>
      <c r="W14" s="8">
        <f t="shared" si="2"/>
        <v>847425.5</v>
      </c>
      <c r="X14" s="8">
        <f t="shared" si="2"/>
        <v>665370</v>
      </c>
      <c r="Y14" s="8">
        <f t="shared" si="2"/>
        <v>140401</v>
      </c>
      <c r="Z14" s="8">
        <f t="shared" si="2"/>
        <v>1796.5</v>
      </c>
      <c r="AA14" s="8">
        <f t="shared" si="2"/>
        <v>84897</v>
      </c>
      <c r="AB14" s="8">
        <f t="shared" si="2"/>
        <v>26221.5</v>
      </c>
      <c r="AC14" s="8">
        <f t="shared" si="2"/>
        <v>19300</v>
      </c>
      <c r="AD14" s="8">
        <f t="shared" si="2"/>
        <v>24387.5</v>
      </c>
      <c r="AE14" s="8">
        <f t="shared" si="2"/>
        <v>5736.5</v>
      </c>
      <c r="AF14" s="8">
        <f t="shared" si="2"/>
        <v>2697.5</v>
      </c>
      <c r="AG14" s="8">
        <f t="shared" si="2"/>
        <v>70073</v>
      </c>
      <c r="AH14" s="8">
        <f t="shared" si="2"/>
        <v>39618.5</v>
      </c>
      <c r="AI14" s="8">
        <f t="shared" si="2"/>
        <v>53801</v>
      </c>
      <c r="AJ14" s="8">
        <f t="shared" si="2"/>
        <v>10219</v>
      </c>
      <c r="AK14" s="8"/>
    </row>
    <row r="17" spans="1:36">
      <c r="A17" s="26" t="s">
        <v>57</v>
      </c>
      <c r="B17" s="27"/>
    </row>
    <row r="18" spans="1:36">
      <c r="A18" s="2" t="s">
        <v>131</v>
      </c>
      <c r="B18" s="2" t="s">
        <v>60</v>
      </c>
      <c r="C18" s="24">
        <v>35938</v>
      </c>
      <c r="D18" s="24">
        <v>279</v>
      </c>
      <c r="E18" s="24">
        <v>716303</v>
      </c>
      <c r="F18" s="24">
        <v>525</v>
      </c>
      <c r="G18" s="24">
        <v>2398</v>
      </c>
      <c r="H18" s="24">
        <v>21822</v>
      </c>
      <c r="I18" s="24">
        <v>758158</v>
      </c>
      <c r="J18" s="24">
        <v>60086</v>
      </c>
      <c r="K18" s="24">
        <v>687377</v>
      </c>
      <c r="L18" s="24">
        <v>16090</v>
      </c>
      <c r="M18" s="24">
        <v>3361143</v>
      </c>
      <c r="N18" s="24">
        <v>25163</v>
      </c>
      <c r="O18" s="24">
        <v>186864</v>
      </c>
      <c r="P18" s="24">
        <v>308089</v>
      </c>
      <c r="Q18" s="24">
        <v>768249</v>
      </c>
      <c r="R18" s="24">
        <v>5960695</v>
      </c>
      <c r="S18" s="24">
        <v>12755883</v>
      </c>
      <c r="T18" s="24">
        <v>5839724</v>
      </c>
      <c r="U18" s="24">
        <v>5819190</v>
      </c>
      <c r="V18" s="24">
        <v>561672</v>
      </c>
      <c r="W18" s="24">
        <v>705307</v>
      </c>
      <c r="X18" s="24">
        <v>450460</v>
      </c>
      <c r="Y18" s="24">
        <v>51290</v>
      </c>
      <c r="Z18" s="24">
        <v>1040</v>
      </c>
      <c r="AA18" s="24">
        <v>171327</v>
      </c>
      <c r="AB18" s="24">
        <v>27039</v>
      </c>
      <c r="AC18" s="24">
        <v>25514</v>
      </c>
      <c r="AD18" s="24">
        <v>55962</v>
      </c>
      <c r="AE18" s="24">
        <v>1564</v>
      </c>
      <c r="AF18" s="24">
        <v>779</v>
      </c>
      <c r="AG18" s="24">
        <v>174351</v>
      </c>
      <c r="AH18" s="24">
        <v>54405</v>
      </c>
      <c r="AI18" s="24">
        <v>55432</v>
      </c>
      <c r="AJ18" s="24">
        <v>11623</v>
      </c>
    </row>
    <row r="19" spans="1:36">
      <c r="A19" s="2" t="s">
        <v>132</v>
      </c>
      <c r="B19" s="2" t="s">
        <v>60</v>
      </c>
      <c r="C19" s="24">
        <v>70972</v>
      </c>
      <c r="D19" s="24">
        <v>0</v>
      </c>
      <c r="E19" s="24">
        <v>1064738</v>
      </c>
      <c r="F19" s="24">
        <v>1617</v>
      </c>
      <c r="G19" s="24">
        <v>7542</v>
      </c>
      <c r="H19" s="24">
        <v>55128</v>
      </c>
      <c r="I19" s="24">
        <v>1032596</v>
      </c>
      <c r="J19" s="24">
        <v>154547</v>
      </c>
      <c r="K19" s="24">
        <v>1631822</v>
      </c>
      <c r="L19" s="24">
        <v>43926</v>
      </c>
      <c r="M19" s="24">
        <v>7614663</v>
      </c>
      <c r="N19" s="24">
        <v>70983</v>
      </c>
      <c r="O19" s="24">
        <v>319629</v>
      </c>
      <c r="P19" s="24">
        <v>966877</v>
      </c>
      <c r="Q19" s="24">
        <v>2349504</v>
      </c>
      <c r="R19" s="24">
        <v>14302031</v>
      </c>
      <c r="S19" s="24">
        <v>28311872</v>
      </c>
      <c r="T19" s="24">
        <v>13904059</v>
      </c>
      <c r="U19" s="24">
        <v>13778073</v>
      </c>
      <c r="V19" s="24">
        <v>76840</v>
      </c>
      <c r="W19" s="24">
        <v>1814539</v>
      </c>
      <c r="X19" s="24">
        <v>1310498</v>
      </c>
      <c r="Y19" s="24">
        <v>188497</v>
      </c>
      <c r="Z19" s="24">
        <v>3873</v>
      </c>
      <c r="AA19" s="24">
        <v>374102</v>
      </c>
      <c r="AB19" s="24">
        <v>116193</v>
      </c>
      <c r="AC19" s="24">
        <v>65290</v>
      </c>
      <c r="AD19" s="24">
        <v>196365</v>
      </c>
      <c r="AE19" s="24">
        <v>9174</v>
      </c>
      <c r="AF19" s="24">
        <v>4481</v>
      </c>
      <c r="AG19" s="24">
        <v>479443</v>
      </c>
      <c r="AH19" s="24">
        <v>148475</v>
      </c>
      <c r="AI19" s="24">
        <v>153902</v>
      </c>
      <c r="AJ19" s="24">
        <v>25118</v>
      </c>
    </row>
    <row r="20" spans="1:36">
      <c r="A20" s="2" t="s">
        <v>133</v>
      </c>
      <c r="B20" t="s">
        <v>42</v>
      </c>
      <c r="C20" s="24">
        <v>18336</v>
      </c>
      <c r="D20" s="24">
        <v>185</v>
      </c>
      <c r="E20" s="24">
        <v>373411</v>
      </c>
      <c r="F20" s="24">
        <v>167</v>
      </c>
      <c r="G20" s="24">
        <v>1017</v>
      </c>
      <c r="H20" s="24">
        <v>7867</v>
      </c>
      <c r="I20" s="24">
        <v>513813</v>
      </c>
      <c r="J20" s="24">
        <v>20228</v>
      </c>
      <c r="K20" s="24">
        <v>192690</v>
      </c>
      <c r="L20" s="24">
        <v>4968</v>
      </c>
      <c r="M20" s="24">
        <v>1552733</v>
      </c>
      <c r="N20" s="24">
        <v>10379</v>
      </c>
      <c r="O20" s="24">
        <v>78840</v>
      </c>
      <c r="P20" s="24">
        <v>90405</v>
      </c>
      <c r="Q20" s="24">
        <v>334362</v>
      </c>
      <c r="R20" s="24">
        <v>3370430</v>
      </c>
      <c r="S20" s="24">
        <v>7303996</v>
      </c>
      <c r="T20" s="24">
        <v>3350711</v>
      </c>
      <c r="U20" s="24">
        <v>3320243</v>
      </c>
      <c r="V20" s="24">
        <v>322835</v>
      </c>
      <c r="W20" s="24">
        <v>443413</v>
      </c>
      <c r="X20" s="24">
        <v>177687</v>
      </c>
      <c r="Y20" s="24">
        <v>35129</v>
      </c>
      <c r="Z20" s="24">
        <v>0</v>
      </c>
      <c r="AA20" s="24">
        <v>42751</v>
      </c>
      <c r="AB20" s="24">
        <v>8885</v>
      </c>
      <c r="AC20" s="24">
        <v>7261</v>
      </c>
      <c r="AD20" s="24">
        <v>9394</v>
      </c>
      <c r="AE20" s="24">
        <v>1821</v>
      </c>
      <c r="AF20" s="24">
        <v>0</v>
      </c>
      <c r="AG20" s="24">
        <v>11798</v>
      </c>
      <c r="AH20" s="24">
        <v>21231</v>
      </c>
      <c r="AI20" s="24">
        <v>22322</v>
      </c>
      <c r="AJ20" s="24">
        <v>7304</v>
      </c>
    </row>
    <row r="21" spans="1:36">
      <c r="A21" s="2" t="s">
        <v>134</v>
      </c>
      <c r="B21" s="2" t="s">
        <v>61</v>
      </c>
      <c r="C21" s="24">
        <v>42952</v>
      </c>
      <c r="D21" s="24">
        <v>135</v>
      </c>
      <c r="E21" s="24">
        <v>479955</v>
      </c>
      <c r="F21" s="24">
        <v>628</v>
      </c>
      <c r="G21" s="24">
        <v>3131</v>
      </c>
      <c r="H21" s="24">
        <v>24467</v>
      </c>
      <c r="I21" s="24">
        <v>705779</v>
      </c>
      <c r="J21" s="24">
        <v>63359</v>
      </c>
      <c r="K21" s="24">
        <v>684661</v>
      </c>
      <c r="L21" s="24">
        <v>17127</v>
      </c>
      <c r="M21" s="24">
        <v>3661592</v>
      </c>
      <c r="N21" s="24">
        <v>27876</v>
      </c>
      <c r="O21" s="24">
        <v>292951</v>
      </c>
      <c r="P21" s="24">
        <v>256058</v>
      </c>
      <c r="Q21" s="24">
        <v>583620</v>
      </c>
      <c r="R21" s="24">
        <v>8178626</v>
      </c>
      <c r="S21" s="24">
        <v>15795123</v>
      </c>
      <c r="T21" s="24">
        <v>8024264</v>
      </c>
      <c r="U21" s="24">
        <v>7990273</v>
      </c>
      <c r="V21" s="24">
        <v>732942</v>
      </c>
      <c r="W21" s="24">
        <v>1055092</v>
      </c>
      <c r="X21" s="24">
        <v>763754</v>
      </c>
      <c r="Y21" s="24">
        <v>41230</v>
      </c>
      <c r="Z21" s="24">
        <v>2956</v>
      </c>
      <c r="AA21" s="24">
        <v>154427</v>
      </c>
      <c r="AB21" s="24">
        <v>31785</v>
      </c>
      <c r="AC21" s="24">
        <v>22986</v>
      </c>
      <c r="AD21" s="24">
        <v>56280</v>
      </c>
      <c r="AE21" s="24">
        <v>1673</v>
      </c>
      <c r="AF21" s="24">
        <v>0</v>
      </c>
      <c r="AG21" s="24">
        <v>144417</v>
      </c>
      <c r="AH21" s="24">
        <v>77533</v>
      </c>
      <c r="AI21" s="24">
        <v>65786</v>
      </c>
      <c r="AJ21" s="24">
        <v>18964</v>
      </c>
    </row>
    <row r="22" spans="1:36">
      <c r="A22" s="2" t="s">
        <v>135</v>
      </c>
      <c r="B22" s="2" t="s">
        <v>61</v>
      </c>
      <c r="C22" s="24">
        <v>64848</v>
      </c>
      <c r="D22" s="24">
        <v>286</v>
      </c>
      <c r="E22" s="24">
        <v>2810846</v>
      </c>
      <c r="F22" s="24">
        <v>1285</v>
      </c>
      <c r="G22" s="24">
        <v>4779</v>
      </c>
      <c r="H22" s="24">
        <v>38181</v>
      </c>
      <c r="I22" s="24">
        <v>1609682</v>
      </c>
      <c r="J22" s="24">
        <v>107838</v>
      </c>
      <c r="K22" s="24">
        <v>1228744</v>
      </c>
      <c r="L22" s="24">
        <v>32571</v>
      </c>
      <c r="M22" s="24">
        <v>6943289</v>
      </c>
      <c r="N22" s="24">
        <v>54227</v>
      </c>
      <c r="O22" s="24">
        <v>470486</v>
      </c>
      <c r="P22" s="24">
        <v>542755</v>
      </c>
      <c r="Q22" s="24">
        <v>1426694</v>
      </c>
      <c r="R22" s="24">
        <v>15402709</v>
      </c>
      <c r="S22" s="24">
        <v>30952777</v>
      </c>
      <c r="T22" s="24">
        <v>15042802</v>
      </c>
      <c r="U22" s="24">
        <v>14990632</v>
      </c>
      <c r="V22" s="24">
        <v>1148714</v>
      </c>
      <c r="W22" s="24">
        <v>1759065</v>
      </c>
      <c r="X22" s="24">
        <v>1014209</v>
      </c>
      <c r="Y22" s="24">
        <v>129998</v>
      </c>
      <c r="Z22" s="24">
        <v>1668</v>
      </c>
      <c r="AA22" s="24">
        <v>304545</v>
      </c>
      <c r="AB22" s="24">
        <v>73201</v>
      </c>
      <c r="AC22" s="24">
        <v>45435</v>
      </c>
      <c r="AD22" s="24">
        <v>103277</v>
      </c>
      <c r="AE22" s="24">
        <v>6058</v>
      </c>
      <c r="AF22" s="24">
        <v>4008</v>
      </c>
      <c r="AG22" s="24">
        <v>265495</v>
      </c>
      <c r="AH22" s="24">
        <v>135824</v>
      </c>
      <c r="AI22" s="24">
        <v>134795</v>
      </c>
      <c r="AJ22" s="24">
        <v>34119</v>
      </c>
    </row>
    <row r="23" spans="1:36">
      <c r="A23" s="2" t="s">
        <v>136</v>
      </c>
      <c r="B23" s="2" t="s">
        <v>61</v>
      </c>
      <c r="C23" s="24">
        <v>25879</v>
      </c>
      <c r="D23" s="24">
        <v>338</v>
      </c>
      <c r="E23" s="24">
        <v>488216</v>
      </c>
      <c r="F23" s="24">
        <v>257</v>
      </c>
      <c r="G23" s="24">
        <v>1242</v>
      </c>
      <c r="H23" s="24">
        <v>12277</v>
      </c>
      <c r="I23" s="24">
        <v>654648</v>
      </c>
      <c r="J23" s="24">
        <v>28470</v>
      </c>
      <c r="K23" s="24">
        <v>297360</v>
      </c>
      <c r="L23" s="24">
        <v>6531</v>
      </c>
      <c r="M23" s="24">
        <v>1308644</v>
      </c>
      <c r="N23" s="24">
        <v>13270</v>
      </c>
      <c r="O23" s="24">
        <v>94506</v>
      </c>
      <c r="P23" s="24">
        <v>109454</v>
      </c>
      <c r="Q23" s="24">
        <v>290979</v>
      </c>
      <c r="R23" s="24">
        <v>3160182</v>
      </c>
      <c r="S23" s="24">
        <v>7484184</v>
      </c>
      <c r="T23" s="24">
        <v>3137941</v>
      </c>
      <c r="U23" s="24">
        <v>3139751</v>
      </c>
      <c r="V23" s="24">
        <v>316052</v>
      </c>
      <c r="W23" s="24">
        <v>367151</v>
      </c>
      <c r="X23" s="24">
        <v>255950</v>
      </c>
      <c r="Y23" s="24">
        <v>35773</v>
      </c>
      <c r="Z23" s="24">
        <v>755</v>
      </c>
      <c r="AA23" s="24">
        <v>43407</v>
      </c>
      <c r="AB23" s="24">
        <v>18680</v>
      </c>
      <c r="AC23" s="24">
        <v>7920</v>
      </c>
      <c r="AD23" s="24">
        <v>14074</v>
      </c>
      <c r="AE23" s="24">
        <v>1675</v>
      </c>
      <c r="AF23" s="24">
        <v>0</v>
      </c>
      <c r="AG23" s="24">
        <v>26106</v>
      </c>
      <c r="AH23" s="24">
        <v>25046</v>
      </c>
      <c r="AI23" s="24">
        <v>27257</v>
      </c>
      <c r="AJ23" s="24">
        <v>4459</v>
      </c>
    </row>
    <row r="24" spans="1:36">
      <c r="A24" s="2" t="s">
        <v>137</v>
      </c>
      <c r="B24" s="2" t="s">
        <v>61</v>
      </c>
      <c r="C24" s="24">
        <v>27955</v>
      </c>
      <c r="D24" s="24">
        <v>209</v>
      </c>
      <c r="E24" s="24">
        <v>491884</v>
      </c>
      <c r="F24" s="24">
        <v>189</v>
      </c>
      <c r="G24" s="24">
        <v>1045</v>
      </c>
      <c r="H24" s="24">
        <v>8632</v>
      </c>
      <c r="I24" s="24">
        <v>658790</v>
      </c>
      <c r="J24" s="24">
        <v>17719</v>
      </c>
      <c r="K24" s="24">
        <v>193248</v>
      </c>
      <c r="L24" s="24">
        <v>4271</v>
      </c>
      <c r="M24" s="24">
        <v>1217440</v>
      </c>
      <c r="N24" s="24">
        <v>9383</v>
      </c>
      <c r="O24" s="24">
        <v>42225</v>
      </c>
      <c r="P24" s="24">
        <v>132238</v>
      </c>
      <c r="Q24" s="24">
        <v>596022</v>
      </c>
      <c r="R24" s="24">
        <v>3051010</v>
      </c>
      <c r="S24" s="24">
        <v>7292176</v>
      </c>
      <c r="T24" s="24">
        <v>3049141</v>
      </c>
      <c r="U24" s="24">
        <v>3049141</v>
      </c>
      <c r="V24" s="24">
        <v>321311</v>
      </c>
      <c r="W24" s="24">
        <v>377620</v>
      </c>
      <c r="X24" s="24">
        <v>236365</v>
      </c>
      <c r="Y24" s="24">
        <v>92271</v>
      </c>
      <c r="Z24" s="24">
        <v>1826</v>
      </c>
      <c r="AA24" s="24">
        <v>22477</v>
      </c>
      <c r="AB24" s="24">
        <v>16047</v>
      </c>
      <c r="AC24" s="24">
        <v>6742</v>
      </c>
      <c r="AD24" s="24">
        <v>7575</v>
      </c>
      <c r="AE24" s="24">
        <v>3243</v>
      </c>
      <c r="AF24" s="24">
        <v>1221</v>
      </c>
      <c r="AG24" s="24">
        <v>25270</v>
      </c>
      <c r="AH24" s="24">
        <v>12422</v>
      </c>
      <c r="AI24" s="24">
        <v>20408</v>
      </c>
      <c r="AJ24" s="24">
        <v>2610</v>
      </c>
    </row>
    <row r="25" spans="1:36">
      <c r="B25" s="19" t="s">
        <v>51</v>
      </c>
      <c r="C25" s="8">
        <f>AVERAGE(C18:C24)</f>
        <v>40982.857142857145</v>
      </c>
      <c r="D25" s="8">
        <f t="shared" ref="D25:AG25" si="3">AVERAGE(D18:D24)</f>
        <v>204.57142857142858</v>
      </c>
      <c r="E25" s="8">
        <f t="shared" si="3"/>
        <v>917907.57142857148</v>
      </c>
      <c r="F25" s="8">
        <f t="shared" si="3"/>
        <v>666.85714285714289</v>
      </c>
      <c r="G25" s="8">
        <f t="shared" si="3"/>
        <v>3022</v>
      </c>
      <c r="H25" s="8">
        <f t="shared" si="3"/>
        <v>24053.428571428572</v>
      </c>
      <c r="I25" s="8">
        <f t="shared" si="3"/>
        <v>847638</v>
      </c>
      <c r="J25" s="8">
        <f t="shared" si="3"/>
        <v>64606.714285714283</v>
      </c>
      <c r="K25" s="8">
        <f t="shared" si="3"/>
        <v>702271.71428571432</v>
      </c>
      <c r="L25" s="8">
        <f t="shared" si="3"/>
        <v>17926.285714285714</v>
      </c>
      <c r="M25" s="8">
        <f t="shared" si="3"/>
        <v>3665643.4285714286</v>
      </c>
      <c r="N25" s="8">
        <f t="shared" si="3"/>
        <v>30183</v>
      </c>
      <c r="O25" s="8">
        <f t="shared" si="3"/>
        <v>212214.42857142858</v>
      </c>
      <c r="P25" s="8">
        <f t="shared" si="3"/>
        <v>343696.57142857142</v>
      </c>
      <c r="Q25" s="8">
        <f t="shared" si="3"/>
        <v>907061.42857142852</v>
      </c>
      <c r="R25" s="8">
        <f t="shared" si="3"/>
        <v>7632240.4285714282</v>
      </c>
      <c r="S25" s="8">
        <f t="shared" si="3"/>
        <v>15699430.142857144</v>
      </c>
      <c r="T25" s="8">
        <f t="shared" si="3"/>
        <v>7478377.4285714282</v>
      </c>
      <c r="U25" s="8">
        <f t="shared" si="3"/>
        <v>7441043.2857142854</v>
      </c>
      <c r="V25" s="8">
        <f t="shared" si="3"/>
        <v>497195.14285714284</v>
      </c>
      <c r="W25" s="8">
        <f t="shared" si="3"/>
        <v>931741</v>
      </c>
      <c r="X25" s="8">
        <f t="shared" si="3"/>
        <v>601274.71428571432</v>
      </c>
      <c r="Y25" s="8">
        <f t="shared" si="3"/>
        <v>82026.857142857145</v>
      </c>
      <c r="Z25" s="8">
        <f t="shared" si="3"/>
        <v>1731.1428571428571</v>
      </c>
      <c r="AA25" s="8">
        <f t="shared" si="3"/>
        <v>159005.14285714287</v>
      </c>
      <c r="AB25" s="8">
        <f t="shared" si="3"/>
        <v>41690</v>
      </c>
      <c r="AC25" s="8">
        <f t="shared" si="3"/>
        <v>25878.285714285714</v>
      </c>
      <c r="AD25" s="8">
        <f t="shared" si="3"/>
        <v>63275.285714285717</v>
      </c>
      <c r="AE25" s="8">
        <f t="shared" si="3"/>
        <v>3601.1428571428573</v>
      </c>
      <c r="AF25" s="8">
        <f t="shared" si="3"/>
        <v>1498.4285714285713</v>
      </c>
      <c r="AG25" s="8">
        <f t="shared" si="3"/>
        <v>160982.85714285713</v>
      </c>
      <c r="AH25" s="8">
        <f>AVERAGE(AH18:AH24)</f>
        <v>67848</v>
      </c>
      <c r="AI25" s="8">
        <f>AVERAGE(AI18:AI24)</f>
        <v>68557.428571428565</v>
      </c>
      <c r="AJ25" s="8">
        <f>AVERAGE(AJ18:AJ24)</f>
        <v>14885.285714285714</v>
      </c>
    </row>
    <row r="26" spans="1:36">
      <c r="B26" s="19" t="s">
        <v>52</v>
      </c>
      <c r="C26" s="8">
        <f>_xlfn.STDEV.S(C18:C24)</f>
        <v>20037.271690764785</v>
      </c>
      <c r="D26" s="8">
        <f t="shared" ref="D26:AG26" si="4">_xlfn.STDEV.S(D18:D24)</f>
        <v>113.33263305105775</v>
      </c>
      <c r="E26" s="8">
        <f t="shared" si="4"/>
        <v>866008.98507903423</v>
      </c>
      <c r="F26" s="8">
        <f t="shared" si="4"/>
        <v>570.48120873856089</v>
      </c>
      <c r="G26" s="8">
        <f t="shared" si="4"/>
        <v>2415.7697186059213</v>
      </c>
      <c r="H26" s="8">
        <f t="shared" si="4"/>
        <v>17363.144769474056</v>
      </c>
      <c r="I26" s="8">
        <f t="shared" si="4"/>
        <v>371348.6690003525</v>
      </c>
      <c r="J26" s="8">
        <f t="shared" si="4"/>
        <v>50750.998117325355</v>
      </c>
      <c r="K26" s="8">
        <f t="shared" si="4"/>
        <v>551437.65931629855</v>
      </c>
      <c r="L26" s="8">
        <f t="shared" si="4"/>
        <v>15158.606661060965</v>
      </c>
      <c r="M26" s="8">
        <f t="shared" si="4"/>
        <v>2659698.9117074171</v>
      </c>
      <c r="N26" s="8">
        <f t="shared" si="4"/>
        <v>23749.261637645355</v>
      </c>
      <c r="O26" s="8">
        <f t="shared" si="4"/>
        <v>155961.29388287035</v>
      </c>
      <c r="P26" s="8">
        <f t="shared" si="4"/>
        <v>316403.6063694898</v>
      </c>
      <c r="Q26" s="8">
        <f t="shared" si="4"/>
        <v>739237.16870926181</v>
      </c>
      <c r="R26" s="8">
        <f t="shared" si="4"/>
        <v>5277450.4001462944</v>
      </c>
      <c r="S26" s="8">
        <f t="shared" si="4"/>
        <v>10075278.430450603</v>
      </c>
      <c r="T26" s="8">
        <f t="shared" si="4"/>
        <v>5115144.7330170712</v>
      </c>
      <c r="U26" s="8">
        <f t="shared" si="4"/>
        <v>5080308.5982906828</v>
      </c>
      <c r="V26" s="8">
        <f t="shared" si="4"/>
        <v>354743.72027067118</v>
      </c>
      <c r="W26" s="8">
        <f t="shared" si="4"/>
        <v>631738.5168013213</v>
      </c>
      <c r="X26" s="8">
        <f t="shared" si="4"/>
        <v>438651.68399301148</v>
      </c>
      <c r="Y26" s="8">
        <f t="shared" si="4"/>
        <v>58722.554688491342</v>
      </c>
      <c r="Z26" s="8">
        <f t="shared" si="4"/>
        <v>1324.6509513291201</v>
      </c>
      <c r="AA26" s="8">
        <f t="shared" si="4"/>
        <v>137319.08442314027</v>
      </c>
      <c r="AB26" s="8">
        <f t="shared" si="4"/>
        <v>38986.30642075924</v>
      </c>
      <c r="AC26" s="8">
        <f t="shared" si="4"/>
        <v>22284.325961792711</v>
      </c>
      <c r="AD26" s="8">
        <f t="shared" si="4"/>
        <v>68119.880430787322</v>
      </c>
      <c r="AE26" s="8">
        <f t="shared" si="4"/>
        <v>2943.0078394148295</v>
      </c>
      <c r="AF26" s="8">
        <f t="shared" si="4"/>
        <v>1937.5280520242675</v>
      </c>
      <c r="AG26" s="8">
        <f t="shared" si="4"/>
        <v>169144.2447768852</v>
      </c>
      <c r="AH26" s="8">
        <f>_xlfn.STDEV.S(AH18:AH24)</f>
        <v>55487.476887432298</v>
      </c>
      <c r="AI26" s="8">
        <f>_xlfn.STDEV.S(AI18:AI24)</f>
        <v>54791.844222344938</v>
      </c>
      <c r="AJ26" s="8">
        <f>_xlfn.STDEV.S(AJ18:AJ24)</f>
        <v>11681.813439620377</v>
      </c>
    </row>
    <row r="27" spans="1:36">
      <c r="B27" s="19" t="s">
        <v>53</v>
      </c>
      <c r="C27" s="8">
        <f>MEDIAN(C18:C24)</f>
        <v>35938</v>
      </c>
      <c r="D27" s="8">
        <f t="shared" ref="D27:AG27" si="5">MEDIAN(D18:D24)</f>
        <v>209</v>
      </c>
      <c r="E27" s="8">
        <f t="shared" si="5"/>
        <v>491884</v>
      </c>
      <c r="F27" s="8">
        <f t="shared" si="5"/>
        <v>525</v>
      </c>
      <c r="G27" s="8">
        <f t="shared" si="5"/>
        <v>2398</v>
      </c>
      <c r="H27" s="8">
        <f t="shared" si="5"/>
        <v>21822</v>
      </c>
      <c r="I27" s="8">
        <f t="shared" si="5"/>
        <v>705779</v>
      </c>
      <c r="J27" s="8">
        <f t="shared" si="5"/>
        <v>60086</v>
      </c>
      <c r="K27" s="8">
        <f t="shared" si="5"/>
        <v>684661</v>
      </c>
      <c r="L27" s="8">
        <f t="shared" si="5"/>
        <v>16090</v>
      </c>
      <c r="M27" s="8">
        <f t="shared" si="5"/>
        <v>3361143</v>
      </c>
      <c r="N27" s="8">
        <f t="shared" si="5"/>
        <v>25163</v>
      </c>
      <c r="O27" s="8">
        <f t="shared" si="5"/>
        <v>186864</v>
      </c>
      <c r="P27" s="8">
        <f t="shared" si="5"/>
        <v>256058</v>
      </c>
      <c r="Q27" s="8">
        <f t="shared" si="5"/>
        <v>596022</v>
      </c>
      <c r="R27" s="8">
        <f t="shared" si="5"/>
        <v>5960695</v>
      </c>
      <c r="S27" s="8">
        <f t="shared" si="5"/>
        <v>12755883</v>
      </c>
      <c r="T27" s="8">
        <f t="shared" si="5"/>
        <v>5839724</v>
      </c>
      <c r="U27" s="8">
        <f t="shared" si="5"/>
        <v>5819190</v>
      </c>
      <c r="V27" s="8">
        <f t="shared" si="5"/>
        <v>322835</v>
      </c>
      <c r="W27" s="8">
        <f t="shared" si="5"/>
        <v>705307</v>
      </c>
      <c r="X27" s="8">
        <f t="shared" si="5"/>
        <v>450460</v>
      </c>
      <c r="Y27" s="8">
        <f t="shared" si="5"/>
        <v>51290</v>
      </c>
      <c r="Z27" s="8">
        <f t="shared" si="5"/>
        <v>1668</v>
      </c>
      <c r="AA27" s="8">
        <f t="shared" si="5"/>
        <v>154427</v>
      </c>
      <c r="AB27" s="8">
        <f t="shared" si="5"/>
        <v>27039</v>
      </c>
      <c r="AC27" s="8">
        <f t="shared" si="5"/>
        <v>22986</v>
      </c>
      <c r="AD27" s="8">
        <f t="shared" si="5"/>
        <v>55962</v>
      </c>
      <c r="AE27" s="8">
        <f t="shared" si="5"/>
        <v>1821</v>
      </c>
      <c r="AF27" s="8">
        <f t="shared" si="5"/>
        <v>779</v>
      </c>
      <c r="AG27" s="8">
        <f t="shared" si="5"/>
        <v>144417</v>
      </c>
      <c r="AH27" s="8">
        <f>MEDIAN(AH18:AH24)</f>
        <v>54405</v>
      </c>
      <c r="AI27" s="8">
        <f>MEDIAN(AI18:AI24)</f>
        <v>55432</v>
      </c>
      <c r="AJ27" s="8">
        <f>MEDIAN(AJ18:AJ24)</f>
        <v>11623</v>
      </c>
    </row>
    <row r="29" spans="1:36">
      <c r="A29" s="13" t="s">
        <v>54</v>
      </c>
      <c r="B29" s="14" t="s">
        <v>55</v>
      </c>
      <c r="C29" s="16">
        <f t="shared" ref="C29:AJ29" si="6">_xlfn.T.TEST(C7:C11,C18:C24,2,3)</f>
        <v>5.6775718018485924E-2</v>
      </c>
      <c r="D29" s="16">
        <f t="shared" si="6"/>
        <v>8.8129375071432328E-2</v>
      </c>
      <c r="E29" s="16">
        <f t="shared" si="6"/>
        <v>0.99843981779115787</v>
      </c>
      <c r="F29" s="16">
        <f t="shared" si="6"/>
        <v>0.84172188352215027</v>
      </c>
      <c r="G29" s="16">
        <f t="shared" si="6"/>
        <v>0.6823107138631096</v>
      </c>
      <c r="H29" s="16">
        <f t="shared" si="6"/>
        <v>0.44149392093386708</v>
      </c>
      <c r="I29" s="16">
        <f t="shared" si="6"/>
        <v>0.70665682450696954</v>
      </c>
      <c r="J29" s="16">
        <f t="shared" si="6"/>
        <v>0.3553296856749103</v>
      </c>
      <c r="K29" s="16">
        <f t="shared" si="6"/>
        <v>0.25928501503552043</v>
      </c>
      <c r="L29" s="16">
        <f t="shared" si="6"/>
        <v>0.29917997698161541</v>
      </c>
      <c r="M29" s="16">
        <f t="shared" si="6"/>
        <v>0.77928531109308041</v>
      </c>
      <c r="N29" s="16">
        <f t="shared" si="6"/>
        <v>0.33410634845147807</v>
      </c>
      <c r="O29" s="16">
        <f t="shared" si="6"/>
        <v>0.20028021912425759</v>
      </c>
      <c r="P29" s="16">
        <f t="shared" si="6"/>
        <v>0.78564861562332178</v>
      </c>
      <c r="Q29" s="16">
        <f t="shared" si="6"/>
        <v>0.7651546853620399</v>
      </c>
      <c r="R29" s="16">
        <f t="shared" si="6"/>
        <v>0.54280281432337962</v>
      </c>
      <c r="S29" s="16">
        <f t="shared" si="6"/>
        <v>0.47733443800759634</v>
      </c>
      <c r="T29" s="16">
        <f t="shared" si="6"/>
        <v>0.5499087334655316</v>
      </c>
      <c r="U29" s="16">
        <f t="shared" si="6"/>
        <v>0.54931176916755831</v>
      </c>
      <c r="V29" s="16">
        <f t="shared" si="6"/>
        <v>0.68744030942591694</v>
      </c>
      <c r="W29" s="16">
        <f t="shared" si="6"/>
        <v>0.39970806805351111</v>
      </c>
      <c r="X29" s="16">
        <f t="shared" si="6"/>
        <v>0.84868164689168579</v>
      </c>
      <c r="Y29" s="16">
        <f t="shared" si="6"/>
        <v>0.17047683755770129</v>
      </c>
      <c r="Z29" s="16">
        <f t="shared" si="6"/>
        <v>0.82047207655316468</v>
      </c>
      <c r="AA29" s="16">
        <f t="shared" si="6"/>
        <v>0.23049029174204877</v>
      </c>
      <c r="AB29" s="16">
        <f t="shared" si="6"/>
        <v>0.26795101293385204</v>
      </c>
      <c r="AC29" s="16">
        <f t="shared" si="6"/>
        <v>0.36270409099872358</v>
      </c>
      <c r="AD29" s="16">
        <f t="shared" si="6"/>
        <v>0.14714799774089984</v>
      </c>
      <c r="AE29" s="16">
        <f t="shared" si="6"/>
        <v>0.29709082019550731</v>
      </c>
      <c r="AF29" s="16">
        <f t="shared" si="6"/>
        <v>0.36698928846587486</v>
      </c>
      <c r="AG29" s="16">
        <f t="shared" si="6"/>
        <v>0.15361630945136656</v>
      </c>
      <c r="AH29" s="16">
        <f t="shared" si="6"/>
        <v>0.20959274240492201</v>
      </c>
      <c r="AI29" s="16">
        <f t="shared" si="6"/>
        <v>0.42987443983440282</v>
      </c>
      <c r="AJ29" s="16">
        <f t="shared" si="6"/>
        <v>0.751663368740904</v>
      </c>
    </row>
    <row r="31" spans="1:36" ht="38" customHeight="1">
      <c r="B31" s="31" t="s">
        <v>63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3" spans="1:37" ht="20">
      <c r="A33" s="5" t="s">
        <v>69</v>
      </c>
      <c r="B33" s="6"/>
    </row>
    <row r="34" spans="1:37" s="54" customFormat="1" ht="62" customHeight="1">
      <c r="A34" s="54" t="s">
        <v>0</v>
      </c>
      <c r="B34" s="54" t="s">
        <v>1</v>
      </c>
      <c r="C34" s="54" t="s">
        <v>2</v>
      </c>
      <c r="D34" s="54" t="s">
        <v>3</v>
      </c>
      <c r="E34" s="54" t="s">
        <v>4</v>
      </c>
      <c r="F34" s="54" t="s">
        <v>5</v>
      </c>
      <c r="G34" s="54" t="s">
        <v>6</v>
      </c>
      <c r="H34" s="54" t="s">
        <v>7</v>
      </c>
      <c r="I34" s="54" t="s">
        <v>8</v>
      </c>
      <c r="J34" s="54" t="s">
        <v>9</v>
      </c>
      <c r="K34" s="54" t="s">
        <v>10</v>
      </c>
      <c r="L34" s="54" t="s">
        <v>11</v>
      </c>
      <c r="M34" s="54" t="s">
        <v>12</v>
      </c>
      <c r="N34" s="54" t="s">
        <v>13</v>
      </c>
      <c r="O34" s="54" t="s">
        <v>14</v>
      </c>
      <c r="P34" s="54" t="s">
        <v>15</v>
      </c>
      <c r="Q34" s="54" t="s">
        <v>17</v>
      </c>
      <c r="R34" s="54" t="s">
        <v>18</v>
      </c>
      <c r="S34" s="54" t="s">
        <v>19</v>
      </c>
      <c r="T34" s="54" t="s">
        <v>20</v>
      </c>
      <c r="U34" s="54" t="s">
        <v>21</v>
      </c>
      <c r="V34" s="54" t="s">
        <v>22</v>
      </c>
      <c r="W34" s="54" t="s">
        <v>23</v>
      </c>
      <c r="X34" s="54" t="s">
        <v>26</v>
      </c>
      <c r="Y34" s="54" t="s">
        <v>27</v>
      </c>
      <c r="Z34" s="54" t="s">
        <v>28</v>
      </c>
      <c r="AA34" s="54" t="s">
        <v>29</v>
      </c>
      <c r="AB34" s="54" t="s">
        <v>30</v>
      </c>
      <c r="AC34" s="54" t="s">
        <v>31</v>
      </c>
      <c r="AD34" s="54" t="s">
        <v>32</v>
      </c>
      <c r="AE34" s="54" t="s">
        <v>33</v>
      </c>
      <c r="AF34" s="54" t="s">
        <v>34</v>
      </c>
      <c r="AG34" s="54" t="s">
        <v>35</v>
      </c>
      <c r="AH34" s="54" t="s">
        <v>16</v>
      </c>
      <c r="AI34" s="54" t="s">
        <v>24</v>
      </c>
      <c r="AJ34" s="54" t="s">
        <v>25</v>
      </c>
      <c r="AK34" s="64" t="s">
        <v>53</v>
      </c>
    </row>
    <row r="35" spans="1:37">
      <c r="A35" s="28" t="s">
        <v>62</v>
      </c>
      <c r="B35" s="25"/>
    </row>
    <row r="36" spans="1:37">
      <c r="A36" s="2" t="s">
        <v>138</v>
      </c>
      <c r="B36" s="2" t="s">
        <v>64</v>
      </c>
      <c r="C36" s="22">
        <f>LOG(C6)</f>
        <v>5.6758030792628134</v>
      </c>
      <c r="D36" s="22">
        <f t="shared" ref="D36:AG36" si="7">LOG(D6)</f>
        <v>3.0293837776852097</v>
      </c>
      <c r="E36" s="22">
        <f t="shared" si="7"/>
        <v>6.2179992643555977</v>
      </c>
      <c r="F36" s="22">
        <f t="shared" si="7"/>
        <v>3.6889534626374179</v>
      </c>
      <c r="G36" s="22">
        <f t="shared" si="7"/>
        <v>4.2030328870147109</v>
      </c>
      <c r="H36" s="22">
        <f t="shared" si="7"/>
        <v>5.0622547300526648</v>
      </c>
      <c r="I36" s="22">
        <f t="shared" si="7"/>
        <v>6.0943198154703913</v>
      </c>
      <c r="J36" s="22">
        <f t="shared" si="7"/>
        <v>5.4511106818974744</v>
      </c>
      <c r="K36" s="22">
        <f t="shared" si="7"/>
        <v>6.3864591905590951</v>
      </c>
      <c r="L36" s="22">
        <f t="shared" si="7"/>
        <v>4.8144407205765907</v>
      </c>
      <c r="M36" s="22">
        <f t="shared" si="7"/>
        <v>7.1793887277867414</v>
      </c>
      <c r="N36" s="22">
        <f t="shared" si="7"/>
        <v>5.0041579451128229</v>
      </c>
      <c r="O36" s="22">
        <f t="shared" si="7"/>
        <v>5.6920639553007772</v>
      </c>
      <c r="P36" s="22">
        <f t="shared" si="7"/>
        <v>6.2262340158870337</v>
      </c>
      <c r="Q36" s="22">
        <f t="shared" si="7"/>
        <v>6.7742498107168707</v>
      </c>
      <c r="R36" s="22">
        <f t="shared" si="7"/>
        <v>7.4073111943450272</v>
      </c>
      <c r="S36" s="22">
        <f t="shared" si="7"/>
        <v>7.6715968922553142</v>
      </c>
      <c r="T36" s="22">
        <f t="shared" si="7"/>
        <v>7.401275421821814</v>
      </c>
      <c r="U36" s="22">
        <f t="shared" si="7"/>
        <v>7.396562049509237</v>
      </c>
      <c r="V36" s="22">
        <f t="shared" si="7"/>
        <v>5.1791667298987045</v>
      </c>
      <c r="W36" s="22">
        <f t="shared" si="7"/>
        <v>6.5560366553222131</v>
      </c>
      <c r="X36" s="22">
        <f t="shared" si="7"/>
        <v>6.4328141350964163</v>
      </c>
      <c r="Y36" s="22">
        <f t="shared" si="7"/>
        <v>5.2966366750412499</v>
      </c>
      <c r="Z36" s="22">
        <f t="shared" si="7"/>
        <v>3.9984773030365064</v>
      </c>
      <c r="AA36" s="22">
        <f t="shared" si="7"/>
        <v>5.5027452129434815</v>
      </c>
      <c r="AB36" s="22">
        <f t="shared" si="7"/>
        <v>5.2836901100164955</v>
      </c>
      <c r="AC36" s="22">
        <f t="shared" si="7"/>
        <v>4.7760616177303872</v>
      </c>
      <c r="AD36" s="22">
        <f t="shared" si="7"/>
        <v>4.9836713828601962</v>
      </c>
      <c r="AE36" s="22">
        <f t="shared" si="7"/>
        <v>4.4037380503638559</v>
      </c>
      <c r="AF36" s="22">
        <f t="shared" si="7"/>
        <v>4.0768224233427732</v>
      </c>
      <c r="AG36" s="22">
        <f t="shared" si="7"/>
        <v>5.2062833435677041</v>
      </c>
      <c r="AH36" s="22">
        <f t="shared" ref="AH36:AJ39" si="8">LOG(AH6)</f>
        <v>5.2971934797774809</v>
      </c>
      <c r="AI36" s="22">
        <f t="shared" si="8"/>
        <v>5.3673074562767358</v>
      </c>
      <c r="AJ36" s="22">
        <f t="shared" si="8"/>
        <v>5.2314109669138418</v>
      </c>
      <c r="AK36" s="65">
        <f>MEDIAN(C36:AG36)</f>
        <v>5.4511106818974744</v>
      </c>
    </row>
    <row r="37" spans="1:37">
      <c r="A37" s="2" t="s">
        <v>139</v>
      </c>
      <c r="B37" s="2" t="s">
        <v>64</v>
      </c>
      <c r="C37" s="22">
        <f t="shared" ref="C37:AG37" si="9">LOG(C7)</f>
        <v>4.8724709493493741</v>
      </c>
      <c r="D37" s="22">
        <f t="shared" si="9"/>
        <v>3.1225435240687545</v>
      </c>
      <c r="E37" s="22">
        <f t="shared" si="9"/>
        <v>5.6717641546397051</v>
      </c>
      <c r="F37" s="22">
        <f t="shared" si="9"/>
        <v>2.6334684555795866</v>
      </c>
      <c r="G37" s="22">
        <f t="shared" si="9"/>
        <v>3.2211533219547053</v>
      </c>
      <c r="H37" s="22">
        <f t="shared" si="9"/>
        <v>4.1210343024722995</v>
      </c>
      <c r="I37" s="22">
        <f t="shared" si="9"/>
        <v>5.8398047452031472</v>
      </c>
      <c r="J37" s="22">
        <f t="shared" si="9"/>
        <v>4.5243182147609291</v>
      </c>
      <c r="K37" s="22">
        <f t="shared" si="9"/>
        <v>5.4044077624232445</v>
      </c>
      <c r="L37" s="22">
        <f t="shared" si="9"/>
        <v>3.8697009736738779</v>
      </c>
      <c r="M37" s="22">
        <f t="shared" si="9"/>
        <v>6.3113486129939016</v>
      </c>
      <c r="N37" s="22">
        <f t="shared" si="9"/>
        <v>4.1719311233559671</v>
      </c>
      <c r="O37" s="22">
        <f t="shared" si="9"/>
        <v>4.8665944864062345</v>
      </c>
      <c r="P37" s="22">
        <f t="shared" si="9"/>
        <v>5.251441100913314</v>
      </c>
      <c r="Q37" s="22">
        <f t="shared" si="9"/>
        <v>5.8023994552775626</v>
      </c>
      <c r="R37" s="22">
        <f t="shared" si="9"/>
        <v>6.5427461516483127</v>
      </c>
      <c r="S37" s="22">
        <f t="shared" si="9"/>
        <v>6.8803215322748317</v>
      </c>
      <c r="T37" s="22">
        <f t="shared" si="9"/>
        <v>6.5402056769627652</v>
      </c>
      <c r="U37" s="22">
        <f t="shared" si="9"/>
        <v>6.5360799501504516</v>
      </c>
      <c r="V37" s="22">
        <f t="shared" si="9"/>
        <v>4.2616910029349633</v>
      </c>
      <c r="W37" s="22">
        <f t="shared" si="9"/>
        <v>5.6006386106609876</v>
      </c>
      <c r="X37" s="22">
        <f t="shared" si="9"/>
        <v>5.488265793559834</v>
      </c>
      <c r="Y37" s="22">
        <f t="shared" si="9"/>
        <v>4.8929678809506028</v>
      </c>
      <c r="Z37" s="22">
        <f t="shared" si="9"/>
        <v>3.13640344813399</v>
      </c>
      <c r="AA37" s="22">
        <f t="shared" si="9"/>
        <v>4.5993917577937564</v>
      </c>
      <c r="AB37" s="22">
        <f t="shared" si="9"/>
        <v>3.9638822289287772</v>
      </c>
      <c r="AC37" s="22">
        <f t="shared" si="9"/>
        <v>3.8688207061975173</v>
      </c>
      <c r="AD37" s="22">
        <f t="shared" si="9"/>
        <v>4.0457531475941408</v>
      </c>
      <c r="AE37" s="22">
        <f t="shared" si="9"/>
        <v>3.4980347236870268</v>
      </c>
      <c r="AF37" s="22">
        <f t="shared" si="9"/>
        <v>3.1341771075767664</v>
      </c>
      <c r="AG37" s="22">
        <f t="shared" si="9"/>
        <v>4.2570062179123065</v>
      </c>
      <c r="AH37" s="22">
        <f t="shared" si="8"/>
        <v>4.3469589986735286</v>
      </c>
      <c r="AI37" s="22">
        <f t="shared" si="8"/>
        <v>4.3835281341697607</v>
      </c>
      <c r="AJ37" s="22">
        <f t="shared" si="8"/>
        <v>3.6203442997544935</v>
      </c>
      <c r="AK37" s="65">
        <f>MEDIAN(C37:AG37)</f>
        <v>4.5993917577937564</v>
      </c>
    </row>
    <row r="38" spans="1:37">
      <c r="A38" s="2" t="s">
        <v>140</v>
      </c>
      <c r="B38" s="2" t="s">
        <v>64</v>
      </c>
      <c r="C38" s="22">
        <f t="shared" ref="C38:AG38" si="10">LOG(C8)</f>
        <v>4.5693504968825192</v>
      </c>
      <c r="D38" s="22">
        <f t="shared" si="10"/>
        <v>2.6063813651106051</v>
      </c>
      <c r="E38" s="22">
        <f t="shared" si="10"/>
        <v>5.5306900843249096</v>
      </c>
      <c r="F38" s="22">
        <f t="shared" si="10"/>
        <v>2.5634810853944106</v>
      </c>
      <c r="G38" s="22">
        <f t="shared" si="10"/>
        <v>3.2624510897304293</v>
      </c>
      <c r="H38" s="22">
        <f t="shared" si="10"/>
        <v>4.1214613535459854</v>
      </c>
      <c r="I38" s="22">
        <f t="shared" si="10"/>
        <v>5.6992947351742842</v>
      </c>
      <c r="J38" s="22">
        <f t="shared" si="10"/>
        <v>4.5633861472626736</v>
      </c>
      <c r="K38" s="22">
        <f t="shared" si="10"/>
        <v>5.5696313664036445</v>
      </c>
      <c r="L38" s="22">
        <f t="shared" si="10"/>
        <v>3.9550620696750323</v>
      </c>
      <c r="M38" s="22">
        <f t="shared" si="10"/>
        <v>6.5326602504283082</v>
      </c>
      <c r="N38" s="22">
        <f t="shared" si="10"/>
        <v>4.2559716387287239</v>
      </c>
      <c r="O38" s="22">
        <f t="shared" si="10"/>
        <v>5.0900780886097552</v>
      </c>
      <c r="P38" s="22">
        <f t="shared" si="10"/>
        <v>5.5653176086769447</v>
      </c>
      <c r="Q38" s="22">
        <f t="shared" si="10"/>
        <v>5.9570289601169542</v>
      </c>
      <c r="R38" s="22">
        <f t="shared" si="10"/>
        <v>6.8401097344819588</v>
      </c>
      <c r="S38" s="22">
        <f t="shared" si="10"/>
        <v>7.1486811168345925</v>
      </c>
      <c r="T38" s="22">
        <f t="shared" si="10"/>
        <v>6.834692640750478</v>
      </c>
      <c r="U38" s="22">
        <f t="shared" si="10"/>
        <v>6.8331411172045549</v>
      </c>
      <c r="V38" s="22">
        <f t="shared" si="10"/>
        <v>5.8968501640972919</v>
      </c>
      <c r="W38" s="22">
        <f t="shared" si="10"/>
        <v>6.0699816819001979</v>
      </c>
      <c r="X38" s="22">
        <f t="shared" si="10"/>
        <v>5.9906717750659997</v>
      </c>
      <c r="Y38" s="22">
        <f t="shared" si="10"/>
        <v>5.2378678300805799</v>
      </c>
      <c r="Z38" s="22">
        <f t="shared" si="10"/>
        <v>3.332034277027518</v>
      </c>
      <c r="AA38" s="22">
        <f t="shared" si="10"/>
        <v>4.8460091021454801</v>
      </c>
      <c r="AB38" s="22">
        <f t="shared" si="10"/>
        <v>4.1754538262504832</v>
      </c>
      <c r="AC38" s="22">
        <f t="shared" si="10"/>
        <v>4.3246939138617746</v>
      </c>
      <c r="AD38" s="22">
        <f t="shared" si="10"/>
        <v>4.4337858297437993</v>
      </c>
      <c r="AE38" s="22">
        <f t="shared" si="10"/>
        <v>3.8532722240206834</v>
      </c>
      <c r="AF38" s="22">
        <f t="shared" si="10"/>
        <v>3.4954055631461931</v>
      </c>
      <c r="AG38" s="22">
        <f t="shared" si="10"/>
        <v>4.9241034646148458</v>
      </c>
      <c r="AH38" s="22">
        <f t="shared" si="8"/>
        <v>4.5984184075446084</v>
      </c>
      <c r="AI38" s="22">
        <f t="shared" si="8"/>
        <v>4.7245625731876926</v>
      </c>
      <c r="AJ38" s="22">
        <f t="shared" si="8"/>
        <v>4.0602822294383456</v>
      </c>
      <c r="AK38" s="65">
        <f>MEDIAN(C38:AG38)</f>
        <v>4.9241034646148458</v>
      </c>
    </row>
    <row r="39" spans="1:37">
      <c r="A39" s="2" t="s">
        <v>141</v>
      </c>
      <c r="B39" s="2" t="s">
        <v>65</v>
      </c>
      <c r="C39" s="22">
        <f t="shared" ref="C39:AG39" si="11">LOG(C9)</f>
        <v>4.8234807500595123</v>
      </c>
      <c r="D39" s="22">
        <f t="shared" si="11"/>
        <v>2.8299466959416359</v>
      </c>
      <c r="E39" s="22">
        <f t="shared" si="11"/>
        <v>5.5345286824418132</v>
      </c>
      <c r="F39" s="22">
        <f t="shared" si="11"/>
        <v>2.9469432706978256</v>
      </c>
      <c r="G39" s="22">
        <f t="shared" si="11"/>
        <v>3.443106456737266</v>
      </c>
      <c r="H39" s="22">
        <f t="shared" si="11"/>
        <v>4.3286038290803353</v>
      </c>
      <c r="I39" s="22">
        <f t="shared" si="11"/>
        <v>5.7457413436371345</v>
      </c>
      <c r="J39" s="22">
        <f t="shared" si="11"/>
        <v>4.6641999359383188</v>
      </c>
      <c r="K39" s="22">
        <f t="shared" si="11"/>
        <v>5.7074415718295661</v>
      </c>
      <c r="L39" s="22">
        <f t="shared" si="11"/>
        <v>4.0965276656064402</v>
      </c>
      <c r="M39" s="22">
        <f t="shared" si="11"/>
        <v>6.5275318191436735</v>
      </c>
      <c r="N39" s="22">
        <f t="shared" si="11"/>
        <v>4.3296215800192597</v>
      </c>
      <c r="O39" s="22">
        <f t="shared" si="11"/>
        <v>5.0592907150152318</v>
      </c>
      <c r="P39" s="22">
        <f t="shared" si="11"/>
        <v>5.4762808060255406</v>
      </c>
      <c r="Q39" s="22">
        <f t="shared" si="11"/>
        <v>6.0009370644152806</v>
      </c>
      <c r="R39" s="22">
        <f t="shared" si="11"/>
        <v>6.7832219594771157</v>
      </c>
      <c r="S39" s="22">
        <f t="shared" si="11"/>
        <v>7.0913059387602528</v>
      </c>
      <c r="T39" s="22">
        <f t="shared" si="11"/>
        <v>6.7762615106830539</v>
      </c>
      <c r="U39" s="22">
        <f t="shared" si="11"/>
        <v>6.7740503777912489</v>
      </c>
      <c r="V39" s="22">
        <f t="shared" si="11"/>
        <v>5.8066032048122258</v>
      </c>
      <c r="W39" s="22">
        <f t="shared" si="11"/>
        <v>5.9575143850299881</v>
      </c>
      <c r="X39" s="22">
        <f t="shared" si="11"/>
        <v>5.7655046391194373</v>
      </c>
      <c r="Y39" s="22">
        <f t="shared" si="11"/>
        <v>5.0042654708951053</v>
      </c>
      <c r="Z39" s="22">
        <f t="shared" si="11"/>
        <v>3.0406023401140732</v>
      </c>
      <c r="AA39" s="22">
        <f t="shared" si="11"/>
        <v>4.9260387459781958</v>
      </c>
      <c r="AB39" s="22">
        <f t="shared" si="11"/>
        <v>4.3243853564904269</v>
      </c>
      <c r="AC39" s="22">
        <f t="shared" si="11"/>
        <v>4.2425414282983844</v>
      </c>
      <c r="AD39" s="22">
        <f t="shared" si="11"/>
        <v>4.3691416126912843</v>
      </c>
      <c r="AE39" s="22">
        <f t="shared" si="11"/>
        <v>3.4656802115982779</v>
      </c>
      <c r="AF39" s="22">
        <f t="shared" si="11"/>
        <v>3.1568519010700111</v>
      </c>
      <c r="AG39" s="22">
        <f t="shared" si="11"/>
        <v>4.8513378601480364</v>
      </c>
      <c r="AH39" s="22">
        <f t="shared" si="8"/>
        <v>4.5363816588413934</v>
      </c>
      <c r="AI39" s="22">
        <f t="shared" si="8"/>
        <v>4.689228920267321</v>
      </c>
      <c r="AJ39" s="22">
        <f t="shared" si="8"/>
        <v>3.8801273222166248</v>
      </c>
      <c r="AK39" s="65">
        <f>MEDIAN(C39:AG39)</f>
        <v>4.9260387459781958</v>
      </c>
    </row>
    <row r="40" spans="1:37">
      <c r="A40" s="2" t="s">
        <v>148</v>
      </c>
      <c r="B40" s="2" t="s">
        <v>65</v>
      </c>
      <c r="C40" s="46">
        <f>LOG(C10)</f>
        <v>4.9934935447689837</v>
      </c>
      <c r="D40" s="46">
        <f t="shared" ref="D40:AJ40" si="12">LOG(D10)</f>
        <v>2.2988530764097068</v>
      </c>
      <c r="E40" s="46">
        <f t="shared" si="12"/>
        <v>6.4210098203945467</v>
      </c>
      <c r="F40" s="46">
        <f t="shared" si="12"/>
        <v>2.9666109866819341</v>
      </c>
      <c r="G40" s="46">
        <f t="shared" si="12"/>
        <v>3.5363058723510337</v>
      </c>
      <c r="H40" s="46">
        <f t="shared" si="12"/>
        <v>4.2676644317388588</v>
      </c>
      <c r="I40" s="46">
        <f t="shared" si="12"/>
        <v>6.2887851656891689</v>
      </c>
      <c r="J40" s="46">
        <f t="shared" si="12"/>
        <v>4.6390679305671059</v>
      </c>
      <c r="K40" s="46">
        <f t="shared" si="12"/>
        <v>5.7233711036286632</v>
      </c>
      <c r="L40" s="46">
        <f t="shared" si="12"/>
        <v>4.1190578375232372</v>
      </c>
      <c r="M40" s="46">
        <f t="shared" si="12"/>
        <v>6.632010822659395</v>
      </c>
      <c r="N40" s="46">
        <f t="shared" si="12"/>
        <v>4.361331125138534</v>
      </c>
      <c r="O40" s="46">
        <f t="shared" si="12"/>
        <v>5.0733223571737476</v>
      </c>
      <c r="P40" s="46">
        <f t="shared" si="12"/>
        <v>5.6109517237484603</v>
      </c>
      <c r="Q40" s="46">
        <f t="shared" si="12"/>
        <v>6.2348921941498476</v>
      </c>
      <c r="R40" s="46">
        <f t="shared" si="12"/>
        <v>6.9065830468846592</v>
      </c>
      <c r="S40" s="46">
        <f t="shared" si="12"/>
        <v>7.1960859717947505</v>
      </c>
      <c r="T40" s="46">
        <f t="shared" si="12"/>
        <v>6.8986902501866183</v>
      </c>
      <c r="U40" s="46">
        <f t="shared" si="12"/>
        <v>6.8960797891168211</v>
      </c>
      <c r="V40" s="46">
        <f t="shared" si="12"/>
        <v>4.6364878963533656</v>
      </c>
      <c r="W40" s="46">
        <f t="shared" si="12"/>
        <v>3.879611907065851</v>
      </c>
      <c r="X40" s="46">
        <f t="shared" si="12"/>
        <v>5.8409719369624167</v>
      </c>
      <c r="Y40" s="46">
        <f t="shared" si="12"/>
        <v>5.4581436051307399</v>
      </c>
      <c r="Z40" s="46">
        <f t="shared" si="12"/>
        <v>3.5245259366263757</v>
      </c>
      <c r="AA40" s="46">
        <f t="shared" si="12"/>
        <v>5.1900878644432904</v>
      </c>
      <c r="AB40" s="46">
        <f t="shared" si="12"/>
        <v>4.5814034618141006</v>
      </c>
      <c r="AC40" s="46">
        <f t="shared" si="12"/>
        <v>4.3983393759146123</v>
      </c>
      <c r="AD40" s="46">
        <f t="shared" si="12"/>
        <v>4.1588748984559967</v>
      </c>
      <c r="AE40" s="46">
        <f t="shared" si="12"/>
        <v>4.0351895089084477</v>
      </c>
      <c r="AF40" s="46">
        <f t="shared" si="12"/>
        <v>3.5149460053080044</v>
      </c>
      <c r="AG40" s="46">
        <f t="shared" si="12"/>
        <v>4.8396854033337027</v>
      </c>
      <c r="AH40" s="46">
        <f t="shared" si="12"/>
        <v>4.5973770254743753</v>
      </c>
      <c r="AI40" s="46">
        <f t="shared" si="12"/>
        <v>6.0098535575762426</v>
      </c>
      <c r="AJ40" s="46">
        <f t="shared" si="12"/>
        <v>4.789848538497786</v>
      </c>
      <c r="AK40" s="65">
        <f>MEDIAN(C40:AJ40)</f>
        <v>4.8147669709157448</v>
      </c>
    </row>
    <row r="41" spans="1:37">
      <c r="A41" s="2" t="s">
        <v>142</v>
      </c>
      <c r="B41" s="2" t="s">
        <v>65</v>
      </c>
      <c r="C41" s="22">
        <f t="shared" ref="C41:AG41" si="13">LOG(C11)</f>
        <v>5.1013242556804101</v>
      </c>
      <c r="D41" s="22">
        <f t="shared" si="13"/>
        <v>2.7435097647284299</v>
      </c>
      <c r="E41" s="22">
        <f t="shared" si="13"/>
        <v>5.907003211729303</v>
      </c>
      <c r="F41" s="22">
        <f t="shared" si="13"/>
        <v>2.9943171526696366</v>
      </c>
      <c r="G41" s="22">
        <f t="shared" si="13"/>
        <v>3.5200903281128424</v>
      </c>
      <c r="H41" s="22">
        <f t="shared" si="13"/>
        <v>4.4085452213154461</v>
      </c>
      <c r="I41" s="22">
        <f t="shared" si="13"/>
        <v>6.0581761573387736</v>
      </c>
      <c r="J41" s="22">
        <f t="shared" si="13"/>
        <v>4.8100442380941191</v>
      </c>
      <c r="K41" s="22">
        <f t="shared" si="13"/>
        <v>5.7178260557317717</v>
      </c>
      <c r="L41" s="22">
        <f t="shared" si="13"/>
        <v>4.1598377910711077</v>
      </c>
      <c r="M41" s="22">
        <f t="shared" si="13"/>
        <v>6.5637421768841033</v>
      </c>
      <c r="N41" s="22">
        <f t="shared" si="13"/>
        <v>4.4122757019358305</v>
      </c>
      <c r="O41" s="22">
        <f t="shared" si="13"/>
        <v>5.2881060771278889</v>
      </c>
      <c r="P41" s="22">
        <f t="shared" si="13"/>
        <v>5.4581299941311441</v>
      </c>
      <c r="Q41" s="22">
        <f t="shared" si="13"/>
        <v>5.8987361484833949</v>
      </c>
      <c r="R41" s="22">
        <f t="shared" si="13"/>
        <v>6.8333810322308182</v>
      </c>
      <c r="S41" s="22">
        <f t="shared" si="13"/>
        <v>7.1345064342654867</v>
      </c>
      <c r="T41" s="22">
        <f t="shared" si="13"/>
        <v>6.8271007288422725</v>
      </c>
      <c r="U41" s="22">
        <f t="shared" si="13"/>
        <v>6.8257098420310776</v>
      </c>
      <c r="V41" s="22">
        <f t="shared" si="13"/>
        <v>5.7498213115092485</v>
      </c>
      <c r="W41" s="22">
        <f t="shared" si="13"/>
        <v>5.8965510178622491</v>
      </c>
      <c r="X41" s="22">
        <f t="shared" si="13"/>
        <v>5.8043841227610899</v>
      </c>
      <c r="Y41" s="22">
        <f t="shared" si="13"/>
        <v>5.0329127568389955</v>
      </c>
      <c r="Z41" s="22">
        <f t="shared" si="13"/>
        <v>3.1598678470925665</v>
      </c>
      <c r="AA41" s="22">
        <f t="shared" si="13"/>
        <v>4.9317273141085431</v>
      </c>
      <c r="AB41" s="22">
        <f t="shared" si="13"/>
        <v>4.4960712762206372</v>
      </c>
      <c r="AC41" s="22">
        <f t="shared" si="13"/>
        <v>4.1777384504017192</v>
      </c>
      <c r="AD41" s="22">
        <f t="shared" si="13"/>
        <v>4.4044745057398531</v>
      </c>
      <c r="AE41" s="22">
        <f t="shared" si="13"/>
        <v>3.6374897295125108</v>
      </c>
      <c r="AF41" s="22">
        <f t="shared" si="13"/>
        <v>3.3552599055273786</v>
      </c>
      <c r="AG41" s="22">
        <f t="shared" si="13"/>
        <v>4.5609820555862353</v>
      </c>
      <c r="AH41" s="22">
        <f>LOG(AH11)</f>
        <v>4.7295535360847447</v>
      </c>
      <c r="AI41" s="22">
        <f>LOG(AI11)</f>
        <v>4.7369300776742911</v>
      </c>
      <c r="AJ41" s="22">
        <f>LOG(AJ11)</f>
        <v>3.951774508081725</v>
      </c>
      <c r="AK41" s="65">
        <f>MEDIAN(C41:AG41)</f>
        <v>5.0329127568389955</v>
      </c>
    </row>
    <row r="42" spans="1:37">
      <c r="B42" s="9" t="s">
        <v>51</v>
      </c>
      <c r="C42" s="29">
        <f t="shared" ref="C42:AJ42" si="14">AVERAGE(C36:C41)</f>
        <v>5.0059871793339354</v>
      </c>
      <c r="D42" s="29">
        <f t="shared" si="14"/>
        <v>2.7717697006573907</v>
      </c>
      <c r="E42" s="29">
        <f t="shared" si="14"/>
        <v>5.8804992029809791</v>
      </c>
      <c r="F42" s="29">
        <f t="shared" si="14"/>
        <v>2.965629068943469</v>
      </c>
      <c r="G42" s="29">
        <f t="shared" si="14"/>
        <v>3.5310233259834978</v>
      </c>
      <c r="H42" s="29">
        <f t="shared" si="14"/>
        <v>4.3849273113675986</v>
      </c>
      <c r="I42" s="29">
        <f t="shared" si="14"/>
        <v>5.9543536604188168</v>
      </c>
      <c r="J42" s="29">
        <f t="shared" si="14"/>
        <v>4.7753545247534364</v>
      </c>
      <c r="K42" s="29">
        <f t="shared" si="14"/>
        <v>5.7515228417626636</v>
      </c>
      <c r="L42" s="29">
        <f t="shared" si="14"/>
        <v>4.1691045096877142</v>
      </c>
      <c r="M42" s="29">
        <f t="shared" si="14"/>
        <v>6.6244470683160204</v>
      </c>
      <c r="N42" s="29">
        <f t="shared" si="14"/>
        <v>4.4225481857151898</v>
      </c>
      <c r="O42" s="29">
        <f t="shared" si="14"/>
        <v>5.1782426132722721</v>
      </c>
      <c r="P42" s="29">
        <f t="shared" si="14"/>
        <v>5.5980592082304064</v>
      </c>
      <c r="Q42" s="29">
        <f t="shared" si="14"/>
        <v>6.1113739388599848</v>
      </c>
      <c r="R42" s="29">
        <f t="shared" si="14"/>
        <v>6.885558853177983</v>
      </c>
      <c r="S42" s="29">
        <f t="shared" si="14"/>
        <v>7.1870829810308718</v>
      </c>
      <c r="T42" s="29">
        <f t="shared" si="14"/>
        <v>6.879704371541167</v>
      </c>
      <c r="U42" s="29">
        <f t="shared" si="14"/>
        <v>6.8769371876338967</v>
      </c>
      <c r="V42" s="29">
        <f t="shared" si="14"/>
        <v>5.2551033849342996</v>
      </c>
      <c r="W42" s="29">
        <f t="shared" si="14"/>
        <v>5.6600557096402477</v>
      </c>
      <c r="X42" s="29">
        <f t="shared" si="14"/>
        <v>5.8871020670942</v>
      </c>
      <c r="Y42" s="29">
        <f t="shared" si="14"/>
        <v>5.1537990364895458</v>
      </c>
      <c r="Z42" s="29">
        <f t="shared" si="14"/>
        <v>3.3653185253385054</v>
      </c>
      <c r="AA42" s="29">
        <f t="shared" si="14"/>
        <v>4.9993333329021246</v>
      </c>
      <c r="AB42" s="29">
        <f t="shared" si="14"/>
        <v>4.4708143766201536</v>
      </c>
      <c r="AC42" s="29">
        <f t="shared" si="14"/>
        <v>4.2980325820673988</v>
      </c>
      <c r="AD42" s="29">
        <f t="shared" si="14"/>
        <v>4.3992835628475451</v>
      </c>
      <c r="AE42" s="29">
        <f t="shared" si="14"/>
        <v>3.8155674080151338</v>
      </c>
      <c r="AF42" s="29">
        <f t="shared" si="14"/>
        <v>3.4555771509951878</v>
      </c>
      <c r="AG42" s="29">
        <f t="shared" si="14"/>
        <v>4.7732330575271389</v>
      </c>
      <c r="AH42" s="29">
        <f t="shared" si="14"/>
        <v>4.6843138510660216</v>
      </c>
      <c r="AI42" s="29">
        <f t="shared" si="14"/>
        <v>4.9852351198586744</v>
      </c>
      <c r="AJ42" s="29">
        <f t="shared" si="14"/>
        <v>4.2556313108171366</v>
      </c>
    </row>
    <row r="43" spans="1:37">
      <c r="B43" s="9" t="s">
        <v>52</v>
      </c>
      <c r="C43" s="29">
        <f t="shared" ref="C43:AJ43" si="15">_xlfn.STDEV.S(C36:C41)</f>
        <v>0.37408163859950089</v>
      </c>
      <c r="D43" s="29">
        <f t="shared" si="15"/>
        <v>0.29819252494229126</v>
      </c>
      <c r="E43" s="29">
        <f t="shared" si="15"/>
        <v>0.37212708109663561</v>
      </c>
      <c r="F43" s="29">
        <f t="shared" si="15"/>
        <v>0.39910524467161629</v>
      </c>
      <c r="G43" s="29">
        <f t="shared" si="15"/>
        <v>0.35429482842309895</v>
      </c>
      <c r="H43" s="29">
        <f t="shared" si="15"/>
        <v>0.35080107937215416</v>
      </c>
      <c r="I43" s="29">
        <f t="shared" si="15"/>
        <v>0.22974319366676044</v>
      </c>
      <c r="J43" s="29">
        <f t="shared" si="15"/>
        <v>0.34546460324902312</v>
      </c>
      <c r="K43" s="29">
        <f t="shared" si="15"/>
        <v>0.3348398740424226</v>
      </c>
      <c r="L43" s="29">
        <f t="shared" si="15"/>
        <v>0.33459629655871542</v>
      </c>
      <c r="M43" s="29">
        <f t="shared" si="15"/>
        <v>0.29242112366408568</v>
      </c>
      <c r="N43" s="29">
        <f t="shared" si="15"/>
        <v>0.29709088732335209</v>
      </c>
      <c r="O43" s="29">
        <f t="shared" si="15"/>
        <v>0.28500445780413303</v>
      </c>
      <c r="P43" s="29">
        <f t="shared" si="15"/>
        <v>0.3317818846152496</v>
      </c>
      <c r="Q43" s="29">
        <f t="shared" si="15"/>
        <v>0.35534769395099314</v>
      </c>
      <c r="R43" s="29">
        <f t="shared" si="15"/>
        <v>0.28476272851823869</v>
      </c>
      <c r="S43" s="29">
        <f t="shared" si="15"/>
        <v>0.26166757870444557</v>
      </c>
      <c r="T43" s="29">
        <f t="shared" si="15"/>
        <v>0.28395415555885539</v>
      </c>
      <c r="U43" s="29">
        <f t="shared" si="15"/>
        <v>0.28343892639420787</v>
      </c>
      <c r="V43" s="29">
        <f t="shared" si="15"/>
        <v>0.6835285605980076</v>
      </c>
      <c r="W43" s="29">
        <f t="shared" si="15"/>
        <v>0.92614722133262894</v>
      </c>
      <c r="X43" s="29">
        <f t="shared" si="15"/>
        <v>0.31348202512110557</v>
      </c>
      <c r="Y43" s="29">
        <f t="shared" si="15"/>
        <v>0.21218032003519641</v>
      </c>
      <c r="Z43" s="29">
        <f t="shared" si="15"/>
        <v>0.35423087767178413</v>
      </c>
      <c r="AA43" s="29">
        <f t="shared" si="15"/>
        <v>0.3108745939304175</v>
      </c>
      <c r="AB43" s="29">
        <f t="shared" si="15"/>
        <v>0.455915415334889</v>
      </c>
      <c r="AC43" s="29">
        <f t="shared" si="15"/>
        <v>0.29700397946472118</v>
      </c>
      <c r="AD43" s="29">
        <f t="shared" si="15"/>
        <v>0.32447344855048627</v>
      </c>
      <c r="AE43" s="29">
        <f t="shared" si="15"/>
        <v>0.36071039360840657</v>
      </c>
      <c r="AF43" s="29">
        <f t="shared" si="15"/>
        <v>0.34457363923596462</v>
      </c>
      <c r="AG43" s="29">
        <f t="shared" si="15"/>
        <v>0.32629782168868537</v>
      </c>
      <c r="AH43" s="29">
        <f t="shared" si="15"/>
        <v>0.32505271485742954</v>
      </c>
      <c r="AI43" s="29">
        <f t="shared" si="15"/>
        <v>0.59583533808465006</v>
      </c>
      <c r="AJ43" s="29">
        <f t="shared" si="15"/>
        <v>0.61848476709566635</v>
      </c>
    </row>
    <row r="44" spans="1:37">
      <c r="B44" s="9"/>
    </row>
    <row r="45" spans="1:37">
      <c r="B45" s="9"/>
    </row>
    <row r="46" spans="1:37">
      <c r="A46" s="3" t="s">
        <v>48</v>
      </c>
      <c r="B46" s="2"/>
    </row>
    <row r="47" spans="1:37">
      <c r="A47" s="2" t="s">
        <v>131</v>
      </c>
      <c r="B47" s="2" t="s">
        <v>66</v>
      </c>
      <c r="C47" s="35">
        <f>LOG(C18)</f>
        <v>4.5555539043496811</v>
      </c>
      <c r="D47" s="35">
        <f t="shared" ref="D47:AG47" si="16">LOG(D18)</f>
        <v>2.4456042032735974</v>
      </c>
      <c r="E47" s="35">
        <f t="shared" si="16"/>
        <v>5.8550967700623175</v>
      </c>
      <c r="F47" s="35">
        <f t="shared" si="16"/>
        <v>2.720159303405957</v>
      </c>
      <c r="G47" s="35">
        <f t="shared" si="16"/>
        <v>3.37984917876283</v>
      </c>
      <c r="H47" s="35">
        <f t="shared" si="16"/>
        <v>4.3388945514383552</v>
      </c>
      <c r="I47" s="35">
        <f t="shared" si="16"/>
        <v>5.8797597219613396</v>
      </c>
      <c r="J47" s="35">
        <f t="shared" si="16"/>
        <v>4.7787732934499276</v>
      </c>
      <c r="K47" s="35">
        <f t="shared" si="16"/>
        <v>5.8371949963199778</v>
      </c>
      <c r="L47" s="35">
        <f t="shared" si="16"/>
        <v>4.2065560440990293</v>
      </c>
      <c r="M47" s="35">
        <f t="shared" si="16"/>
        <v>6.5264869899433791</v>
      </c>
      <c r="N47" s="35">
        <f t="shared" si="16"/>
        <v>4.400762417606936</v>
      </c>
      <c r="O47" s="35">
        <f t="shared" si="16"/>
        <v>5.2715256410937492</v>
      </c>
      <c r="P47" s="35">
        <f t="shared" si="16"/>
        <v>5.4886761925571772</v>
      </c>
      <c r="Q47" s="35">
        <f t="shared" si="16"/>
        <v>5.8855020036244596</v>
      </c>
      <c r="R47" s="35">
        <f t="shared" si="16"/>
        <v>6.7752969001878389</v>
      </c>
      <c r="S47" s="35">
        <f t="shared" si="16"/>
        <v>7.1057105271366625</v>
      </c>
      <c r="T47" s="35">
        <f t="shared" si="16"/>
        <v>6.7663923217511792</v>
      </c>
      <c r="U47" s="35">
        <f t="shared" si="16"/>
        <v>6.7648625373969598</v>
      </c>
      <c r="V47" s="35">
        <f t="shared" si="16"/>
        <v>5.7494827743326322</v>
      </c>
      <c r="W47" s="35">
        <f t="shared" si="16"/>
        <v>5.8483781941328301</v>
      </c>
      <c r="X47" s="35">
        <f t="shared" si="16"/>
        <v>5.6536562324947841</v>
      </c>
      <c r="Y47" s="35">
        <f t="shared" si="16"/>
        <v>4.7100326990657537</v>
      </c>
      <c r="Z47" s="35">
        <f t="shared" si="16"/>
        <v>3.0170333392987803</v>
      </c>
      <c r="AA47" s="35">
        <f t="shared" si="16"/>
        <v>5.2338258102918198</v>
      </c>
      <c r="AB47" s="35">
        <f t="shared" si="16"/>
        <v>4.431990625786141</v>
      </c>
      <c r="AC47" s="35">
        <f t="shared" si="16"/>
        <v>4.4067785511909738</v>
      </c>
      <c r="AD47" s="35">
        <f t="shared" si="16"/>
        <v>4.7478932271464975</v>
      </c>
      <c r="AE47" s="35">
        <f t="shared" si="16"/>
        <v>3.1942367487238292</v>
      </c>
      <c r="AF47" s="35">
        <f t="shared" si="16"/>
        <v>2.8915374576725643</v>
      </c>
      <c r="AG47" s="35">
        <f t="shared" si="16"/>
        <v>5.2414244426396488</v>
      </c>
      <c r="AH47" s="35">
        <f t="shared" ref="AH47:AJ53" si="17">LOG(AH18)</f>
        <v>4.7356388146361157</v>
      </c>
      <c r="AI47" s="35">
        <f t="shared" si="17"/>
        <v>4.7437605483253522</v>
      </c>
      <c r="AJ47" s="35">
        <f t="shared" si="17"/>
        <v>4.0653182378037371</v>
      </c>
      <c r="AK47" s="65">
        <f t="shared" ref="AK47:AK53" si="18">MEDIAN(C47:AG47)</f>
        <v>5.2338258102918198</v>
      </c>
    </row>
    <row r="48" spans="1:37">
      <c r="A48" s="2" t="s">
        <v>132</v>
      </c>
      <c r="B48" s="2" t="s">
        <v>66</v>
      </c>
      <c r="C48" s="35">
        <f>LOG(C19)</f>
        <v>4.8510870438751486</v>
      </c>
      <c r="D48" s="66">
        <v>1</v>
      </c>
      <c r="E48" s="35">
        <f t="shared" ref="E48:AG48" si="19">LOG(E19)</f>
        <v>6.0272427541102847</v>
      </c>
      <c r="F48" s="35">
        <f t="shared" si="19"/>
        <v>3.2087100199064009</v>
      </c>
      <c r="G48" s="35">
        <f t="shared" si="19"/>
        <v>3.8774865280696016</v>
      </c>
      <c r="H48" s="35">
        <f t="shared" si="19"/>
        <v>4.7413722369066322</v>
      </c>
      <c r="I48" s="35">
        <f t="shared" si="19"/>
        <v>6.0139304383741008</v>
      </c>
      <c r="J48" s="35">
        <f t="shared" si="19"/>
        <v>5.1890605791431534</v>
      </c>
      <c r="K48" s="35">
        <f t="shared" si="19"/>
        <v>6.2126727839314277</v>
      </c>
      <c r="L48" s="35">
        <f t="shared" si="19"/>
        <v>4.6427216572370735</v>
      </c>
      <c r="M48" s="35">
        <f t="shared" si="19"/>
        <v>6.8816506876485555</v>
      </c>
      <c r="N48" s="35">
        <f t="shared" si="19"/>
        <v>4.8511543502653502</v>
      </c>
      <c r="O48" s="35">
        <f t="shared" si="19"/>
        <v>5.5046461760506062</v>
      </c>
      <c r="P48" s="35">
        <f t="shared" si="19"/>
        <v>5.9853712293892114</v>
      </c>
      <c r="Q48" s="35">
        <f t="shared" si="19"/>
        <v>6.3709761887403067</v>
      </c>
      <c r="R48" s="35">
        <f t="shared" si="19"/>
        <v>7.1553977150497223</v>
      </c>
      <c r="S48" s="35">
        <f t="shared" si="19"/>
        <v>7.4519685861574558</v>
      </c>
      <c r="T48" s="35">
        <f t="shared" si="19"/>
        <v>7.1431416019785896</v>
      </c>
      <c r="U48" s="35">
        <f t="shared" si="19"/>
        <v>7.139188481433199</v>
      </c>
      <c r="V48" s="35">
        <f t="shared" si="19"/>
        <v>4.8855873561896557</v>
      </c>
      <c r="W48" s="35">
        <f t="shared" si="19"/>
        <v>6.258766306955299</v>
      </c>
      <c r="X48" s="35">
        <f t="shared" si="19"/>
        <v>6.1174363624900767</v>
      </c>
      <c r="Y48" s="35">
        <f t="shared" si="19"/>
        <v>5.2753044426382916</v>
      </c>
      <c r="Z48" s="35">
        <f t="shared" si="19"/>
        <v>3.5880474969860829</v>
      </c>
      <c r="AA48" s="35">
        <f t="shared" si="19"/>
        <v>5.5729900300015789</v>
      </c>
      <c r="AB48" s="35">
        <f t="shared" si="19"/>
        <v>5.0651799649480713</v>
      </c>
      <c r="AC48" s="35">
        <f t="shared" si="19"/>
        <v>4.8148466686044635</v>
      </c>
      <c r="AD48" s="35">
        <f t="shared" si="19"/>
        <v>5.2930640819161363</v>
      </c>
      <c r="AE48" s="35">
        <f t="shared" si="19"/>
        <v>3.9625587357959637</v>
      </c>
      <c r="AF48" s="35">
        <f t="shared" si="19"/>
        <v>3.6513749439130434</v>
      </c>
      <c r="AG48" s="35">
        <f t="shared" si="19"/>
        <v>5.6807369821908678</v>
      </c>
      <c r="AH48" s="35">
        <f t="shared" si="17"/>
        <v>5.1716533339490596</v>
      </c>
      <c r="AI48" s="35">
        <f t="shared" si="17"/>
        <v>5.187244263647723</v>
      </c>
      <c r="AJ48" s="35">
        <f t="shared" si="17"/>
        <v>4.3999850561024507</v>
      </c>
      <c r="AK48" s="65">
        <f t="shared" si="18"/>
        <v>5.2930640819161363</v>
      </c>
    </row>
    <row r="49" spans="1:37">
      <c r="A49" s="2" t="s">
        <v>133</v>
      </c>
      <c r="B49" s="2" t="s">
        <v>66</v>
      </c>
      <c r="C49" s="35">
        <f>LOG(C20)</f>
        <v>4.2633046002872961</v>
      </c>
      <c r="D49" s="35">
        <f t="shared" ref="D49:Y49" si="20">LOG(D20)</f>
        <v>2.2671717284030137</v>
      </c>
      <c r="E49" s="35">
        <f t="shared" si="20"/>
        <v>5.5721871073166911</v>
      </c>
      <c r="F49" s="35">
        <f t="shared" si="20"/>
        <v>2.2227164711475833</v>
      </c>
      <c r="G49" s="35">
        <f t="shared" si="20"/>
        <v>3.0073209529227447</v>
      </c>
      <c r="H49" s="35">
        <f t="shared" si="20"/>
        <v>3.8958091501691308</v>
      </c>
      <c r="I49" s="35">
        <f t="shared" si="20"/>
        <v>5.710805088168633</v>
      </c>
      <c r="J49" s="35">
        <f t="shared" si="20"/>
        <v>4.3059529449605067</v>
      </c>
      <c r="K49" s="35">
        <f t="shared" si="20"/>
        <v>5.2848591767337636</v>
      </c>
      <c r="L49" s="35">
        <f t="shared" si="20"/>
        <v>3.6961815871685237</v>
      </c>
      <c r="M49" s="35">
        <f t="shared" si="20"/>
        <v>6.1910967830976826</v>
      </c>
      <c r="N49" s="35">
        <f t="shared" si="20"/>
        <v>4.0161555119514549</v>
      </c>
      <c r="O49" s="35">
        <f t="shared" si="20"/>
        <v>4.8967466156074053</v>
      </c>
      <c r="P49" s="35">
        <f t="shared" si="20"/>
        <v>4.9561924505235933</v>
      </c>
      <c r="Q49" s="35">
        <f t="shared" si="20"/>
        <v>5.5242169143170248</v>
      </c>
      <c r="R49" s="35">
        <f t="shared" si="20"/>
        <v>6.5276853117657394</v>
      </c>
      <c r="S49" s="35">
        <f t="shared" si="20"/>
        <v>6.8635605266869213</v>
      </c>
      <c r="T49" s="35">
        <f t="shared" si="20"/>
        <v>6.5251369713990428</v>
      </c>
      <c r="U49" s="35">
        <f t="shared" si="20"/>
        <v>6.5211698697573928</v>
      </c>
      <c r="V49" s="35">
        <f t="shared" si="20"/>
        <v>5.5089806124281919</v>
      </c>
      <c r="W49" s="35">
        <f t="shared" si="20"/>
        <v>5.6468084216280445</v>
      </c>
      <c r="X49" s="35">
        <f t="shared" si="20"/>
        <v>5.2496556549589828</v>
      </c>
      <c r="Y49" s="35">
        <f t="shared" si="20"/>
        <v>4.545665787120142</v>
      </c>
      <c r="Z49" s="66">
        <v>1</v>
      </c>
      <c r="AA49" s="35">
        <f t="shared" ref="AA49:AE50" si="21">LOG(AA20)</f>
        <v>4.630946277880625</v>
      </c>
      <c r="AB49" s="35">
        <f t="shared" si="21"/>
        <v>3.9486574321413204</v>
      </c>
      <c r="AC49" s="35">
        <f t="shared" si="21"/>
        <v>3.8609964367571958</v>
      </c>
      <c r="AD49" s="35">
        <f t="shared" si="21"/>
        <v>3.9728505558472302</v>
      </c>
      <c r="AE49" s="35">
        <f t="shared" si="21"/>
        <v>3.2603099457949201</v>
      </c>
      <c r="AF49" s="66">
        <v>1</v>
      </c>
      <c r="AG49" s="35">
        <f>LOG(AG20)</f>
        <v>4.0718083918331285</v>
      </c>
      <c r="AH49" s="35">
        <f t="shared" si="17"/>
        <v>4.3269704503249207</v>
      </c>
      <c r="AI49" s="35">
        <f t="shared" si="17"/>
        <v>4.3487331037982857</v>
      </c>
      <c r="AJ49" s="35">
        <f t="shared" si="17"/>
        <v>3.8635607645262424</v>
      </c>
      <c r="AK49" s="65">
        <f t="shared" si="18"/>
        <v>4.545665787120142</v>
      </c>
    </row>
    <row r="50" spans="1:37">
      <c r="A50" s="2" t="s">
        <v>134</v>
      </c>
      <c r="B50" s="2" t="s">
        <v>67</v>
      </c>
      <c r="C50" s="35">
        <f>LOG(C21)</f>
        <v>4.6329833909551814</v>
      </c>
      <c r="D50" s="35">
        <f t="shared" ref="D50:Y50" si="22">LOG(D21)</f>
        <v>2.1303337684950061</v>
      </c>
      <c r="E50" s="35">
        <f t="shared" si="22"/>
        <v>5.681200520359269</v>
      </c>
      <c r="F50" s="35">
        <f t="shared" si="22"/>
        <v>2.7979596437371961</v>
      </c>
      <c r="G50" s="35">
        <f t="shared" si="22"/>
        <v>3.4956830676169153</v>
      </c>
      <c r="H50" s="35">
        <f t="shared" si="22"/>
        <v>4.388580721974658</v>
      </c>
      <c r="I50" s="35">
        <f t="shared" si="22"/>
        <v>5.8486687320633362</v>
      </c>
      <c r="J50" s="35">
        <f t="shared" si="22"/>
        <v>4.8018083141321135</v>
      </c>
      <c r="K50" s="35">
        <f t="shared" si="22"/>
        <v>5.8354755900738535</v>
      </c>
      <c r="L50" s="35">
        <f t="shared" si="22"/>
        <v>4.2336812977263456</v>
      </c>
      <c r="M50" s="35">
        <f t="shared" si="22"/>
        <v>6.5636699505554539</v>
      </c>
      <c r="N50" s="35">
        <f t="shared" si="22"/>
        <v>4.4452304558478604</v>
      </c>
      <c r="O50" s="35">
        <f t="shared" si="22"/>
        <v>5.4667949848277164</v>
      </c>
      <c r="P50" s="35">
        <f t="shared" si="22"/>
        <v>5.4083383490107986</v>
      </c>
      <c r="Q50" s="35">
        <f t="shared" si="22"/>
        <v>5.766130166259126</v>
      </c>
      <c r="R50" s="35">
        <f t="shared" si="22"/>
        <v>6.9126803488131898</v>
      </c>
      <c r="S50" s="35">
        <f t="shared" si="22"/>
        <v>7.1985230121983239</v>
      </c>
      <c r="T50" s="35">
        <f t="shared" si="22"/>
        <v>6.9044052086286545</v>
      </c>
      <c r="U50" s="35">
        <f t="shared" si="22"/>
        <v>6.9025616179082467</v>
      </c>
      <c r="V50" s="35">
        <f t="shared" si="22"/>
        <v>5.8650696089159311</v>
      </c>
      <c r="W50" s="35">
        <f t="shared" si="22"/>
        <v>6.0232903301079475</v>
      </c>
      <c r="X50" s="35">
        <f t="shared" si="22"/>
        <v>5.8829534977820392</v>
      </c>
      <c r="Y50" s="35">
        <f t="shared" si="22"/>
        <v>4.6152133348013589</v>
      </c>
      <c r="Z50" s="35">
        <f>LOG(Z21)</f>
        <v>3.470704429722788</v>
      </c>
      <c r="AA50" s="35">
        <f t="shared" si="21"/>
        <v>5.1887232346387693</v>
      </c>
      <c r="AB50" s="35">
        <f t="shared" si="21"/>
        <v>4.5022222157664755</v>
      </c>
      <c r="AC50" s="35">
        <f t="shared" si="21"/>
        <v>4.3614634023667209</v>
      </c>
      <c r="AD50" s="35">
        <f t="shared" si="21"/>
        <v>4.750354088762708</v>
      </c>
      <c r="AE50" s="35">
        <f t="shared" si="21"/>
        <v>3.2234959409623944</v>
      </c>
      <c r="AF50" s="66">
        <v>1</v>
      </c>
      <c r="AG50" s="35">
        <f>LOG(AG21)</f>
        <v>5.1596183190759417</v>
      </c>
      <c r="AH50" s="35">
        <f t="shared" si="17"/>
        <v>4.8894865885385652</v>
      </c>
      <c r="AI50" s="35">
        <f t="shared" si="17"/>
        <v>4.8181334807011895</v>
      </c>
      <c r="AJ50" s="35">
        <f t="shared" si="17"/>
        <v>4.2779299466469194</v>
      </c>
      <c r="AK50" s="65">
        <f t="shared" si="18"/>
        <v>5.1596183190759417</v>
      </c>
    </row>
    <row r="51" spans="1:37">
      <c r="A51" s="2" t="s">
        <v>135</v>
      </c>
      <c r="B51" s="2" t="s">
        <v>67</v>
      </c>
      <c r="C51" s="35">
        <f t="shared" ref="C51:AG51" si="23">LOG(C22)</f>
        <v>4.8118965863976175</v>
      </c>
      <c r="D51" s="35">
        <f t="shared" si="23"/>
        <v>2.4563660331290431</v>
      </c>
      <c r="E51" s="35">
        <f t="shared" si="23"/>
        <v>6.4488370522305924</v>
      </c>
      <c r="F51" s="35">
        <f t="shared" si="23"/>
        <v>3.1089031276673134</v>
      </c>
      <c r="G51" s="35">
        <f t="shared" si="23"/>
        <v>3.6793370305207937</v>
      </c>
      <c r="H51" s="35">
        <f t="shared" si="23"/>
        <v>4.5818472988296373</v>
      </c>
      <c r="I51" s="35">
        <f t="shared" si="23"/>
        <v>6.2067400876554233</v>
      </c>
      <c r="J51" s="35">
        <f t="shared" si="23"/>
        <v>5.032771824693671</v>
      </c>
      <c r="K51" s="35">
        <f t="shared" si="23"/>
        <v>6.0894614101701992</v>
      </c>
      <c r="L51" s="35">
        <f t="shared" si="23"/>
        <v>4.5128310925475246</v>
      </c>
      <c r="M51" s="35">
        <f t="shared" si="23"/>
        <v>6.8415652422395814</v>
      </c>
      <c r="N51" s="35">
        <f t="shared" si="23"/>
        <v>4.7342155786289872</v>
      </c>
      <c r="O51" s="35">
        <f t="shared" si="23"/>
        <v>5.6725467048871714</v>
      </c>
      <c r="P51" s="35">
        <f t="shared" si="23"/>
        <v>5.7346038329784292</v>
      </c>
      <c r="Q51" s="35">
        <f t="shared" si="23"/>
        <v>6.1543308348090182</v>
      </c>
      <c r="R51" s="35">
        <f t="shared" si="23"/>
        <v>7.1875971104653438</v>
      </c>
      <c r="S51" s="35">
        <f t="shared" si="23"/>
        <v>7.4906996188383168</v>
      </c>
      <c r="T51" s="35">
        <f t="shared" si="23"/>
        <v>7.1773287391676472</v>
      </c>
      <c r="U51" s="35">
        <f t="shared" si="23"/>
        <v>7.1758199429434502</v>
      </c>
      <c r="V51" s="35">
        <f t="shared" si="23"/>
        <v>6.0602119140817976</v>
      </c>
      <c r="W51" s="35">
        <f t="shared" si="23"/>
        <v>6.2452818875642055</v>
      </c>
      <c r="X51" s="35">
        <f t="shared" si="23"/>
        <v>6.0061274601193624</v>
      </c>
      <c r="Y51" s="35">
        <f t="shared" si="23"/>
        <v>5.1139366708018725</v>
      </c>
      <c r="Z51" s="35">
        <f t="shared" si="23"/>
        <v>3.2221960463017201</v>
      </c>
      <c r="AA51" s="35">
        <f t="shared" si="23"/>
        <v>5.4836514736774173</v>
      </c>
      <c r="AB51" s="35">
        <f t="shared" si="23"/>
        <v>4.8645170140025922</v>
      </c>
      <c r="AC51" s="35">
        <f t="shared" si="23"/>
        <v>4.6573905323885372</v>
      </c>
      <c r="AD51" s="35">
        <f t="shared" si="23"/>
        <v>5.01400361401467</v>
      </c>
      <c r="AE51" s="35">
        <f t="shared" si="23"/>
        <v>3.7823292689968371</v>
      </c>
      <c r="AF51" s="35">
        <f t="shared" si="23"/>
        <v>3.6029277128591892</v>
      </c>
      <c r="AG51" s="35">
        <f t="shared" si="23"/>
        <v>5.4240563465366716</v>
      </c>
      <c r="AH51" s="35">
        <f t="shared" si="17"/>
        <v>5.1329765162378358</v>
      </c>
      <c r="AI51" s="35">
        <f t="shared" si="17"/>
        <v>5.1296737830547707</v>
      </c>
      <c r="AJ51" s="35">
        <f t="shared" si="17"/>
        <v>4.5329962938657591</v>
      </c>
      <c r="AK51" s="65">
        <f t="shared" si="18"/>
        <v>5.4240563465366716</v>
      </c>
    </row>
    <row r="52" spans="1:37">
      <c r="A52" s="2" t="s">
        <v>136</v>
      </c>
      <c r="B52" s="2" t="s">
        <v>67</v>
      </c>
      <c r="C52" s="35">
        <f t="shared" ref="C52:AE52" si="24">LOG(C23)</f>
        <v>4.4129474905873636</v>
      </c>
      <c r="D52" s="35">
        <f t="shared" si="24"/>
        <v>2.5289167002776547</v>
      </c>
      <c r="E52" s="35">
        <f t="shared" si="24"/>
        <v>5.6886120081779463</v>
      </c>
      <c r="F52" s="35">
        <f t="shared" si="24"/>
        <v>2.4099331233312946</v>
      </c>
      <c r="G52" s="35">
        <f t="shared" si="24"/>
        <v>3.0941215958405612</v>
      </c>
      <c r="H52" s="35">
        <f t="shared" si="24"/>
        <v>4.0890922558427194</v>
      </c>
      <c r="I52" s="35">
        <f t="shared" si="24"/>
        <v>5.8160078454126731</v>
      </c>
      <c r="J52" s="35">
        <f t="shared" si="24"/>
        <v>4.4543874671469554</v>
      </c>
      <c r="K52" s="35">
        <f t="shared" si="24"/>
        <v>5.4732825480876697</v>
      </c>
      <c r="L52" s="35">
        <f t="shared" si="24"/>
        <v>3.8149796837607566</v>
      </c>
      <c r="M52" s="35">
        <f t="shared" si="24"/>
        <v>6.1168215183129124</v>
      </c>
      <c r="N52" s="35">
        <f t="shared" si="24"/>
        <v>4.1228709228644354</v>
      </c>
      <c r="O52" s="35">
        <f t="shared" si="24"/>
        <v>4.9754593818867461</v>
      </c>
      <c r="P52" s="35">
        <f t="shared" si="24"/>
        <v>5.0392316374999728</v>
      </c>
      <c r="Q52" s="35">
        <f t="shared" si="24"/>
        <v>5.4638616470160972</v>
      </c>
      <c r="R52" s="35">
        <f t="shared" si="24"/>
        <v>6.4997120950613141</v>
      </c>
      <c r="S52" s="35">
        <f t="shared" si="24"/>
        <v>6.8741444561666096</v>
      </c>
      <c r="T52" s="35">
        <f t="shared" si="24"/>
        <v>6.4966447736628625</v>
      </c>
      <c r="U52" s="35">
        <f t="shared" si="24"/>
        <v>6.4968952074318418</v>
      </c>
      <c r="V52" s="35">
        <f t="shared" si="24"/>
        <v>5.4997585429194862</v>
      </c>
      <c r="W52" s="35">
        <f t="shared" si="24"/>
        <v>5.5648447154224678</v>
      </c>
      <c r="X52" s="35">
        <f t="shared" si="24"/>
        <v>5.4081551338862646</v>
      </c>
      <c r="Y52" s="35">
        <f t="shared" si="24"/>
        <v>4.5535553625368053</v>
      </c>
      <c r="Z52" s="35">
        <f t="shared" si="24"/>
        <v>2.8779469516291885</v>
      </c>
      <c r="AA52" s="35">
        <f t="shared" si="24"/>
        <v>4.6375597713612073</v>
      </c>
      <c r="AB52" s="35">
        <f t="shared" si="24"/>
        <v>4.2713768718940743</v>
      </c>
      <c r="AC52" s="35">
        <f t="shared" si="24"/>
        <v>3.8987251815894934</v>
      </c>
      <c r="AD52" s="35">
        <f t="shared" si="24"/>
        <v>4.1484175466913769</v>
      </c>
      <c r="AE52" s="35">
        <f t="shared" si="24"/>
        <v>3.2240148113728639</v>
      </c>
      <c r="AF52" s="66">
        <v>1</v>
      </c>
      <c r="AG52" s="35">
        <f>LOG(AG23)</f>
        <v>4.4167403336763602</v>
      </c>
      <c r="AH52" s="35">
        <f t="shared" si="17"/>
        <v>4.3987383762456114</v>
      </c>
      <c r="AI52" s="35">
        <f t="shared" si="17"/>
        <v>4.435478054171325</v>
      </c>
      <c r="AJ52" s="35">
        <f t="shared" si="17"/>
        <v>3.6492374723496073</v>
      </c>
      <c r="AK52" s="65">
        <f t="shared" si="18"/>
        <v>4.5535553625368053</v>
      </c>
    </row>
    <row r="53" spans="1:37">
      <c r="A53" s="2" t="s">
        <v>137</v>
      </c>
      <c r="B53" s="2" t="s">
        <v>68</v>
      </c>
      <c r="C53" s="35">
        <f t="shared" ref="C53:AG53" si="25">LOG(C24)</f>
        <v>4.4464594965946915</v>
      </c>
      <c r="D53" s="35">
        <f t="shared" si="25"/>
        <v>2.3201462861110542</v>
      </c>
      <c r="E53" s="35">
        <f t="shared" si="25"/>
        <v>5.691862696060606</v>
      </c>
      <c r="F53" s="35">
        <f t="shared" si="25"/>
        <v>2.2764618041732443</v>
      </c>
      <c r="G53" s="35">
        <f t="shared" si="25"/>
        <v>3.019116290447073</v>
      </c>
      <c r="H53" s="35">
        <f t="shared" si="25"/>
        <v>3.9361114316748544</v>
      </c>
      <c r="I53" s="35">
        <f t="shared" si="25"/>
        <v>5.8187469982424336</v>
      </c>
      <c r="J53" s="35">
        <f t="shared" si="25"/>
        <v>4.2484392081415105</v>
      </c>
      <c r="K53" s="35">
        <f t="shared" si="25"/>
        <v>5.2861150079282231</v>
      </c>
      <c r="L53" s="35">
        <f t="shared" si="25"/>
        <v>3.6305295714268242</v>
      </c>
      <c r="M53" s="35">
        <f t="shared" si="25"/>
        <v>6.0854475667564758</v>
      </c>
      <c r="N53" s="35">
        <f t="shared" si="25"/>
        <v>3.9723417163257482</v>
      </c>
      <c r="O53" s="35">
        <f t="shared" si="25"/>
        <v>4.6255696582430463</v>
      </c>
      <c r="P53" s="35">
        <f t="shared" si="25"/>
        <v>5.1213562722366204</v>
      </c>
      <c r="Q53" s="35">
        <f t="shared" si="25"/>
        <v>5.775262290448735</v>
      </c>
      <c r="R53" s="35">
        <f t="shared" si="25"/>
        <v>6.4844436310897038</v>
      </c>
      <c r="S53" s="35">
        <f t="shared" si="25"/>
        <v>6.8628571420052094</v>
      </c>
      <c r="T53" s="35">
        <f t="shared" si="25"/>
        <v>6.4841775077061756</v>
      </c>
      <c r="U53" s="35">
        <f t="shared" si="25"/>
        <v>6.4841775077061756</v>
      </c>
      <c r="V53" s="35">
        <f t="shared" si="25"/>
        <v>5.5069255937666632</v>
      </c>
      <c r="W53" s="35">
        <f t="shared" si="25"/>
        <v>5.5770549879025602</v>
      </c>
      <c r="X53" s="35">
        <f t="shared" si="25"/>
        <v>5.3735831683504536</v>
      </c>
      <c r="Y53" s="35">
        <f t="shared" si="25"/>
        <v>4.9650652273645148</v>
      </c>
      <c r="Z53" s="35">
        <f t="shared" si="25"/>
        <v>3.2615007731982804</v>
      </c>
      <c r="AA53" s="35">
        <f t="shared" si="25"/>
        <v>4.3517383455807597</v>
      </c>
      <c r="AB53" s="35">
        <f t="shared" si="25"/>
        <v>4.2053938526146792</v>
      </c>
      <c r="AC53" s="35">
        <f t="shared" si="25"/>
        <v>3.828788748184953</v>
      </c>
      <c r="AD53" s="35">
        <f t="shared" si="25"/>
        <v>3.8793826371743427</v>
      </c>
      <c r="AE53" s="35">
        <f t="shared" si="25"/>
        <v>3.5109469486729727</v>
      </c>
      <c r="AF53" s="35">
        <f t="shared" si="25"/>
        <v>3.0867156639448825</v>
      </c>
      <c r="AG53" s="35">
        <f t="shared" si="25"/>
        <v>4.4026052419199146</v>
      </c>
      <c r="AH53" s="35">
        <f t="shared" si="17"/>
        <v>4.0941915249095322</v>
      </c>
      <c r="AI53" s="35">
        <f t="shared" si="17"/>
        <v>4.3098004456017334</v>
      </c>
      <c r="AJ53" s="35">
        <f t="shared" si="17"/>
        <v>3.4166405073382808</v>
      </c>
      <c r="AK53" s="65">
        <f t="shared" si="18"/>
        <v>4.4464594965946915</v>
      </c>
    </row>
    <row r="54" spans="1:37">
      <c r="A54" s="2"/>
      <c r="B54" s="19" t="s">
        <v>51</v>
      </c>
      <c r="C54" s="29">
        <f>AVERAGE(C47:C53)</f>
        <v>4.5677475018638543</v>
      </c>
      <c r="D54" s="29">
        <f t="shared" ref="D54:AG54" si="26">AVERAGE(D47:D53)</f>
        <v>2.1640769599556244</v>
      </c>
      <c r="E54" s="29">
        <f t="shared" si="26"/>
        <v>5.852148415473958</v>
      </c>
      <c r="F54" s="29">
        <f t="shared" si="26"/>
        <v>2.6778347847669983</v>
      </c>
      <c r="G54" s="29">
        <f t="shared" si="26"/>
        <v>3.3647020920257886</v>
      </c>
      <c r="H54" s="29">
        <f t="shared" si="26"/>
        <v>4.2816725209765698</v>
      </c>
      <c r="I54" s="29">
        <f t="shared" si="26"/>
        <v>5.8992369874111343</v>
      </c>
      <c r="J54" s="29">
        <f t="shared" si="26"/>
        <v>4.6873133759525487</v>
      </c>
      <c r="K54" s="29">
        <f t="shared" si="26"/>
        <v>5.7170087876064448</v>
      </c>
      <c r="L54" s="29">
        <f t="shared" si="26"/>
        <v>4.1053544191380116</v>
      </c>
      <c r="M54" s="29">
        <f t="shared" si="26"/>
        <v>6.4581055340791478</v>
      </c>
      <c r="N54" s="29">
        <f t="shared" si="26"/>
        <v>4.3632472790701105</v>
      </c>
      <c r="O54" s="29">
        <f t="shared" si="26"/>
        <v>5.201898451799492</v>
      </c>
      <c r="P54" s="29">
        <f t="shared" si="26"/>
        <v>5.390538566313686</v>
      </c>
      <c r="Q54" s="29">
        <f t="shared" si="26"/>
        <v>5.8486114350306808</v>
      </c>
      <c r="R54" s="29">
        <f t="shared" si="26"/>
        <v>6.7918304446332645</v>
      </c>
      <c r="S54" s="29">
        <f t="shared" si="26"/>
        <v>7.1210662670270723</v>
      </c>
      <c r="T54" s="29">
        <f t="shared" si="26"/>
        <v>6.7853181606134507</v>
      </c>
      <c r="U54" s="29">
        <f t="shared" si="26"/>
        <v>6.7835250235110385</v>
      </c>
      <c r="V54" s="29">
        <f t="shared" si="26"/>
        <v>5.5822880575191931</v>
      </c>
      <c r="W54" s="29">
        <f t="shared" si="26"/>
        <v>5.8806321205304783</v>
      </c>
      <c r="X54" s="29">
        <f t="shared" si="26"/>
        <v>5.6702239300117094</v>
      </c>
      <c r="Y54" s="29">
        <f t="shared" si="26"/>
        <v>4.8255390749041061</v>
      </c>
      <c r="Z54" s="29">
        <f t="shared" si="26"/>
        <v>2.9196327195909766</v>
      </c>
      <c r="AA54" s="29">
        <f t="shared" si="26"/>
        <v>5.0142049919188825</v>
      </c>
      <c r="AB54" s="29">
        <f t="shared" si="26"/>
        <v>4.4699054253076218</v>
      </c>
      <c r="AC54" s="29">
        <f t="shared" si="26"/>
        <v>4.2612842172974768</v>
      </c>
      <c r="AD54" s="29">
        <f t="shared" si="26"/>
        <v>4.543709393078994</v>
      </c>
      <c r="AE54" s="29">
        <f t="shared" si="26"/>
        <v>3.4511274857599687</v>
      </c>
      <c r="AF54" s="29">
        <f t="shared" si="26"/>
        <v>2.318936539769954</v>
      </c>
      <c r="AG54" s="29">
        <f t="shared" si="26"/>
        <v>4.913855722553218</v>
      </c>
      <c r="AH54" s="29">
        <f>AVERAGE(AH47:AH53)</f>
        <v>4.6785222292630904</v>
      </c>
      <c r="AI54" s="29">
        <f>AVERAGE(AI47:AI53)</f>
        <v>4.7104033827571969</v>
      </c>
      <c r="AJ54" s="29">
        <f>AVERAGE(AJ47:AJ53)</f>
        <v>4.0293811826618571</v>
      </c>
    </row>
    <row r="55" spans="1:37">
      <c r="A55" s="2"/>
      <c r="B55" s="19" t="s">
        <v>52</v>
      </c>
      <c r="C55" s="29">
        <f>_xlfn.STDEV.S(C47:C53)</f>
        <v>0.21434154233584238</v>
      </c>
      <c r="D55" s="29">
        <f t="shared" ref="D55:AG55" si="27">_xlfn.STDEV.S(D47:D53)</f>
        <v>0.53056549464735381</v>
      </c>
      <c r="E55" s="29">
        <f t="shared" si="27"/>
        <v>0.30186675722912804</v>
      </c>
      <c r="F55" s="29">
        <f t="shared" si="27"/>
        <v>0.39240158581447065</v>
      </c>
      <c r="G55" s="29">
        <f t="shared" si="27"/>
        <v>0.34149014195854083</v>
      </c>
      <c r="H55" s="29">
        <f t="shared" si="27"/>
        <v>0.32184950318055666</v>
      </c>
      <c r="I55" s="29">
        <f t="shared" si="27"/>
        <v>0.16307542516592299</v>
      </c>
      <c r="J55" s="29">
        <f t="shared" si="27"/>
        <v>0.36167817084270859</v>
      </c>
      <c r="K55" s="29">
        <f t="shared" si="27"/>
        <v>0.37521284553615103</v>
      </c>
      <c r="L55" s="29">
        <f t="shared" si="27"/>
        <v>0.39973092491269807</v>
      </c>
      <c r="M55" s="29">
        <f t="shared" si="27"/>
        <v>0.33388973418230672</v>
      </c>
      <c r="N55" s="29">
        <f t="shared" si="27"/>
        <v>0.34517147011852084</v>
      </c>
      <c r="O55" s="29">
        <f t="shared" si="27"/>
        <v>0.37963387080398142</v>
      </c>
      <c r="P55" s="29">
        <f t="shared" si="27"/>
        <v>0.3800628993369452</v>
      </c>
      <c r="Q55" s="29">
        <f t="shared" si="27"/>
        <v>0.32484295244663886</v>
      </c>
      <c r="R55" s="29">
        <f t="shared" si="27"/>
        <v>0.30366728115072666</v>
      </c>
      <c r="S55" s="29">
        <f t="shared" si="27"/>
        <v>0.27273676103784367</v>
      </c>
      <c r="T55" s="29">
        <f t="shared" si="27"/>
        <v>0.29943337869448533</v>
      </c>
      <c r="U55" s="29">
        <f t="shared" si="27"/>
        <v>0.29874895026105958</v>
      </c>
      <c r="V55" s="29">
        <f t="shared" si="27"/>
        <v>0.37407378110788497</v>
      </c>
      <c r="W55" s="29">
        <f t="shared" si="27"/>
        <v>0.30108162761303398</v>
      </c>
      <c r="X55" s="29">
        <f t="shared" si="27"/>
        <v>0.33958601469760225</v>
      </c>
      <c r="Y55" s="29">
        <f t="shared" si="27"/>
        <v>0.29291991037661558</v>
      </c>
      <c r="Z55" s="29">
        <f t="shared" si="27"/>
        <v>0.88082263057416554</v>
      </c>
      <c r="AA55" s="29">
        <f t="shared" si="27"/>
        <v>0.47239135620285944</v>
      </c>
      <c r="AB55" s="29">
        <f t="shared" si="27"/>
        <v>0.38592560151616861</v>
      </c>
      <c r="AC55" s="29">
        <f t="shared" si="27"/>
        <v>0.40275463231238318</v>
      </c>
      <c r="AD55" s="29">
        <f t="shared" si="27"/>
        <v>0.54628558873440325</v>
      </c>
      <c r="AE55" s="29">
        <f t="shared" si="27"/>
        <v>0.31108288934605499</v>
      </c>
      <c r="AF55" s="29">
        <f t="shared" si="27"/>
        <v>1.262283830729656</v>
      </c>
      <c r="AG55" s="29">
        <f t="shared" si="27"/>
        <v>0.61014431821551207</v>
      </c>
      <c r="AH55" s="29">
        <f>_xlfn.STDEV.S(AH47:AH53)</f>
        <v>0.41649035208952473</v>
      </c>
      <c r="AI55" s="29">
        <f>_xlfn.STDEV.S(AI47:AI53)</f>
        <v>0.36119141024064483</v>
      </c>
      <c r="AJ55" s="29">
        <f>_xlfn.STDEV.S(AJ47:AJ53)</f>
        <v>0.40855439417730105</v>
      </c>
    </row>
    <row r="56" spans="1:37">
      <c r="A56" s="2"/>
      <c r="B56" s="9"/>
    </row>
    <row r="57" spans="1:37">
      <c r="A57" s="13" t="s">
        <v>54</v>
      </c>
      <c r="B57" s="14" t="s">
        <v>55</v>
      </c>
      <c r="C57" s="30">
        <f t="shared" ref="C57:AJ57" si="28">_xlfn.T.TEST(C36:C41,C47:C53,2,3)</f>
        <v>3.6046943146092879E-2</v>
      </c>
      <c r="D57" s="30">
        <f t="shared" si="28"/>
        <v>2.7636909604304184E-2</v>
      </c>
      <c r="E57" s="30">
        <f t="shared" si="28"/>
        <v>0.88444670286309102</v>
      </c>
      <c r="F57" s="30">
        <f t="shared" si="28"/>
        <v>0.21902773670247053</v>
      </c>
      <c r="G57" s="30">
        <f t="shared" si="28"/>
        <v>0.4099710581941004</v>
      </c>
      <c r="H57" s="30">
        <f t="shared" si="28"/>
        <v>0.59433384177039805</v>
      </c>
      <c r="I57" s="30">
        <f t="shared" si="28"/>
        <v>0.63527774369131185</v>
      </c>
      <c r="J57" s="30">
        <f t="shared" si="28"/>
        <v>0.66280643065907441</v>
      </c>
      <c r="K57" s="30">
        <f t="shared" si="28"/>
        <v>0.86409804042653549</v>
      </c>
      <c r="L57" s="30">
        <f t="shared" si="28"/>
        <v>0.76014188444813968</v>
      </c>
      <c r="M57" s="30">
        <f t="shared" si="28"/>
        <v>0.35889225436946082</v>
      </c>
      <c r="N57" s="30">
        <f t="shared" si="28"/>
        <v>0.74546690913951552</v>
      </c>
      <c r="O57" s="30">
        <f t="shared" si="28"/>
        <v>0.90044864233714739</v>
      </c>
      <c r="P57" s="30">
        <f t="shared" si="28"/>
        <v>0.31579442186897372</v>
      </c>
      <c r="Q57" s="30">
        <f t="shared" si="28"/>
        <v>0.19598771276175386</v>
      </c>
      <c r="R57" s="30">
        <f t="shared" si="28"/>
        <v>0.57781321071688829</v>
      </c>
      <c r="S57" s="30">
        <f t="shared" si="28"/>
        <v>0.66529691217053077</v>
      </c>
      <c r="T57" s="30">
        <f t="shared" si="28"/>
        <v>0.57206637026357454</v>
      </c>
      <c r="U57" s="30">
        <f t="shared" si="28"/>
        <v>0.57521089692012783</v>
      </c>
      <c r="V57" s="30">
        <f t="shared" si="28"/>
        <v>0.32819773560982357</v>
      </c>
      <c r="W57" s="30">
        <f t="shared" si="28"/>
        <v>0.59693851915662033</v>
      </c>
      <c r="X57" s="30">
        <f t="shared" si="28"/>
        <v>0.25682638605422448</v>
      </c>
      <c r="Y57" s="30">
        <f t="shared" si="28"/>
        <v>3.9997560373065795E-2</v>
      </c>
      <c r="Z57" s="30">
        <f t="shared" si="28"/>
        <v>0.25385102862864906</v>
      </c>
      <c r="AA57" s="30">
        <f t="shared" si="28"/>
        <v>0.94716052785828708</v>
      </c>
      <c r="AB57" s="30">
        <f t="shared" si="28"/>
        <v>0.99700938682772922</v>
      </c>
      <c r="AC57" s="30">
        <f t="shared" si="28"/>
        <v>0.85372804534000712</v>
      </c>
      <c r="AD57" s="30">
        <f t="shared" si="28"/>
        <v>0.56918087301422937</v>
      </c>
      <c r="AE57" s="30">
        <f t="shared" si="28"/>
        <v>8.1849746144909086E-2</v>
      </c>
      <c r="AF57" s="30">
        <f t="shared" si="28"/>
        <v>5.607886150997226E-2</v>
      </c>
      <c r="AG57" s="30">
        <f t="shared" si="28"/>
        <v>0.60970598293020495</v>
      </c>
      <c r="AH57" s="30">
        <f t="shared" si="28"/>
        <v>0.97806558657740106</v>
      </c>
      <c r="AI57" s="30">
        <f t="shared" si="28"/>
        <v>0.35339618675859347</v>
      </c>
      <c r="AJ57" s="30">
        <f t="shared" si="28"/>
        <v>0.46540970507544188</v>
      </c>
    </row>
    <row r="62" spans="1:37" ht="35" customHeight="1">
      <c r="A62" s="36" t="s">
        <v>147</v>
      </c>
    </row>
    <row r="63" spans="1:37" ht="20">
      <c r="A63" s="5" t="s">
        <v>77</v>
      </c>
      <c r="B63" s="6"/>
    </row>
    <row r="64" spans="1:37" s="54" customFormat="1" ht="62" customHeight="1">
      <c r="A64" s="54" t="s">
        <v>0</v>
      </c>
      <c r="B64" s="54" t="s">
        <v>1</v>
      </c>
      <c r="C64" s="67" t="s">
        <v>2</v>
      </c>
      <c r="D64" s="67" t="s">
        <v>3</v>
      </c>
      <c r="E64" s="54" t="s">
        <v>4</v>
      </c>
      <c r="F64" s="54" t="s">
        <v>5</v>
      </c>
      <c r="G64" s="54" t="s">
        <v>6</v>
      </c>
      <c r="H64" s="54" t="s">
        <v>7</v>
      </c>
      <c r="I64" s="54" t="s">
        <v>8</v>
      </c>
      <c r="J64" s="54" t="s">
        <v>9</v>
      </c>
      <c r="K64" s="54" t="s">
        <v>10</v>
      </c>
      <c r="L64" s="54" t="s">
        <v>11</v>
      </c>
      <c r="M64" s="54" t="s">
        <v>12</v>
      </c>
      <c r="N64" s="54" t="s">
        <v>13</v>
      </c>
      <c r="O64" s="54" t="s">
        <v>14</v>
      </c>
      <c r="P64" s="54" t="s">
        <v>15</v>
      </c>
      <c r="Q64" s="54" t="s">
        <v>17</v>
      </c>
      <c r="R64" s="54" t="s">
        <v>18</v>
      </c>
      <c r="S64" s="54" t="s">
        <v>19</v>
      </c>
      <c r="T64" s="54" t="s">
        <v>20</v>
      </c>
      <c r="U64" s="54" t="s">
        <v>21</v>
      </c>
      <c r="V64" s="54" t="s">
        <v>22</v>
      </c>
      <c r="W64" s="54" t="s">
        <v>23</v>
      </c>
      <c r="X64" s="54" t="s">
        <v>26</v>
      </c>
      <c r="Y64" s="54" t="s">
        <v>27</v>
      </c>
      <c r="Z64" s="54" t="s">
        <v>28</v>
      </c>
      <c r="AA64" s="76" t="s">
        <v>29</v>
      </c>
      <c r="AB64" s="54" t="s">
        <v>30</v>
      </c>
      <c r="AC64" s="54" t="s">
        <v>31</v>
      </c>
      <c r="AD64" s="77" t="s">
        <v>32</v>
      </c>
      <c r="AE64" s="54" t="s">
        <v>33</v>
      </c>
      <c r="AF64" s="76" t="s">
        <v>34</v>
      </c>
      <c r="AG64" s="76" t="s">
        <v>35</v>
      </c>
      <c r="AH64" s="76" t="s">
        <v>16</v>
      </c>
      <c r="AI64" s="54" t="s">
        <v>24</v>
      </c>
      <c r="AJ64" s="54" t="s">
        <v>25</v>
      </c>
      <c r="AK64" s="64" t="s">
        <v>53</v>
      </c>
    </row>
    <row r="65" spans="1:36">
      <c r="A65" s="28" t="s">
        <v>62</v>
      </c>
      <c r="B65" s="25"/>
    </row>
    <row r="66" spans="1:36">
      <c r="A66" s="2" t="s">
        <v>138</v>
      </c>
      <c r="B66" s="2" t="s">
        <v>64</v>
      </c>
      <c r="C66" s="22">
        <f>C36/$AK36</f>
        <v>1.0412195624850396</v>
      </c>
      <c r="D66" s="22">
        <f t="shared" ref="D66:AJ66" si="29">D36/$AK36</f>
        <v>0.55573697810713196</v>
      </c>
      <c r="E66" s="22">
        <f t="shared" si="29"/>
        <v>1.1406848305254329</v>
      </c>
      <c r="F66" s="22">
        <f t="shared" si="29"/>
        <v>0.67673428002260483</v>
      </c>
      <c r="G66" s="22">
        <f t="shared" si="29"/>
        <v>0.77104156057085949</v>
      </c>
      <c r="H66" s="22">
        <f t="shared" si="29"/>
        <v>0.92866482180665377</v>
      </c>
      <c r="I66" s="22">
        <f t="shared" si="29"/>
        <v>1.1179959775370076</v>
      </c>
      <c r="J66" s="22">
        <f t="shared" si="29"/>
        <v>1</v>
      </c>
      <c r="K66" s="22">
        <f t="shared" si="29"/>
        <v>1.1715886106968636</v>
      </c>
      <c r="L66" s="22">
        <f t="shared" si="29"/>
        <v>0.88320362610959391</v>
      </c>
      <c r="M66" s="22">
        <f t="shared" si="29"/>
        <v>1.3170506244954232</v>
      </c>
      <c r="N66" s="22">
        <f t="shared" si="29"/>
        <v>0.918007033269581</v>
      </c>
      <c r="O66" s="22">
        <f t="shared" si="29"/>
        <v>1.0442026015365056</v>
      </c>
      <c r="P66" s="22">
        <f t="shared" si="29"/>
        <v>1.1421954862453365</v>
      </c>
      <c r="Q66" s="22">
        <f t="shared" si="29"/>
        <v>1.2427283550145831</v>
      </c>
      <c r="R66" s="22">
        <f t="shared" si="29"/>
        <v>1.3588627394677335</v>
      </c>
      <c r="S66" s="22">
        <f t="shared" si="29"/>
        <v>1.4073456475084656</v>
      </c>
      <c r="T66" s="22">
        <f t="shared" si="29"/>
        <v>1.357755483923784</v>
      </c>
      <c r="U66" s="22">
        <f t="shared" si="29"/>
        <v>1.3568908211811563</v>
      </c>
      <c r="V66" s="22">
        <f t="shared" si="29"/>
        <v>0.95011219403380209</v>
      </c>
      <c r="W66" s="22">
        <f t="shared" si="29"/>
        <v>1.2026974020347951</v>
      </c>
      <c r="X66" s="22">
        <f t="shared" si="29"/>
        <v>1.1800923720846594</v>
      </c>
      <c r="Y66" s="22">
        <f t="shared" si="29"/>
        <v>0.97166192068540902</v>
      </c>
      <c r="Z66" s="22">
        <f t="shared" si="29"/>
        <v>0.73351607339674829</v>
      </c>
      <c r="AA66" s="22">
        <f t="shared" si="29"/>
        <v>1.0094722954750266</v>
      </c>
      <c r="AB66" s="22">
        <f t="shared" si="29"/>
        <v>0.96928688818648212</v>
      </c>
      <c r="AC66" s="22">
        <f t="shared" si="29"/>
        <v>0.87616302372856802</v>
      </c>
      <c r="AD66" s="22">
        <f t="shared" si="29"/>
        <v>0.91424879693057937</v>
      </c>
      <c r="AE66" s="22">
        <f t="shared" si="29"/>
        <v>0.8078606924985352</v>
      </c>
      <c r="AF66" s="22">
        <f t="shared" si="29"/>
        <v>0.74788839582389</v>
      </c>
      <c r="AG66" s="22">
        <f t="shared" si="29"/>
        <v>0.95508670569782883</v>
      </c>
      <c r="AH66" s="22">
        <f t="shared" si="29"/>
        <v>0.97176406587539399</v>
      </c>
      <c r="AI66" s="22">
        <f t="shared" si="29"/>
        <v>0.98462639441553812</v>
      </c>
      <c r="AJ66" s="22">
        <f t="shared" si="29"/>
        <v>0.95969633936929022</v>
      </c>
    </row>
    <row r="67" spans="1:36">
      <c r="A67" s="2" t="s">
        <v>139</v>
      </c>
      <c r="B67" s="2" t="s">
        <v>64</v>
      </c>
      <c r="C67" s="22">
        <f t="shared" ref="C67:AJ67" si="30">C37/$AK37</f>
        <v>1.0593728923162242</v>
      </c>
      <c r="D67" s="22">
        <f t="shared" si="30"/>
        <v>0.67890357866940676</v>
      </c>
      <c r="E67" s="22">
        <f t="shared" si="30"/>
        <v>1.2331552634169058</v>
      </c>
      <c r="F67" s="22">
        <f t="shared" si="30"/>
        <v>0.5725688513306405</v>
      </c>
      <c r="G67" s="22">
        <f t="shared" si="30"/>
        <v>0.70034332615750772</v>
      </c>
      <c r="H67" s="22">
        <f t="shared" si="30"/>
        <v>0.89599549668477985</v>
      </c>
      <c r="I67" s="22">
        <f t="shared" si="30"/>
        <v>1.2696906575325939</v>
      </c>
      <c r="J67" s="22">
        <f t="shared" si="30"/>
        <v>0.98367750629077988</v>
      </c>
      <c r="K67" s="22">
        <f t="shared" si="30"/>
        <v>1.1750266224366239</v>
      </c>
      <c r="L67" s="22">
        <f t="shared" si="30"/>
        <v>0.84135059100295084</v>
      </c>
      <c r="M67" s="22">
        <f t="shared" si="30"/>
        <v>1.3722137502853942</v>
      </c>
      <c r="N67" s="22">
        <f t="shared" si="30"/>
        <v>0.90706148618163496</v>
      </c>
      <c r="O67" s="22">
        <f t="shared" si="30"/>
        <v>1.0580952314313514</v>
      </c>
      <c r="P67" s="22">
        <f t="shared" si="30"/>
        <v>1.141768602775497</v>
      </c>
      <c r="Q67" s="22">
        <f t="shared" si="30"/>
        <v>1.2615579974124376</v>
      </c>
      <c r="R67" s="22">
        <f t="shared" si="30"/>
        <v>1.4225242154164202</v>
      </c>
      <c r="S67" s="22">
        <f t="shared" si="30"/>
        <v>1.4959198725822815</v>
      </c>
      <c r="T67" s="22">
        <f t="shared" si="30"/>
        <v>1.4219718652755036</v>
      </c>
      <c r="U67" s="22">
        <f t="shared" si="30"/>
        <v>1.4210748495330803</v>
      </c>
      <c r="V67" s="22">
        <f t="shared" si="30"/>
        <v>0.92657708396190586</v>
      </c>
      <c r="W67" s="22">
        <f t="shared" si="30"/>
        <v>1.2176911438714912</v>
      </c>
      <c r="X67" s="22">
        <f t="shared" si="30"/>
        <v>1.1932590400154246</v>
      </c>
      <c r="Y67" s="22">
        <f t="shared" si="30"/>
        <v>1.0638293362724269</v>
      </c>
      <c r="Z67" s="22">
        <f t="shared" si="30"/>
        <v>0.68191700409500777</v>
      </c>
      <c r="AA67" s="22">
        <f t="shared" si="30"/>
        <v>1</v>
      </c>
      <c r="AB67" s="22">
        <f t="shared" si="30"/>
        <v>0.86182748451725244</v>
      </c>
      <c r="AC67" s="22">
        <f t="shared" si="30"/>
        <v>0.84115920320153792</v>
      </c>
      <c r="AD67" s="22">
        <f t="shared" si="30"/>
        <v>0.879627863997133</v>
      </c>
      <c r="AE67" s="22">
        <f t="shared" si="30"/>
        <v>0.76054289521207685</v>
      </c>
      <c r="AF67" s="22">
        <f t="shared" si="30"/>
        <v>0.68143295301293783</v>
      </c>
      <c r="AG67" s="22">
        <f t="shared" si="30"/>
        <v>0.92555851775372877</v>
      </c>
      <c r="AH67" s="22">
        <f t="shared" si="30"/>
        <v>0.94511605611927363</v>
      </c>
      <c r="AI67" s="22">
        <f t="shared" si="30"/>
        <v>0.95306691949903799</v>
      </c>
      <c r="AJ67" s="22">
        <f t="shared" si="30"/>
        <v>0.78713544972979343</v>
      </c>
    </row>
    <row r="68" spans="1:36">
      <c r="A68" s="2" t="s">
        <v>140</v>
      </c>
      <c r="B68" s="2" t="s">
        <v>64</v>
      </c>
      <c r="C68" s="22">
        <f t="shared" ref="C68:AJ68" si="31">C38/$AK38</f>
        <v>0.92795582581039959</v>
      </c>
      <c r="D68" s="22">
        <f t="shared" si="31"/>
        <v>0.5293108448756918</v>
      </c>
      <c r="E68" s="22">
        <f t="shared" si="31"/>
        <v>1.1231872205913345</v>
      </c>
      <c r="F68" s="22">
        <f t="shared" si="31"/>
        <v>0.52059854221501844</v>
      </c>
      <c r="G68" s="22">
        <f t="shared" si="31"/>
        <v>0.66254722573860703</v>
      </c>
      <c r="H68" s="22">
        <f t="shared" si="31"/>
        <v>0.83699730989879972</v>
      </c>
      <c r="I68" s="22">
        <f t="shared" si="31"/>
        <v>1.1574279005569337</v>
      </c>
      <c r="J68" s="22">
        <f t="shared" si="31"/>
        <v>0.92674456986041687</v>
      </c>
      <c r="K68" s="22">
        <f t="shared" si="31"/>
        <v>1.1310955195047452</v>
      </c>
      <c r="L68" s="22">
        <f t="shared" si="31"/>
        <v>0.80320450171214874</v>
      </c>
      <c r="M68" s="22">
        <f t="shared" si="31"/>
        <v>1.3266699811189449</v>
      </c>
      <c r="N68" s="22">
        <f t="shared" si="31"/>
        <v>0.86431401559951138</v>
      </c>
      <c r="O68" s="22">
        <f t="shared" si="31"/>
        <v>1.0337065671319909</v>
      </c>
      <c r="P68" s="22">
        <f t="shared" si="31"/>
        <v>1.1302194701370381</v>
      </c>
      <c r="Q68" s="22">
        <f t="shared" si="31"/>
        <v>1.2097692509763098</v>
      </c>
      <c r="R68" s="22">
        <f t="shared" si="31"/>
        <v>1.3891076383012151</v>
      </c>
      <c r="S68" s="22">
        <f t="shared" si="31"/>
        <v>1.4517731335675232</v>
      </c>
      <c r="T68" s="22">
        <f t="shared" si="31"/>
        <v>1.3880075205294402</v>
      </c>
      <c r="U68" s="22">
        <f t="shared" si="31"/>
        <v>1.3876924330100424</v>
      </c>
      <c r="V68" s="22">
        <f t="shared" si="31"/>
        <v>1.1975479813681236</v>
      </c>
      <c r="W68" s="22">
        <f t="shared" si="31"/>
        <v>1.2327079894887993</v>
      </c>
      <c r="X68" s="22">
        <f t="shared" si="31"/>
        <v>1.2166015231230685</v>
      </c>
      <c r="Y68" s="22">
        <f t="shared" si="31"/>
        <v>1.0637201000589203</v>
      </c>
      <c r="Z68" s="22">
        <f t="shared" si="31"/>
        <v>0.67667836408635318</v>
      </c>
      <c r="AA68" s="22">
        <f t="shared" si="31"/>
        <v>0.98414038960989336</v>
      </c>
      <c r="AB68" s="22">
        <f t="shared" si="31"/>
        <v>0.84796224454984714</v>
      </c>
      <c r="AC68" s="22">
        <f t="shared" si="31"/>
        <v>0.87827031762015262</v>
      </c>
      <c r="AD68" s="22">
        <f t="shared" si="31"/>
        <v>0.9004249934237728</v>
      </c>
      <c r="AE68" s="22">
        <f t="shared" si="31"/>
        <v>0.78253274970981523</v>
      </c>
      <c r="AF68" s="22">
        <f t="shared" si="31"/>
        <v>0.70985623845326673</v>
      </c>
      <c r="AG68" s="22">
        <f t="shared" si="31"/>
        <v>1</v>
      </c>
      <c r="AH68" s="22">
        <f t="shared" si="31"/>
        <v>0.93385901425292006</v>
      </c>
      <c r="AI68" s="22">
        <f t="shared" si="31"/>
        <v>0.95947670619411707</v>
      </c>
      <c r="AJ68" s="22">
        <f t="shared" si="31"/>
        <v>0.82457289100766962</v>
      </c>
    </row>
    <row r="69" spans="1:36">
      <c r="A69" s="2" t="s">
        <v>141</v>
      </c>
      <c r="B69" s="2" t="s">
        <v>65</v>
      </c>
      <c r="C69" s="22">
        <f t="shared" ref="C69:AJ69" si="32">C39/$AK39</f>
        <v>0.97918043255294818</v>
      </c>
      <c r="D69" s="22">
        <f t="shared" si="32"/>
        <v>0.57448729940504661</v>
      </c>
      <c r="E69" s="22">
        <f t="shared" si="32"/>
        <v>1.1235252030773026</v>
      </c>
      <c r="F69" s="22">
        <f t="shared" si="32"/>
        <v>0.59823793978555717</v>
      </c>
      <c r="G69" s="22">
        <f t="shared" si="32"/>
        <v>0.69896049022114337</v>
      </c>
      <c r="H69" s="22">
        <f t="shared" si="32"/>
        <v>0.87871899761534988</v>
      </c>
      <c r="I69" s="22">
        <f t="shared" si="32"/>
        <v>1.166401979344595</v>
      </c>
      <c r="J69" s="22">
        <f t="shared" si="32"/>
        <v>0.94684597025274064</v>
      </c>
      <c r="K69" s="22">
        <f t="shared" si="32"/>
        <v>1.1586270157719196</v>
      </c>
      <c r="L69" s="22">
        <f t="shared" si="32"/>
        <v>0.83160687052065929</v>
      </c>
      <c r="M69" s="22">
        <f t="shared" si="32"/>
        <v>1.3251076891088194</v>
      </c>
      <c r="N69" s="22">
        <f t="shared" si="32"/>
        <v>0.87892560397624286</v>
      </c>
      <c r="O69" s="22">
        <f t="shared" si="32"/>
        <v>1.0270505320620607</v>
      </c>
      <c r="P69" s="22">
        <f t="shared" si="32"/>
        <v>1.1117007170308157</v>
      </c>
      <c r="Q69" s="22">
        <f t="shared" si="32"/>
        <v>1.2182074429103247</v>
      </c>
      <c r="R69" s="22">
        <f t="shared" si="32"/>
        <v>1.3770135212629406</v>
      </c>
      <c r="S69" s="22">
        <f t="shared" si="32"/>
        <v>1.4395554530605068</v>
      </c>
      <c r="T69" s="22">
        <f t="shared" si="32"/>
        <v>1.3756005301857299</v>
      </c>
      <c r="U69" s="22">
        <f t="shared" si="32"/>
        <v>1.3751516638641625</v>
      </c>
      <c r="V69" s="22">
        <f t="shared" si="32"/>
        <v>1.178757111797579</v>
      </c>
      <c r="W69" s="22">
        <f t="shared" si="32"/>
        <v>1.2093925143999178</v>
      </c>
      <c r="X69" s="22">
        <f t="shared" si="32"/>
        <v>1.1704139850354636</v>
      </c>
      <c r="Y69" s="22">
        <f t="shared" si="32"/>
        <v>1.0158802496185757</v>
      </c>
      <c r="Z69" s="22">
        <f t="shared" si="32"/>
        <v>0.61725099961841268</v>
      </c>
      <c r="AA69" s="22">
        <f t="shared" si="32"/>
        <v>1</v>
      </c>
      <c r="AB69" s="22">
        <f t="shared" si="32"/>
        <v>0.87786263557529232</v>
      </c>
      <c r="AC69" s="22">
        <f t="shared" si="32"/>
        <v>0.8612480833128151</v>
      </c>
      <c r="AD69" s="22">
        <f t="shared" si="32"/>
        <v>0.88694828400576764</v>
      </c>
      <c r="AE69" s="22">
        <f t="shared" si="32"/>
        <v>0.70354302723010254</v>
      </c>
      <c r="AF69" s="22">
        <f t="shared" si="32"/>
        <v>0.64084999405402243</v>
      </c>
      <c r="AG69" s="22">
        <f t="shared" si="32"/>
        <v>0.98483550583292756</v>
      </c>
      <c r="AH69" s="22">
        <f t="shared" si="32"/>
        <v>0.92089849324572748</v>
      </c>
      <c r="AI69" s="22">
        <f t="shared" si="32"/>
        <v>0.95192692588863304</v>
      </c>
      <c r="AJ69" s="22">
        <f t="shared" si="32"/>
        <v>0.78767697988256946</v>
      </c>
    </row>
    <row r="70" spans="1:36">
      <c r="A70" s="2" t="s">
        <v>148</v>
      </c>
      <c r="B70" s="2" t="s">
        <v>65</v>
      </c>
      <c r="C70" s="22">
        <f t="shared" ref="C70:AJ70" si="33">C40/$AK40</f>
        <v>1.0371205034289013</v>
      </c>
      <c r="D70" s="22">
        <f t="shared" si="33"/>
        <v>0.47745884490282536</v>
      </c>
      <c r="E70" s="22">
        <f t="shared" si="33"/>
        <v>1.3336075991177829</v>
      </c>
      <c r="F70" s="22">
        <f t="shared" si="33"/>
        <v>0.61614840439883212</v>
      </c>
      <c r="G70" s="22">
        <f t="shared" si="33"/>
        <v>0.73447082563134847</v>
      </c>
      <c r="H70" s="22">
        <f t="shared" si="33"/>
        <v>0.88636988197316025</v>
      </c>
      <c r="I70" s="22">
        <f t="shared" si="33"/>
        <v>1.3061452825603881</v>
      </c>
      <c r="J70" s="22">
        <f t="shared" si="33"/>
        <v>0.96350829823956741</v>
      </c>
      <c r="K70" s="22">
        <f t="shared" si="33"/>
        <v>1.1887119642968114</v>
      </c>
      <c r="L70" s="22">
        <f t="shared" si="33"/>
        <v>0.85550512878504126</v>
      </c>
      <c r="M70" s="22">
        <f t="shared" si="33"/>
        <v>1.3774313196715353</v>
      </c>
      <c r="N70" s="22">
        <f t="shared" si="33"/>
        <v>0.90582392699039194</v>
      </c>
      <c r="O70" s="22">
        <f t="shared" si="33"/>
        <v>1.0537004984498402</v>
      </c>
      <c r="P70" s="22">
        <f t="shared" si="33"/>
        <v>1.1653630918468489</v>
      </c>
      <c r="Q70" s="22">
        <f t="shared" si="33"/>
        <v>1.2949520157076266</v>
      </c>
      <c r="R70" s="22">
        <f t="shared" si="33"/>
        <v>1.4344584252165917</v>
      </c>
      <c r="S70" s="22">
        <f t="shared" si="33"/>
        <v>1.4945865532566138</v>
      </c>
      <c r="T70" s="22">
        <f t="shared" si="33"/>
        <v>1.432819135766922</v>
      </c>
      <c r="U70" s="22">
        <f t="shared" si="33"/>
        <v>1.4322769576956744</v>
      </c>
      <c r="V70" s="22">
        <f t="shared" si="33"/>
        <v>0.96297243965506574</v>
      </c>
      <c r="W70" s="22">
        <f t="shared" si="33"/>
        <v>0.80577355674764217</v>
      </c>
      <c r="X70" s="22">
        <f t="shared" si="33"/>
        <v>1.2131369954653264</v>
      </c>
      <c r="Y70" s="22">
        <f t="shared" si="33"/>
        <v>1.1336257056886447</v>
      </c>
      <c r="Z70" s="22">
        <f t="shared" si="33"/>
        <v>0.73202419928456652</v>
      </c>
      <c r="AA70" s="22">
        <f t="shared" si="33"/>
        <v>1.0779520370964415</v>
      </c>
      <c r="AB70" s="22">
        <f t="shared" si="33"/>
        <v>0.95153171264335157</v>
      </c>
      <c r="AC70" s="22">
        <f t="shared" si="33"/>
        <v>0.9135103323760797</v>
      </c>
      <c r="AD70" s="22">
        <f t="shared" si="33"/>
        <v>0.86377490823091674</v>
      </c>
      <c r="AE70" s="22">
        <f t="shared" si="33"/>
        <v>0.83808614898364953</v>
      </c>
      <c r="AF70" s="22">
        <f t="shared" si="33"/>
        <v>0.73003450147027138</v>
      </c>
      <c r="AG70" s="22">
        <f t="shared" si="33"/>
        <v>1.0051754181601065</v>
      </c>
      <c r="AH70" s="22">
        <f t="shared" si="33"/>
        <v>0.95484933190857568</v>
      </c>
      <c r="AI70" s="22">
        <f t="shared" si="33"/>
        <v>1.2482127575186051</v>
      </c>
      <c r="AJ70" s="22">
        <f t="shared" si="33"/>
        <v>0.99482458183989342</v>
      </c>
    </row>
    <row r="71" spans="1:36">
      <c r="A71" s="2" t="s">
        <v>142</v>
      </c>
      <c r="B71" s="2" t="s">
        <v>65</v>
      </c>
      <c r="C71" s="22">
        <f t="shared" ref="C71:AJ71" si="34">C41/$AK41</f>
        <v>1.0135928243040679</v>
      </c>
      <c r="D71" s="22">
        <f t="shared" si="34"/>
        <v>0.54511371392249941</v>
      </c>
      <c r="E71" s="22">
        <f t="shared" si="34"/>
        <v>1.1736748672431379</v>
      </c>
      <c r="F71" s="22">
        <f t="shared" si="34"/>
        <v>0.5949471602901909</v>
      </c>
      <c r="G71" s="22">
        <f t="shared" si="34"/>
        <v>0.69941413614403558</v>
      </c>
      <c r="H71" s="22">
        <f t="shared" si="34"/>
        <v>0.87594310378714102</v>
      </c>
      <c r="I71" s="22">
        <f t="shared" si="34"/>
        <v>1.2037117371260995</v>
      </c>
      <c r="J71" s="22">
        <f t="shared" si="34"/>
        <v>0.95571778619805592</v>
      </c>
      <c r="K71" s="22">
        <f t="shared" si="34"/>
        <v>1.1360868610253732</v>
      </c>
      <c r="L71" s="22">
        <f t="shared" si="34"/>
        <v>0.82652690242215976</v>
      </c>
      <c r="M71" s="22">
        <f t="shared" si="34"/>
        <v>1.3041637107587318</v>
      </c>
      <c r="N71" s="22">
        <f t="shared" si="34"/>
        <v>0.87668432081207659</v>
      </c>
      <c r="O71" s="22">
        <f t="shared" si="34"/>
        <v>1.0507048964721517</v>
      </c>
      <c r="P71" s="22">
        <f t="shared" si="34"/>
        <v>1.0844873054305064</v>
      </c>
      <c r="Q71" s="22">
        <f t="shared" si="34"/>
        <v>1.1720322670938159</v>
      </c>
      <c r="R71" s="22">
        <f t="shared" si="34"/>
        <v>1.3577388209134458</v>
      </c>
      <c r="S71" s="22">
        <f t="shared" si="34"/>
        <v>1.4175700591214762</v>
      </c>
      <c r="T71" s="22">
        <f t="shared" si="34"/>
        <v>1.3564909742504947</v>
      </c>
      <c r="U71" s="22">
        <f t="shared" si="34"/>
        <v>1.3562146160304351</v>
      </c>
      <c r="V71" s="22">
        <f t="shared" si="34"/>
        <v>1.1424440655554935</v>
      </c>
      <c r="W71" s="22">
        <f t="shared" si="34"/>
        <v>1.1715980989039985</v>
      </c>
      <c r="X71" s="22">
        <f t="shared" si="34"/>
        <v>1.153285265053279</v>
      </c>
      <c r="Y71" s="22">
        <f t="shared" si="34"/>
        <v>1</v>
      </c>
      <c r="Z71" s="22">
        <f t="shared" si="34"/>
        <v>0.62784077526453563</v>
      </c>
      <c r="AA71" s="22">
        <f t="shared" si="34"/>
        <v>0.97989525199041927</v>
      </c>
      <c r="AB71" s="22">
        <f t="shared" si="34"/>
        <v>0.89333383935796051</v>
      </c>
      <c r="AC71" s="22">
        <f t="shared" si="34"/>
        <v>0.8300836219989669</v>
      </c>
      <c r="AD71" s="22">
        <f t="shared" si="34"/>
        <v>0.87513428476478428</v>
      </c>
      <c r="AE71" s="22">
        <f t="shared" si="34"/>
        <v>0.72274046963553895</v>
      </c>
      <c r="AF71" s="22">
        <f t="shared" si="34"/>
        <v>0.66666363349296465</v>
      </c>
      <c r="AG71" s="22">
        <f t="shared" si="34"/>
        <v>0.90623109836118754</v>
      </c>
      <c r="AH71" s="22">
        <f t="shared" si="34"/>
        <v>0.93972491966167504</v>
      </c>
      <c r="AI71" s="22">
        <f t="shared" si="34"/>
        <v>0.94119058019384361</v>
      </c>
      <c r="AJ71" s="22">
        <f t="shared" si="34"/>
        <v>0.78518637198942876</v>
      </c>
    </row>
    <row r="72" spans="1:36">
      <c r="B72" s="9" t="s">
        <v>51</v>
      </c>
      <c r="C72" s="40">
        <f>AVERAGE(C66:C71)</f>
        <v>1.0097403401495968</v>
      </c>
      <c r="D72" s="40">
        <f t="shared" ref="D72:AG72" si="35">AVERAGE(D66:D71)</f>
        <v>0.56016854331376698</v>
      </c>
      <c r="E72" s="40">
        <f t="shared" si="35"/>
        <v>1.1879724973286494</v>
      </c>
      <c r="F72" s="40">
        <f t="shared" si="35"/>
        <v>0.59653919634047392</v>
      </c>
      <c r="G72" s="40">
        <f t="shared" si="35"/>
        <v>0.71112959407725018</v>
      </c>
      <c r="H72" s="40">
        <f t="shared" si="35"/>
        <v>0.88378160196098066</v>
      </c>
      <c r="I72" s="40">
        <f t="shared" si="35"/>
        <v>1.2035622557762695</v>
      </c>
      <c r="J72" s="40">
        <f t="shared" si="35"/>
        <v>0.9627490218069269</v>
      </c>
      <c r="K72" s="40">
        <f t="shared" si="35"/>
        <v>1.1601894322887227</v>
      </c>
      <c r="L72" s="40">
        <f t="shared" si="35"/>
        <v>0.84023293675875887</v>
      </c>
      <c r="M72" s="40">
        <f t="shared" si="35"/>
        <v>1.337106179239808</v>
      </c>
      <c r="N72" s="40">
        <f t="shared" si="35"/>
        <v>0.89180273113823982</v>
      </c>
      <c r="O72" s="40">
        <f t="shared" si="35"/>
        <v>1.0445767211806503</v>
      </c>
      <c r="P72" s="40">
        <f t="shared" si="35"/>
        <v>1.1292891122443407</v>
      </c>
      <c r="Q72" s="40">
        <f t="shared" si="35"/>
        <v>1.2332078881858497</v>
      </c>
      <c r="R72" s="40">
        <f t="shared" si="35"/>
        <v>1.3899508934297244</v>
      </c>
      <c r="S72" s="40">
        <f t="shared" si="35"/>
        <v>1.4511251198494779</v>
      </c>
      <c r="T72" s="40">
        <f t="shared" si="35"/>
        <v>1.3887742516553123</v>
      </c>
      <c r="U72" s="40">
        <f t="shared" si="35"/>
        <v>1.3882168902190919</v>
      </c>
      <c r="V72" s="40">
        <f t="shared" si="35"/>
        <v>1.059735146061995</v>
      </c>
      <c r="W72" s="40">
        <f t="shared" si="35"/>
        <v>1.1399767842411073</v>
      </c>
      <c r="X72" s="40">
        <f t="shared" si="35"/>
        <v>1.1877981967962037</v>
      </c>
      <c r="Y72" s="40">
        <f t="shared" si="35"/>
        <v>1.0414528853873295</v>
      </c>
      <c r="Z72" s="40">
        <f t="shared" si="35"/>
        <v>0.67820456929093742</v>
      </c>
      <c r="AA72" s="40">
        <f t="shared" si="35"/>
        <v>1.0085766623619634</v>
      </c>
      <c r="AB72" s="40">
        <f t="shared" si="35"/>
        <v>0.90030080080503094</v>
      </c>
      <c r="AC72" s="40">
        <f t="shared" si="35"/>
        <v>0.86673909703968677</v>
      </c>
      <c r="AD72" s="40">
        <f t="shared" si="35"/>
        <v>0.88669318855882562</v>
      </c>
      <c r="AE72" s="40">
        <f t="shared" si="35"/>
        <v>0.76921766387828638</v>
      </c>
      <c r="AF72" s="40">
        <f t="shared" si="35"/>
        <v>0.69612095271789221</v>
      </c>
      <c r="AG72" s="40">
        <f t="shared" si="35"/>
        <v>0.96281454096762997</v>
      </c>
      <c r="AH72" s="40">
        <f>AVERAGE(AH66:AH71)</f>
        <v>0.94436864684392763</v>
      </c>
      <c r="AI72" s="40">
        <f>AVERAGE(AI66:AI71)</f>
        <v>1.0064167139516291</v>
      </c>
      <c r="AJ72" s="40">
        <f>AVERAGE(AJ66:AJ71)</f>
        <v>0.85651543563644095</v>
      </c>
    </row>
    <row r="73" spans="1:36">
      <c r="B73" s="9" t="s">
        <v>52</v>
      </c>
      <c r="C73" s="41">
        <f>STDEV(C67:C71)</f>
        <v>5.1605066757490062E-2</v>
      </c>
      <c r="D73" s="41">
        <f t="shared" ref="D73:AG73" si="36">STDEV(D67:D71)</f>
        <v>7.4697468656900731E-2</v>
      </c>
      <c r="E73" s="41">
        <f t="shared" si="36"/>
        <v>8.8542148977889687E-2</v>
      </c>
      <c r="F73" s="41">
        <f t="shared" si="36"/>
        <v>3.689597352113546E-2</v>
      </c>
      <c r="G73" s="41">
        <f t="shared" si="36"/>
        <v>2.5440388543168276E-2</v>
      </c>
      <c r="H73" s="41">
        <f t="shared" si="36"/>
        <v>2.2521210742007386E-2</v>
      </c>
      <c r="I73" s="41">
        <f t="shared" si="36"/>
        <v>6.5079206605008502E-2</v>
      </c>
      <c r="J73" s="41">
        <f t="shared" si="36"/>
        <v>2.0974489094582126E-2</v>
      </c>
      <c r="K73" s="41">
        <f t="shared" si="36"/>
        <v>2.4685621512936483E-2</v>
      </c>
      <c r="L73" s="41">
        <f t="shared" si="36"/>
        <v>1.9355634642276399E-2</v>
      </c>
      <c r="M73" s="41">
        <f t="shared" si="36"/>
        <v>3.2079189775485427E-2</v>
      </c>
      <c r="N73" s="41">
        <f t="shared" si="36"/>
        <v>1.8987539764712996E-2</v>
      </c>
      <c r="O73" s="41">
        <f t="shared" si="36"/>
        <v>1.3498588115243702E-2</v>
      </c>
      <c r="P73" s="41">
        <f t="shared" si="36"/>
        <v>3.0582568139744474E-2</v>
      </c>
      <c r="Q73" s="41">
        <f t="shared" si="36"/>
        <v>4.7735672739467196E-2</v>
      </c>
      <c r="R73" s="41">
        <f t="shared" si="36"/>
        <v>3.1836894168726197E-2</v>
      </c>
      <c r="S73" s="41">
        <f t="shared" si="36"/>
        <v>3.4541123455784271E-2</v>
      </c>
      <c r="T73" s="41">
        <f t="shared" si="36"/>
        <v>3.1882383027849612E-2</v>
      </c>
      <c r="U73" s="41">
        <f t="shared" si="36"/>
        <v>3.1700911912602978E-2</v>
      </c>
      <c r="V73" s="41">
        <f t="shared" si="36"/>
        <v>0.12717116791712832</v>
      </c>
      <c r="W73" s="41">
        <f t="shared" si="36"/>
        <v>0.18121952939853447</v>
      </c>
      <c r="X73" s="41">
        <f t="shared" si="36"/>
        <v>2.7308352491903158E-2</v>
      </c>
      <c r="Y73" s="41">
        <f t="shared" si="36"/>
        <v>5.2178800441448257E-2</v>
      </c>
      <c r="Z73" s="41">
        <f t="shared" si="36"/>
        <v>4.6240244793955811E-2</v>
      </c>
      <c r="AA73" s="41">
        <f t="shared" si="36"/>
        <v>3.9936371859719988E-2</v>
      </c>
      <c r="AB73" s="41">
        <f t="shared" si="36"/>
        <v>4.0138262995189661E-2</v>
      </c>
      <c r="AC73" s="41">
        <f t="shared" si="36"/>
        <v>3.2904640535571204E-2</v>
      </c>
      <c r="AD73" s="41">
        <f t="shared" si="36"/>
        <v>1.3652287988274359E-2</v>
      </c>
      <c r="AE73" s="41">
        <f t="shared" si="36"/>
        <v>5.2844209981276168E-2</v>
      </c>
      <c r="AF73" s="41">
        <f t="shared" si="36"/>
        <v>3.5146703589885427E-2</v>
      </c>
      <c r="AG73" s="41">
        <f t="shared" si="36"/>
        <v>4.538688832934764E-2</v>
      </c>
      <c r="AH73" s="41">
        <f>STDEV(AH67:AH71)</f>
        <v>1.2680361514282161E-2</v>
      </c>
      <c r="AI73" s="41">
        <f>STDEV(AI67:AI71)</f>
        <v>0.1328942375576288</v>
      </c>
      <c r="AJ73" s="41">
        <f>STDEV(AJ67:AJ71)</f>
        <v>9.0361270821087053E-2</v>
      </c>
    </row>
    <row r="74" spans="1:36">
      <c r="B74" s="9"/>
    </row>
    <row r="75" spans="1:36">
      <c r="B75" s="9"/>
    </row>
    <row r="76" spans="1:36">
      <c r="A76" s="3" t="s">
        <v>48</v>
      </c>
      <c r="B76" s="2"/>
    </row>
    <row r="77" spans="1:36">
      <c r="A77" s="2" t="s">
        <v>131</v>
      </c>
      <c r="B77" s="2" t="s">
        <v>66</v>
      </c>
      <c r="C77" s="35">
        <f t="shared" ref="C77:AJ77" si="37">C47/$AK47</f>
        <v>0.87040609861176854</v>
      </c>
      <c r="D77" s="35">
        <f t="shared" si="37"/>
        <v>0.46726893326570973</v>
      </c>
      <c r="E77" s="35">
        <f t="shared" si="37"/>
        <v>1.1187030257195085</v>
      </c>
      <c r="F77" s="35">
        <f t="shared" si="37"/>
        <v>0.51972675476838048</v>
      </c>
      <c r="G77" s="35">
        <f t="shared" si="37"/>
        <v>0.64577028377915802</v>
      </c>
      <c r="H77" s="35">
        <f t="shared" si="37"/>
        <v>0.8290101177815915</v>
      </c>
      <c r="I77" s="35">
        <f t="shared" si="37"/>
        <v>1.1234152482490634</v>
      </c>
      <c r="J77" s="35">
        <f t="shared" si="37"/>
        <v>0.91305547159267797</v>
      </c>
      <c r="K77" s="35">
        <f t="shared" si="37"/>
        <v>1.1152826264950755</v>
      </c>
      <c r="L77" s="35">
        <f t="shared" si="37"/>
        <v>0.8037248843527115</v>
      </c>
      <c r="M77" s="35">
        <f t="shared" si="37"/>
        <v>1.2469820789812425</v>
      </c>
      <c r="N77" s="35">
        <f t="shared" si="37"/>
        <v>0.84083089065617278</v>
      </c>
      <c r="O77" s="35">
        <f t="shared" si="37"/>
        <v>1.0072031114844893</v>
      </c>
      <c r="P77" s="35">
        <f t="shared" si="37"/>
        <v>1.0486929430788885</v>
      </c>
      <c r="Q77" s="35">
        <f t="shared" si="37"/>
        <v>1.1245123962763874</v>
      </c>
      <c r="R77" s="35">
        <f t="shared" si="37"/>
        <v>1.2945209003449949</v>
      </c>
      <c r="S77" s="35">
        <f t="shared" si="37"/>
        <v>1.3576513213649486</v>
      </c>
      <c r="T77" s="35">
        <f t="shared" si="37"/>
        <v>1.2928195486456033</v>
      </c>
      <c r="U77" s="35">
        <f t="shared" si="37"/>
        <v>1.2925272606693372</v>
      </c>
      <c r="V77" s="35">
        <f t="shared" si="37"/>
        <v>1.0985239063605865</v>
      </c>
      <c r="W77" s="35">
        <f t="shared" si="37"/>
        <v>1.1174193422013685</v>
      </c>
      <c r="X77" s="35">
        <f t="shared" si="37"/>
        <v>1.0802148251432839</v>
      </c>
      <c r="Y77" s="35">
        <f t="shared" si="37"/>
        <v>0.89992156212075747</v>
      </c>
      <c r="Z77" s="35">
        <f t="shared" si="37"/>
        <v>0.57644893977290412</v>
      </c>
      <c r="AA77" s="35">
        <f t="shared" si="37"/>
        <v>1</v>
      </c>
      <c r="AB77" s="35">
        <f t="shared" si="37"/>
        <v>0.84679750271227094</v>
      </c>
      <c r="AC77" s="35">
        <f t="shared" si="37"/>
        <v>0.84198036215218774</v>
      </c>
      <c r="AD77" s="35">
        <f t="shared" si="37"/>
        <v>0.90715537720231687</v>
      </c>
      <c r="AE77" s="35">
        <f t="shared" si="37"/>
        <v>0.61030627776007884</v>
      </c>
      <c r="AF77" s="35">
        <f t="shared" si="37"/>
        <v>0.55247109141206641</v>
      </c>
      <c r="AG77" s="35">
        <f t="shared" si="37"/>
        <v>1.0014518313415948</v>
      </c>
      <c r="AH77" s="35">
        <f t="shared" si="37"/>
        <v>0.90481399004986618</v>
      </c>
      <c r="AI77" s="35">
        <f t="shared" si="37"/>
        <v>0.90636576765646248</v>
      </c>
      <c r="AJ77" s="35">
        <f t="shared" si="37"/>
        <v>0.77673930794748192</v>
      </c>
    </row>
    <row r="78" spans="1:36">
      <c r="A78" s="2" t="s">
        <v>132</v>
      </c>
      <c r="B78" s="2" t="s">
        <v>66</v>
      </c>
      <c r="C78" s="35">
        <f t="shared" ref="C78:AJ78" si="38">C48/$AK48</f>
        <v>0.91649883107385544</v>
      </c>
      <c r="D78" s="66">
        <f t="shared" si="38"/>
        <v>0.18892648653480709</v>
      </c>
      <c r="E78" s="35">
        <f t="shared" si="38"/>
        <v>1.1387057970264303</v>
      </c>
      <c r="F78" s="35">
        <f t="shared" si="38"/>
        <v>0.60621031036994721</v>
      </c>
      <c r="G78" s="35">
        <f t="shared" si="38"/>
        <v>0.73255990633423751</v>
      </c>
      <c r="H78" s="35">
        <f t="shared" si="38"/>
        <v>0.89577079807244908</v>
      </c>
      <c r="I78" s="35">
        <f t="shared" si="38"/>
        <v>1.136190747986751</v>
      </c>
      <c r="J78" s="35">
        <f t="shared" si="38"/>
        <v>0.98035098363378725</v>
      </c>
      <c r="K78" s="35">
        <f t="shared" si="38"/>
        <v>1.1737384410585834</v>
      </c>
      <c r="L78" s="35">
        <f t="shared" si="38"/>
        <v>0.87713309066085721</v>
      </c>
      <c r="M78" s="35">
        <f t="shared" si="38"/>
        <v>1.3001260859772807</v>
      </c>
      <c r="N78" s="35">
        <f t="shared" si="38"/>
        <v>0.91651154703367754</v>
      </c>
      <c r="O78" s="35">
        <f t="shared" si="38"/>
        <v>1.0399734616585021</v>
      </c>
      <c r="P78" s="35">
        <f t="shared" si="38"/>
        <v>1.1307951569750225</v>
      </c>
      <c r="Q78" s="35">
        <f t="shared" si="38"/>
        <v>1.2036461471356221</v>
      </c>
      <c r="R78" s="35">
        <f t="shared" si="38"/>
        <v>1.3518441500635308</v>
      </c>
      <c r="S78" s="35">
        <f t="shared" si="38"/>
        <v>1.407874242750482</v>
      </c>
      <c r="T78" s="35">
        <f t="shared" si="38"/>
        <v>1.3495286456824285</v>
      </c>
      <c r="U78" s="35">
        <f t="shared" si="38"/>
        <v>1.3487817965069391</v>
      </c>
      <c r="V78" s="35">
        <f t="shared" si="38"/>
        <v>0.92301685386378873</v>
      </c>
      <c r="W78" s="35">
        <f t="shared" si="38"/>
        <v>1.1824467284154947</v>
      </c>
      <c r="X78" s="35">
        <f t="shared" si="38"/>
        <v>1.1557457585655209</v>
      </c>
      <c r="Y78" s="35">
        <f t="shared" si="38"/>
        <v>0.99664473374911122</v>
      </c>
      <c r="Z78" s="35">
        <f t="shared" si="38"/>
        <v>0.67787720712558952</v>
      </c>
      <c r="AA78" s="35">
        <f t="shared" si="38"/>
        <v>1.0528854258617075</v>
      </c>
      <c r="AB78" s="35">
        <f t="shared" si="38"/>
        <v>0.95694665444413651</v>
      </c>
      <c r="AC78" s="35">
        <f t="shared" si="38"/>
        <v>0.90965206430326195</v>
      </c>
      <c r="AD78" s="35">
        <f t="shared" si="38"/>
        <v>1</v>
      </c>
      <c r="AE78" s="35">
        <f t="shared" si="38"/>
        <v>0.74863229964173839</v>
      </c>
      <c r="AF78" s="35">
        <f t="shared" si="38"/>
        <v>0.68984143917471963</v>
      </c>
      <c r="AG78" s="35">
        <f t="shared" si="38"/>
        <v>1.0732416789736636</v>
      </c>
      <c r="AH78" s="35">
        <f t="shared" si="38"/>
        <v>0.97706229395901723</v>
      </c>
      <c r="AI78" s="35">
        <f t="shared" si="38"/>
        <v>0.98000783352879683</v>
      </c>
      <c r="AJ78" s="35">
        <f t="shared" si="38"/>
        <v>0.83127371745509204</v>
      </c>
    </row>
    <row r="79" spans="1:36">
      <c r="A79" s="2" t="s">
        <v>133</v>
      </c>
      <c r="B79" s="2" t="s">
        <v>66</v>
      </c>
      <c r="C79" s="35">
        <f t="shared" ref="C79:Y79" si="39">C49/$AK49</f>
        <v>0.93788342565067173</v>
      </c>
      <c r="D79" s="35">
        <f t="shared" si="39"/>
        <v>0.49875460154305717</v>
      </c>
      <c r="E79" s="35">
        <f t="shared" si="39"/>
        <v>1.2258241956778109</v>
      </c>
      <c r="F79" s="35">
        <f t="shared" si="39"/>
        <v>0.48897489944058592</v>
      </c>
      <c r="G79" s="35">
        <f t="shared" si="39"/>
        <v>0.66157986393187973</v>
      </c>
      <c r="H79" s="35">
        <f t="shared" si="39"/>
        <v>0.85703818375905705</v>
      </c>
      <c r="I79" s="35">
        <f t="shared" si="39"/>
        <v>1.25631873428747</v>
      </c>
      <c r="J79" s="35">
        <f t="shared" si="39"/>
        <v>0.947265625458245</v>
      </c>
      <c r="K79" s="35">
        <f t="shared" si="39"/>
        <v>1.1626149884815729</v>
      </c>
      <c r="L79" s="35">
        <f t="shared" si="39"/>
        <v>0.81312216081556676</v>
      </c>
      <c r="M79" s="35">
        <f t="shared" si="39"/>
        <v>1.3619779968513668</v>
      </c>
      <c r="N79" s="35">
        <f t="shared" si="39"/>
        <v>0.88351315297551769</v>
      </c>
      <c r="O79" s="35">
        <f t="shared" si="39"/>
        <v>1.0772341929496947</v>
      </c>
      <c r="P79" s="35">
        <f t="shared" si="39"/>
        <v>1.0903116688795407</v>
      </c>
      <c r="Q79" s="35">
        <f t="shared" si="39"/>
        <v>1.2152712436469804</v>
      </c>
      <c r="R79" s="35">
        <f t="shared" si="39"/>
        <v>1.436024032004624</v>
      </c>
      <c r="S79" s="35">
        <f t="shared" si="39"/>
        <v>1.5099131454262185</v>
      </c>
      <c r="T79" s="35">
        <f t="shared" si="39"/>
        <v>1.4354634231772181</v>
      </c>
      <c r="U79" s="35">
        <f t="shared" si="39"/>
        <v>1.4345907013742007</v>
      </c>
      <c r="V79" s="35">
        <f t="shared" si="39"/>
        <v>1.2119194130016206</v>
      </c>
      <c r="W79" s="35">
        <f t="shared" si="39"/>
        <v>1.242240121926236</v>
      </c>
      <c r="X79" s="35">
        <f t="shared" si="39"/>
        <v>1.1548705735986029</v>
      </c>
      <c r="Y79" s="35">
        <f t="shared" si="39"/>
        <v>1</v>
      </c>
      <c r="Z79" s="35"/>
      <c r="AA79" s="35">
        <f t="shared" ref="AA79:AJ79" si="40">AA49/$AK49</f>
        <v>1.0187608360918481</v>
      </c>
      <c r="AB79" s="35">
        <f t="shared" si="40"/>
        <v>0.8686642654921074</v>
      </c>
      <c r="AC79" s="35">
        <f t="shared" si="40"/>
        <v>0.84937974272043626</v>
      </c>
      <c r="AD79" s="35">
        <f t="shared" si="40"/>
        <v>0.87398650536606814</v>
      </c>
      <c r="AE79" s="35">
        <f t="shared" si="40"/>
        <v>0.71723485590005387</v>
      </c>
      <c r="AF79" s="35">
        <f t="shared" si="40"/>
        <v>0.21998977637850919</v>
      </c>
      <c r="AG79" s="35">
        <f t="shared" si="40"/>
        <v>0.89575621757550705</v>
      </c>
      <c r="AH79" s="35">
        <f t="shared" si="40"/>
        <v>0.9518892617633965</v>
      </c>
      <c r="AI79" s="35">
        <f t="shared" si="40"/>
        <v>0.95667682303440504</v>
      </c>
      <c r="AJ79" s="35">
        <f t="shared" si="40"/>
        <v>0.84994386861291005</v>
      </c>
    </row>
    <row r="80" spans="1:36">
      <c r="A80" s="2" t="s">
        <v>134</v>
      </c>
      <c r="B80" s="2" t="s">
        <v>67</v>
      </c>
      <c r="C80" s="35">
        <f t="shared" ref="C80:Y80" si="41">C50/$AK50</f>
        <v>0.89793141748999028</v>
      </c>
      <c r="D80" s="35">
        <f t="shared" si="41"/>
        <v>0.41288592232080779</v>
      </c>
      <c r="E80" s="35">
        <f t="shared" si="41"/>
        <v>1.1010892994458434</v>
      </c>
      <c r="F80" s="35">
        <f t="shared" si="41"/>
        <v>0.54228035306268441</v>
      </c>
      <c r="G80" s="35">
        <f t="shared" si="41"/>
        <v>0.67750807355125686</v>
      </c>
      <c r="H80" s="35">
        <f t="shared" si="41"/>
        <v>0.85056305536193766</v>
      </c>
      <c r="I80" s="35">
        <f t="shared" si="41"/>
        <v>1.1335467800863999</v>
      </c>
      <c r="J80" s="35">
        <f t="shared" si="41"/>
        <v>0.93065184616060714</v>
      </c>
      <c r="K80" s="35">
        <f t="shared" si="41"/>
        <v>1.13098978048418</v>
      </c>
      <c r="L80" s="35">
        <f t="shared" si="41"/>
        <v>0.82054156643210263</v>
      </c>
      <c r="M80" s="35">
        <f t="shared" si="41"/>
        <v>1.2721231580809973</v>
      </c>
      <c r="N80" s="35">
        <f t="shared" si="41"/>
        <v>0.86154249809780037</v>
      </c>
      <c r="O80" s="35">
        <f t="shared" si="41"/>
        <v>1.059534765317057</v>
      </c>
      <c r="P80" s="35">
        <f t="shared" si="41"/>
        <v>1.0482051218818451</v>
      </c>
      <c r="Q80" s="35">
        <f t="shared" si="41"/>
        <v>1.1175497507133061</v>
      </c>
      <c r="R80" s="35">
        <f t="shared" si="41"/>
        <v>1.339765835634759</v>
      </c>
      <c r="S80" s="35">
        <f t="shared" si="41"/>
        <v>1.3951657985212245</v>
      </c>
      <c r="T80" s="35">
        <f t="shared" si="41"/>
        <v>1.3381620076628447</v>
      </c>
      <c r="U80" s="35">
        <f t="shared" si="41"/>
        <v>1.3378046962094778</v>
      </c>
      <c r="V80" s="35">
        <f t="shared" si="41"/>
        <v>1.1367254797184942</v>
      </c>
      <c r="W80" s="35">
        <f t="shared" si="41"/>
        <v>1.167390678461403</v>
      </c>
      <c r="X80" s="35">
        <f t="shared" si="41"/>
        <v>1.1401916060402784</v>
      </c>
      <c r="Y80" s="35">
        <f t="shared" si="41"/>
        <v>0.89448735340328767</v>
      </c>
      <c r="Z80" s="35">
        <f t="shared" ref="Z80:AF83" si="42">Z50/$AK50</f>
        <v>0.67266689415591718</v>
      </c>
      <c r="AA80" s="35">
        <f t="shared" si="42"/>
        <v>1.0056409047652268</v>
      </c>
      <c r="AB80" s="35">
        <f t="shared" si="42"/>
        <v>0.87258822985433504</v>
      </c>
      <c r="AC80" s="35">
        <f t="shared" si="42"/>
        <v>0.84530737210574025</v>
      </c>
      <c r="AD80" s="35">
        <f t="shared" si="42"/>
        <v>0.92067935940142742</v>
      </c>
      <c r="AE80" s="35">
        <f t="shared" si="42"/>
        <v>0.62475472827992129</v>
      </c>
      <c r="AF80" s="35">
        <f t="shared" si="42"/>
        <v>0.19381278578356051</v>
      </c>
      <c r="AG80" s="35">
        <v>1</v>
      </c>
      <c r="AH80" s="35">
        <f t="shared" ref="AH80:AJ83" si="43">AH50/$AK50</f>
        <v>0.94764501677601698</v>
      </c>
      <c r="AI80" s="35">
        <f t="shared" si="43"/>
        <v>0.93381587217174034</v>
      </c>
      <c r="AJ80" s="35">
        <f t="shared" si="43"/>
        <v>0.82911752034655783</v>
      </c>
    </row>
    <row r="81" spans="1:36">
      <c r="A81" s="2" t="s">
        <v>135</v>
      </c>
      <c r="B81" s="2" t="s">
        <v>67</v>
      </c>
      <c r="C81" s="35">
        <f t="shared" ref="C81:Y81" si="44">C51/$AK51</f>
        <v>0.88713985972326304</v>
      </c>
      <c r="D81" s="35">
        <f t="shared" si="44"/>
        <v>0.45286513933386108</v>
      </c>
      <c r="E81" s="35">
        <f t="shared" si="44"/>
        <v>1.1889325331858427</v>
      </c>
      <c r="F81" s="35">
        <f t="shared" si="44"/>
        <v>0.57316940109819969</v>
      </c>
      <c r="G81" s="35">
        <f t="shared" si="44"/>
        <v>0.67833680099398241</v>
      </c>
      <c r="H81" s="35">
        <f t="shared" si="44"/>
        <v>0.84472708358850379</v>
      </c>
      <c r="I81" s="35">
        <f t="shared" si="44"/>
        <v>1.1442986007360534</v>
      </c>
      <c r="J81" s="35">
        <f t="shared" si="44"/>
        <v>0.9278612726630614</v>
      </c>
      <c r="K81" s="35">
        <f t="shared" si="44"/>
        <v>1.12267665030036</v>
      </c>
      <c r="L81" s="35">
        <f t="shared" si="44"/>
        <v>0.83200298894922509</v>
      </c>
      <c r="M81" s="35">
        <f t="shared" si="44"/>
        <v>1.261337420767763</v>
      </c>
      <c r="N81" s="35">
        <f t="shared" si="44"/>
        <v>0.87281828877973289</v>
      </c>
      <c r="O81" s="35">
        <f t="shared" si="44"/>
        <v>1.0458126432460761</v>
      </c>
      <c r="P81" s="35">
        <f t="shared" si="44"/>
        <v>1.05725373532302</v>
      </c>
      <c r="Q81" s="35">
        <f t="shared" si="44"/>
        <v>1.1346362282424731</v>
      </c>
      <c r="R81" s="35">
        <f t="shared" si="44"/>
        <v>1.3251331939157887</v>
      </c>
      <c r="S81" s="35">
        <f t="shared" si="44"/>
        <v>1.3810143442962615</v>
      </c>
      <c r="T81" s="35">
        <f t="shared" si="44"/>
        <v>1.3232400772809934</v>
      </c>
      <c r="U81" s="35">
        <f t="shared" si="44"/>
        <v>1.3229619097753846</v>
      </c>
      <c r="V81" s="35">
        <f t="shared" si="44"/>
        <v>1.1172841001091958</v>
      </c>
      <c r="W81" s="35">
        <f t="shared" si="44"/>
        <v>1.1514043159879592</v>
      </c>
      <c r="X81" s="35">
        <f t="shared" si="44"/>
        <v>1.1073128810607491</v>
      </c>
      <c r="Y81" s="35">
        <f t="shared" si="44"/>
        <v>0.94282513751303221</v>
      </c>
      <c r="Z81" s="35">
        <f t="shared" si="42"/>
        <v>0.59405652162133837</v>
      </c>
      <c r="AA81" s="35">
        <f t="shared" si="42"/>
        <v>1.0109871880624541</v>
      </c>
      <c r="AB81" s="35">
        <f t="shared" si="42"/>
        <v>0.8968411652118341</v>
      </c>
      <c r="AC81" s="35">
        <f t="shared" si="42"/>
        <v>0.85865452621308769</v>
      </c>
      <c r="AD81" s="35">
        <f t="shared" si="42"/>
        <v>0.92440109277555249</v>
      </c>
      <c r="AE81" s="35">
        <f t="shared" si="42"/>
        <v>0.69732484829585184</v>
      </c>
      <c r="AF81" s="35">
        <f t="shared" si="42"/>
        <v>0.6642496837555355</v>
      </c>
      <c r="AG81" s="35">
        <v>1</v>
      </c>
      <c r="AH81" s="35">
        <f t="shared" si="43"/>
        <v>0.94633539703460234</v>
      </c>
      <c r="AI81" s="35">
        <f t="shared" si="43"/>
        <v>0.94572649237505291</v>
      </c>
      <c r="AJ81" s="35">
        <f t="shared" si="43"/>
        <v>0.83572072343240578</v>
      </c>
    </row>
    <row r="82" spans="1:36">
      <c r="A82" s="2" t="s">
        <v>136</v>
      </c>
      <c r="B82" s="2" t="s">
        <v>67</v>
      </c>
      <c r="C82" s="35">
        <f t="shared" ref="C82:Y82" si="45">C52/$AK52</f>
        <v>0.96912129956599269</v>
      </c>
      <c r="D82" s="35">
        <f t="shared" si="45"/>
        <v>0.55537190150001481</v>
      </c>
      <c r="E82" s="35">
        <f t="shared" si="45"/>
        <v>1.2492682212627797</v>
      </c>
      <c r="F82" s="35">
        <f t="shared" si="45"/>
        <v>0.52924208260613104</v>
      </c>
      <c r="G82" s="35">
        <f t="shared" si="45"/>
        <v>0.67949576748240359</v>
      </c>
      <c r="H82" s="35">
        <f t="shared" si="45"/>
        <v>0.8979998990425514</v>
      </c>
      <c r="I82" s="35">
        <f t="shared" si="45"/>
        <v>1.277245445012565</v>
      </c>
      <c r="J82" s="35">
        <f t="shared" si="45"/>
        <v>0.97822187554680284</v>
      </c>
      <c r="K82" s="35">
        <f t="shared" si="45"/>
        <v>1.2019800161249121</v>
      </c>
      <c r="L82" s="35">
        <f t="shared" si="45"/>
        <v>0.83780241592042815</v>
      </c>
      <c r="M82" s="35">
        <f t="shared" si="45"/>
        <v>1.3433067199835702</v>
      </c>
      <c r="N82" s="35">
        <f t="shared" si="45"/>
        <v>0.90541798542393614</v>
      </c>
      <c r="O82" s="35">
        <f t="shared" si="45"/>
        <v>1.0926537586038916</v>
      </c>
      <c r="P82" s="35">
        <f t="shared" si="45"/>
        <v>1.1066586955237094</v>
      </c>
      <c r="Q82" s="35">
        <f t="shared" si="45"/>
        <v>1.1999111050605864</v>
      </c>
      <c r="R82" s="35">
        <f t="shared" si="45"/>
        <v>1.4273927903756278</v>
      </c>
      <c r="S82" s="35">
        <f t="shared" si="45"/>
        <v>1.5096213637198417</v>
      </c>
      <c r="T82" s="35">
        <f t="shared" si="45"/>
        <v>1.4267191801624552</v>
      </c>
      <c r="U82" s="35">
        <f t="shared" si="45"/>
        <v>1.4267741775763529</v>
      </c>
      <c r="V82" s="35">
        <f t="shared" si="45"/>
        <v>1.2077943727592118</v>
      </c>
      <c r="W82" s="35">
        <f t="shared" si="45"/>
        <v>1.2220878571513116</v>
      </c>
      <c r="X82" s="35">
        <f t="shared" si="45"/>
        <v>1.1876774747004191</v>
      </c>
      <c r="Y82" s="35">
        <f t="shared" si="45"/>
        <v>1</v>
      </c>
      <c r="Z82" s="35">
        <f t="shared" si="42"/>
        <v>0.63202195262777516</v>
      </c>
      <c r="AA82" s="35">
        <f t="shared" si="42"/>
        <v>1.0184480921250079</v>
      </c>
      <c r="AB82" s="35">
        <f t="shared" si="42"/>
        <v>0.9380311716501174</v>
      </c>
      <c r="AC82" s="35">
        <f t="shared" si="42"/>
        <v>0.85619364895950156</v>
      </c>
      <c r="AD82" s="35">
        <f t="shared" si="42"/>
        <v>0.91102824417627715</v>
      </c>
      <c r="AE82" s="35">
        <f t="shared" si="42"/>
        <v>0.70802143702865872</v>
      </c>
      <c r="AF82" s="35">
        <f t="shared" si="42"/>
        <v>0.21960861796635667</v>
      </c>
      <c r="AG82" s="35">
        <f>AG52/$AK52</f>
        <v>0.96995424059493041</v>
      </c>
      <c r="AH82" s="35">
        <f t="shared" si="43"/>
        <v>0.96600085560287452</v>
      </c>
      <c r="AI82" s="35">
        <f t="shared" si="43"/>
        <v>0.97406920549666953</v>
      </c>
      <c r="AJ82" s="35">
        <f t="shared" si="43"/>
        <v>0.80140399793373795</v>
      </c>
    </row>
    <row r="83" spans="1:36">
      <c r="A83" s="2" t="s">
        <v>137</v>
      </c>
      <c r="B83" s="2" t="s">
        <v>68</v>
      </c>
      <c r="C83" s="35">
        <f t="shared" ref="C83:Y83" si="46">C53/$AK53</f>
        <v>1</v>
      </c>
      <c r="D83" s="35">
        <f t="shared" si="46"/>
        <v>0.52179633883721011</v>
      </c>
      <c r="E83" s="35">
        <f t="shared" si="46"/>
        <v>1.2800887313647415</v>
      </c>
      <c r="F83" s="35">
        <f t="shared" si="46"/>
        <v>0.51197178472370342</v>
      </c>
      <c r="G83" s="35">
        <f t="shared" si="46"/>
        <v>0.67899331878751057</v>
      </c>
      <c r="H83" s="35">
        <f t="shared" si="46"/>
        <v>0.8852237234341872</v>
      </c>
      <c r="I83" s="35">
        <f t="shared" si="46"/>
        <v>1.3086247614981548</v>
      </c>
      <c r="J83" s="35">
        <f t="shared" si="46"/>
        <v>0.95546562639222643</v>
      </c>
      <c r="K83" s="35">
        <f t="shared" si="46"/>
        <v>1.1888368739165576</v>
      </c>
      <c r="L83" s="35">
        <f t="shared" si="46"/>
        <v>0.81649896377269493</v>
      </c>
      <c r="M83" s="35">
        <f t="shared" si="46"/>
        <v>1.3686051950809399</v>
      </c>
      <c r="N83" s="35">
        <f t="shared" si="46"/>
        <v>0.89337184323121688</v>
      </c>
      <c r="O83" s="35">
        <f t="shared" si="46"/>
        <v>1.040281523262615</v>
      </c>
      <c r="P83" s="35">
        <f t="shared" si="46"/>
        <v>1.1517829581397956</v>
      </c>
      <c r="Q83" s="35">
        <f t="shared" si="46"/>
        <v>1.2988451361969457</v>
      </c>
      <c r="R83" s="35">
        <f t="shared" si="46"/>
        <v>1.4583386256089359</v>
      </c>
      <c r="S83" s="35">
        <f t="shared" si="46"/>
        <v>1.5434430803341646</v>
      </c>
      <c r="T83" s="35">
        <f t="shared" si="46"/>
        <v>1.4582787749831219</v>
      </c>
      <c r="U83" s="35">
        <f t="shared" si="46"/>
        <v>1.4582787749831219</v>
      </c>
      <c r="V83" s="35">
        <f t="shared" si="46"/>
        <v>1.2384967406054472</v>
      </c>
      <c r="W83" s="35">
        <f t="shared" si="46"/>
        <v>1.2542687034872873</v>
      </c>
      <c r="X83" s="35">
        <f t="shared" si="46"/>
        <v>1.2085082912519043</v>
      </c>
      <c r="Y83" s="35">
        <f t="shared" si="46"/>
        <v>1.1166334093826775</v>
      </c>
      <c r="Z83" s="35">
        <f t="shared" si="42"/>
        <v>0.733505112482435</v>
      </c>
      <c r="AA83" s="35">
        <f t="shared" si="42"/>
        <v>0.97869739933840083</v>
      </c>
      <c r="AB83" s="35">
        <f t="shared" si="42"/>
        <v>0.94578481055216368</v>
      </c>
      <c r="AC83" s="35">
        <f t="shared" si="42"/>
        <v>0.86108706289064818</v>
      </c>
      <c r="AD83" s="35">
        <f t="shared" si="42"/>
        <v>0.87246552906764518</v>
      </c>
      <c r="AE83" s="35">
        <f t="shared" si="42"/>
        <v>0.78960506698910038</v>
      </c>
      <c r="AF83" s="35">
        <f t="shared" si="42"/>
        <v>0.6941962850013218</v>
      </c>
      <c r="AG83" s="35">
        <f>AG53/$AK53</f>
        <v>0.99013726433168625</v>
      </c>
      <c r="AH83" s="35">
        <f t="shared" si="43"/>
        <v>0.920775625651163</v>
      </c>
      <c r="AI83" s="35">
        <f t="shared" si="43"/>
        <v>0.96926564807401971</v>
      </c>
      <c r="AJ83" s="35">
        <f t="shared" si="43"/>
        <v>0.76839573371913217</v>
      </c>
    </row>
    <row r="84" spans="1:36">
      <c r="A84" s="2"/>
      <c r="B84" s="19" t="s">
        <v>51</v>
      </c>
      <c r="C84" s="40">
        <f>AVERAGE(C78:C83)</f>
        <v>0.93476247225062892</v>
      </c>
      <c r="D84" s="40">
        <f t="shared" ref="D84:AG84" si="47">AVERAGE(D78:D83)</f>
        <v>0.43843339834495959</v>
      </c>
      <c r="E84" s="40">
        <f t="shared" si="47"/>
        <v>1.1973181296605746</v>
      </c>
      <c r="F84" s="40">
        <f t="shared" si="47"/>
        <v>0.54197480521687524</v>
      </c>
      <c r="G84" s="40">
        <f t="shared" si="47"/>
        <v>0.68474562184687837</v>
      </c>
      <c r="H84" s="40">
        <f t="shared" si="47"/>
        <v>0.87188712387644773</v>
      </c>
      <c r="I84" s="40">
        <f t="shared" si="47"/>
        <v>1.2093708449345657</v>
      </c>
      <c r="J84" s="40">
        <f t="shared" si="47"/>
        <v>0.95330287164245497</v>
      </c>
      <c r="K84" s="40">
        <f t="shared" si="47"/>
        <v>1.1634727917276944</v>
      </c>
      <c r="L84" s="40">
        <f t="shared" si="47"/>
        <v>0.83285019775847902</v>
      </c>
      <c r="M84" s="40">
        <f t="shared" si="47"/>
        <v>1.3179127627903195</v>
      </c>
      <c r="N84" s="40">
        <f t="shared" si="47"/>
        <v>0.88886255259031355</v>
      </c>
      <c r="O84" s="40">
        <f t="shared" si="47"/>
        <v>1.0592483908396393</v>
      </c>
      <c r="P84" s="40">
        <f t="shared" si="47"/>
        <v>1.0975012227871555</v>
      </c>
      <c r="Q84" s="40">
        <f t="shared" si="47"/>
        <v>1.1949766018326524</v>
      </c>
      <c r="R84" s="40">
        <f t="shared" si="47"/>
        <v>1.3897497712672111</v>
      </c>
      <c r="S84" s="40">
        <f t="shared" si="47"/>
        <v>1.4578386625080322</v>
      </c>
      <c r="T84" s="40">
        <f t="shared" si="47"/>
        <v>1.3885653514915102</v>
      </c>
      <c r="U84" s="40">
        <f t="shared" si="47"/>
        <v>1.3881986760709129</v>
      </c>
      <c r="V84" s="40">
        <f t="shared" si="47"/>
        <v>1.1392061600096264</v>
      </c>
      <c r="W84" s="40">
        <f t="shared" si="47"/>
        <v>1.2033064009049488</v>
      </c>
      <c r="X84" s="40">
        <f t="shared" si="47"/>
        <v>1.1590510975362458</v>
      </c>
      <c r="Y84" s="40">
        <f t="shared" si="47"/>
        <v>0.99176510567468468</v>
      </c>
      <c r="Z84" s="40">
        <f t="shared" si="47"/>
        <v>0.66202553760261107</v>
      </c>
      <c r="AA84" s="40">
        <f t="shared" si="47"/>
        <v>1.0142366410407744</v>
      </c>
      <c r="AB84" s="40">
        <f t="shared" si="47"/>
        <v>0.91314271620078236</v>
      </c>
      <c r="AC84" s="40">
        <f t="shared" si="47"/>
        <v>0.86337906953211263</v>
      </c>
      <c r="AD84" s="40">
        <f t="shared" si="47"/>
        <v>0.91709345513116169</v>
      </c>
      <c r="AE84" s="40">
        <f t="shared" si="47"/>
        <v>0.71426220602255397</v>
      </c>
      <c r="AF84" s="40">
        <f t="shared" si="47"/>
        <v>0.4469497646766673</v>
      </c>
      <c r="AG84" s="40">
        <f t="shared" si="47"/>
        <v>0.98818156691263115</v>
      </c>
      <c r="AH84" s="40">
        <f>AVERAGE(AH78:AH83)</f>
        <v>0.95161807513117835</v>
      </c>
      <c r="AI84" s="40">
        <f>AVERAGE(AI78:AI83)</f>
        <v>0.95992697911344738</v>
      </c>
      <c r="AJ84" s="40">
        <f>AVERAGE(AJ78:AJ83)</f>
        <v>0.81930926024997275</v>
      </c>
    </row>
    <row r="85" spans="1:36">
      <c r="A85" s="2"/>
      <c r="B85" s="19" t="s">
        <v>52</v>
      </c>
      <c r="C85" s="41">
        <f>STDEV(C77:C83)</f>
        <v>4.6465524998476525E-2</v>
      </c>
      <c r="D85" s="41">
        <f t="shared" ref="D85:AJ85" si="48">STDEV(D77:D83)</f>
        <v>0.12116792253364125</v>
      </c>
      <c r="E85" s="41">
        <f t="shared" si="48"/>
        <v>6.8830130856940591E-2</v>
      </c>
      <c r="F85" s="41">
        <f t="shared" si="48"/>
        <v>3.957051658654135E-2</v>
      </c>
      <c r="G85" s="41">
        <f t="shared" si="48"/>
        <v>2.670527155486278E-2</v>
      </c>
      <c r="H85" s="41">
        <f t="shared" si="48"/>
        <v>2.7138073556737159E-2</v>
      </c>
      <c r="I85" s="41">
        <f t="shared" si="48"/>
        <v>7.9931535195512715E-2</v>
      </c>
      <c r="J85" s="41">
        <f t="shared" si="48"/>
        <v>2.5633547324789226E-2</v>
      </c>
      <c r="K85" s="41">
        <f t="shared" si="48"/>
        <v>3.4015363134459652E-2</v>
      </c>
      <c r="L85" s="41">
        <f t="shared" si="48"/>
        <v>2.4225943395170244E-2</v>
      </c>
      <c r="M85" s="41">
        <f t="shared" si="48"/>
        <v>5.0137424799773456E-2</v>
      </c>
      <c r="N85" s="41">
        <f t="shared" si="48"/>
        <v>2.6040884950556061E-2</v>
      </c>
      <c r="O85" s="41">
        <f t="shared" si="48"/>
        <v>2.7907664214637914E-2</v>
      </c>
      <c r="P85" s="41">
        <f t="shared" si="48"/>
        <v>4.1397332143841892E-2</v>
      </c>
      <c r="Q85" s="41">
        <f t="shared" si="48"/>
        <v>6.4796891108816215E-2</v>
      </c>
      <c r="R85" s="41">
        <f t="shared" si="48"/>
        <v>6.3438026834619604E-2</v>
      </c>
      <c r="S85" s="41">
        <f t="shared" si="48"/>
        <v>7.4890139022555632E-2</v>
      </c>
      <c r="T85" s="41">
        <f t="shared" si="48"/>
        <v>6.4167110569686464E-2</v>
      </c>
      <c r="U85" s="41">
        <f t="shared" si="48"/>
        <v>6.4221017260363888E-2</v>
      </c>
      <c r="V85" s="41">
        <f t="shared" si="48"/>
        <v>0.10684360588716547</v>
      </c>
      <c r="W85" s="41">
        <f t="shared" si="48"/>
        <v>5.0344503540540979E-2</v>
      </c>
      <c r="X85" s="41">
        <f t="shared" si="48"/>
        <v>4.4071319362541245E-2</v>
      </c>
      <c r="Y85" s="41">
        <f t="shared" si="48"/>
        <v>7.6201285300497176E-2</v>
      </c>
      <c r="Z85" s="41">
        <f t="shared" si="48"/>
        <v>5.8475021754343742E-2</v>
      </c>
      <c r="AA85" s="41">
        <f t="shared" si="48"/>
        <v>2.2557866111007383E-2</v>
      </c>
      <c r="AB85" s="41">
        <f t="shared" si="48"/>
        <v>4.3330783750698251E-2</v>
      </c>
      <c r="AC85" s="41">
        <f t="shared" si="48"/>
        <v>2.2859906826009482E-2</v>
      </c>
      <c r="AD85" s="41">
        <f t="shared" si="48"/>
        <v>4.2643989801706493E-2</v>
      </c>
      <c r="AE85" s="41">
        <f t="shared" si="48"/>
        <v>6.3858043064352429E-2</v>
      </c>
      <c r="AF85" s="41">
        <f t="shared" si="48"/>
        <v>0.23950076454707028</v>
      </c>
      <c r="AG85" s="41">
        <f t="shared" si="48"/>
        <v>5.2510350644995984E-2</v>
      </c>
      <c r="AH85" s="41">
        <f t="shared" si="48"/>
        <v>2.4923118733780215E-2</v>
      </c>
      <c r="AI85" s="41">
        <f t="shared" si="48"/>
        <v>2.5959698195593933E-2</v>
      </c>
      <c r="AJ85" s="41">
        <f t="shared" si="48"/>
        <v>3.1393380838913507E-2</v>
      </c>
    </row>
    <row r="86" spans="1:36">
      <c r="A86" s="2"/>
      <c r="B86" s="19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</row>
    <row r="87" spans="1:36">
      <c r="A87" s="2"/>
      <c r="B87" s="105"/>
      <c r="C87" s="7"/>
      <c r="AF87" t="s">
        <v>122</v>
      </c>
    </row>
    <row r="88" spans="1:36">
      <c r="A88" s="13" t="s">
        <v>54</v>
      </c>
      <c r="B88" s="14" t="s">
        <v>55</v>
      </c>
      <c r="C88" s="68">
        <f>TTEST(C66:C71,C77:C83,2,3)</f>
        <v>9.3343513004291688E-3</v>
      </c>
      <c r="D88" s="69">
        <f t="shared" ref="D88:AG88" si="49">TTEST(D66:D71,D77:D83,2,3)</f>
        <v>5.3061151142396935E-2</v>
      </c>
      <c r="E88" s="29">
        <f t="shared" si="49"/>
        <v>0.96555974286070723</v>
      </c>
      <c r="F88" s="29">
        <f t="shared" si="49"/>
        <v>5.0431951604675153E-2</v>
      </c>
      <c r="G88" s="29">
        <f t="shared" si="49"/>
        <v>0.11347608102789067</v>
      </c>
      <c r="H88" s="29">
        <f t="shared" si="49"/>
        <v>0.28332879109369968</v>
      </c>
      <c r="I88" s="29">
        <f t="shared" si="49"/>
        <v>0.88056865531906481</v>
      </c>
      <c r="J88" s="29">
        <f t="shared" si="49"/>
        <v>0.31546591587078854</v>
      </c>
      <c r="K88" s="29">
        <f t="shared" si="49"/>
        <v>0.82482535786775146</v>
      </c>
      <c r="L88" s="29">
        <f t="shared" si="49"/>
        <v>0.44139687401325445</v>
      </c>
      <c r="M88" s="29">
        <f t="shared" si="49"/>
        <v>0.22417285735127562</v>
      </c>
      <c r="N88" s="29">
        <f t="shared" si="49"/>
        <v>0.47104215502381208</v>
      </c>
      <c r="O88" s="29">
        <f t="shared" si="49"/>
        <v>0.55069213996092548</v>
      </c>
      <c r="P88" s="29">
        <f t="shared" si="49"/>
        <v>7.2152467672212506E-2</v>
      </c>
      <c r="Q88" s="29">
        <f t="shared" si="49"/>
        <v>0.1386351184479184</v>
      </c>
      <c r="R88" s="29">
        <f t="shared" si="49"/>
        <v>0.62578992440113446</v>
      </c>
      <c r="S88" s="29">
        <f t="shared" si="49"/>
        <v>0.81867301548253812</v>
      </c>
      <c r="T88" s="29">
        <f t="shared" si="49"/>
        <v>0.6268931186385216</v>
      </c>
      <c r="U88" s="29">
        <f t="shared" si="49"/>
        <v>0.63189833186180266</v>
      </c>
      <c r="V88" s="29">
        <f t="shared" si="49"/>
        <v>0.28602602073934885</v>
      </c>
      <c r="W88" s="29">
        <f t="shared" si="49"/>
        <v>0.49405560063317455</v>
      </c>
      <c r="X88" s="29">
        <f t="shared" si="49"/>
        <v>6.8019412830449502E-2</v>
      </c>
      <c r="Y88" s="29">
        <f t="shared" si="49"/>
        <v>0.12017791610882925</v>
      </c>
      <c r="Z88" s="29">
        <f t="shared" si="49"/>
        <v>0.3537659056218373</v>
      </c>
      <c r="AA88" s="69">
        <f t="shared" si="49"/>
        <v>0.83527846512668036</v>
      </c>
      <c r="AB88" s="29">
        <f t="shared" si="49"/>
        <v>0.89939606892602031</v>
      </c>
      <c r="AC88" s="29">
        <f t="shared" si="49"/>
        <v>0.67685718765780911</v>
      </c>
      <c r="AD88" s="29">
        <f t="shared" si="49"/>
        <v>0.1394816215611295</v>
      </c>
      <c r="AE88" s="29">
        <f t="shared" si="49"/>
        <v>5.0912297832166283E-2</v>
      </c>
      <c r="AF88" s="68">
        <f t="shared" si="49"/>
        <v>4.1469639622730807E-2</v>
      </c>
      <c r="AG88" s="29">
        <f t="shared" si="49"/>
        <v>0.31529464249852668</v>
      </c>
      <c r="AH88" s="29">
        <f>TTEST(AH66:AH71,AH77:AH83,2,3)</f>
        <v>0.96294550791092126</v>
      </c>
      <c r="AI88" s="29">
        <f>TTEST(AI66:AI71,AI77:AI83,2,3)</f>
        <v>0.32214798356300323</v>
      </c>
      <c r="AJ88" s="29">
        <f>TTEST(AJ66:AJ71,AJ77:AJ83,2,3)</f>
        <v>0.32874419555438344</v>
      </c>
    </row>
    <row r="89" spans="1:36">
      <c r="B89" t="s">
        <v>78</v>
      </c>
      <c r="C89" s="70">
        <f>C84/C72</f>
        <v>0.92574539719007398</v>
      </c>
      <c r="D89" s="71">
        <f t="shared" ref="D89:AG89" si="50">D84/D72</f>
        <v>0.78268121903335808</v>
      </c>
      <c r="E89" s="72">
        <f t="shared" si="50"/>
        <v>1.0078668760033926</v>
      </c>
      <c r="F89" s="72">
        <f t="shared" si="50"/>
        <v>0.90853175875394432</v>
      </c>
      <c r="G89" s="72">
        <f t="shared" si="50"/>
        <v>0.9628985033809383</v>
      </c>
      <c r="H89" s="72">
        <f t="shared" si="50"/>
        <v>0.98654138300894612</v>
      </c>
      <c r="I89" s="72">
        <f t="shared" si="50"/>
        <v>1.0048261642722833</v>
      </c>
      <c r="J89" s="72">
        <f t="shared" si="50"/>
        <v>0.99018835651814741</v>
      </c>
      <c r="K89" s="72">
        <f t="shared" si="50"/>
        <v>1.0028300201222264</v>
      </c>
      <c r="L89" s="72">
        <f t="shared" si="50"/>
        <v>0.99121346155655465</v>
      </c>
      <c r="M89" s="72">
        <f t="shared" si="50"/>
        <v>0.98564555549328137</v>
      </c>
      <c r="N89" s="72">
        <f t="shared" si="50"/>
        <v>0.99670310658930861</v>
      </c>
      <c r="O89" s="72">
        <f t="shared" si="50"/>
        <v>1.014045564448733</v>
      </c>
      <c r="P89" s="72">
        <f t="shared" si="50"/>
        <v>0.9718514159815016</v>
      </c>
      <c r="Q89" s="72">
        <f t="shared" si="50"/>
        <v>0.96899850648098051</v>
      </c>
      <c r="R89" s="72">
        <f t="shared" si="50"/>
        <v>0.99985530268481859</v>
      </c>
      <c r="S89" s="72">
        <f t="shared" si="50"/>
        <v>1.0046264395583275</v>
      </c>
      <c r="T89" s="72">
        <f t="shared" si="50"/>
        <v>0.99984957946653086</v>
      </c>
      <c r="U89" s="72">
        <f t="shared" si="50"/>
        <v>0.99998687946508402</v>
      </c>
      <c r="V89" s="72">
        <f t="shared" si="50"/>
        <v>1.0749913921822334</v>
      </c>
      <c r="W89" s="72">
        <f t="shared" si="50"/>
        <v>1.0555534266480704</v>
      </c>
      <c r="X89" s="72">
        <f t="shared" si="50"/>
        <v>0.97579799385325205</v>
      </c>
      <c r="Y89" s="72">
        <f t="shared" si="50"/>
        <v>0.95228993993889099</v>
      </c>
      <c r="Z89" s="72">
        <f t="shared" si="50"/>
        <v>0.9761443192498076</v>
      </c>
      <c r="AA89" s="72">
        <f t="shared" si="50"/>
        <v>1.0056118477553864</v>
      </c>
      <c r="AB89" s="72">
        <f t="shared" si="50"/>
        <v>1.014264027516435</v>
      </c>
      <c r="AC89" s="72">
        <f t="shared" si="50"/>
        <v>0.99612336916720368</v>
      </c>
      <c r="AD89" s="72">
        <f t="shared" si="50"/>
        <v>1.0342849894017418</v>
      </c>
      <c r="AE89" s="72">
        <f t="shared" si="50"/>
        <v>0.928556687610819</v>
      </c>
      <c r="AF89" s="70">
        <f t="shared" si="50"/>
        <v>0.64205762365236085</v>
      </c>
      <c r="AG89" s="72">
        <f t="shared" si="50"/>
        <v>1.0263467416263856</v>
      </c>
      <c r="AH89" s="72">
        <f>AH84/AH72</f>
        <v>1.0076764813311816</v>
      </c>
      <c r="AI89" s="72">
        <f>AI84/AI72</f>
        <v>0.95380667451791135</v>
      </c>
      <c r="AJ89" s="72">
        <f>AJ84/AJ72</f>
        <v>0.9565609983913228</v>
      </c>
    </row>
    <row r="90" spans="1:36">
      <c r="C90" s="44" t="s">
        <v>72</v>
      </c>
      <c r="D90" s="44"/>
      <c r="AF90" s="44" t="s">
        <v>72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1"/>
  <sheetViews>
    <sheetView topLeftCell="A24" workbookViewId="0">
      <selection activeCell="A49" sqref="A49:XFD49"/>
    </sheetView>
  </sheetViews>
  <sheetFormatPr baseColWidth="10" defaultRowHeight="15" x14ac:dyDescent="0"/>
  <sheetData>
    <row r="1" spans="1:33" ht="25">
      <c r="A1" s="4" t="s">
        <v>79</v>
      </c>
      <c r="B1" s="2"/>
    </row>
    <row r="2" spans="1:33" ht="25">
      <c r="A2" s="4"/>
      <c r="B2" s="2"/>
    </row>
    <row r="3" spans="1:33" ht="32" customHeight="1">
      <c r="A3" s="23" t="s">
        <v>49</v>
      </c>
      <c r="B3" s="5"/>
      <c r="C3" s="23"/>
      <c r="D3" s="23"/>
      <c r="E3" s="5"/>
      <c r="F3" s="5"/>
    </row>
    <row r="4" spans="1:33" s="53" customFormat="1" ht="52" customHeight="1">
      <c r="A4" s="78" t="s">
        <v>0</v>
      </c>
      <c r="B4" s="78" t="s">
        <v>1</v>
      </c>
      <c r="C4" s="79" t="s">
        <v>80</v>
      </c>
      <c r="D4" s="79" t="s">
        <v>81</v>
      </c>
      <c r="E4" s="79" t="s">
        <v>82</v>
      </c>
      <c r="F4" s="79" t="s">
        <v>83</v>
      </c>
      <c r="G4" s="79" t="s">
        <v>84</v>
      </c>
      <c r="H4" s="79" t="s">
        <v>85</v>
      </c>
      <c r="I4" s="79" t="s">
        <v>86</v>
      </c>
      <c r="J4" s="79" t="s">
        <v>87</v>
      </c>
      <c r="K4" s="79" t="s">
        <v>88</v>
      </c>
      <c r="L4" s="79" t="s">
        <v>89</v>
      </c>
      <c r="M4" s="79" t="s">
        <v>90</v>
      </c>
      <c r="N4" s="79" t="s">
        <v>91</v>
      </c>
      <c r="O4" s="79" t="s">
        <v>92</v>
      </c>
      <c r="P4" s="79" t="s">
        <v>93</v>
      </c>
      <c r="Q4" s="79" t="s">
        <v>94</v>
      </c>
      <c r="R4" s="79" t="s">
        <v>95</v>
      </c>
      <c r="S4" s="79" t="s">
        <v>96</v>
      </c>
      <c r="T4" s="79" t="s">
        <v>97</v>
      </c>
      <c r="U4" s="79" t="s">
        <v>98</v>
      </c>
      <c r="V4" s="79" t="s">
        <v>99</v>
      </c>
      <c r="W4" s="79" t="s">
        <v>100</v>
      </c>
      <c r="X4" s="79" t="s">
        <v>101</v>
      </c>
      <c r="Y4" s="79" t="s">
        <v>102</v>
      </c>
      <c r="Z4" s="79" t="s">
        <v>103</v>
      </c>
      <c r="AA4" s="79" t="s">
        <v>104</v>
      </c>
      <c r="AB4" s="79" t="s">
        <v>105</v>
      </c>
      <c r="AC4" s="79" t="s">
        <v>106</v>
      </c>
      <c r="AD4" s="79" t="s">
        <v>107</v>
      </c>
      <c r="AE4" s="79" t="s">
        <v>16</v>
      </c>
      <c r="AF4" s="79" t="s">
        <v>24</v>
      </c>
      <c r="AG4" s="79" t="s">
        <v>25</v>
      </c>
    </row>
    <row r="5" spans="1:33">
      <c r="A5" s="95" t="s">
        <v>108</v>
      </c>
      <c r="B5" s="96"/>
    </row>
    <row r="6" spans="1:33">
      <c r="A6" s="22" t="s">
        <v>119</v>
      </c>
      <c r="B6" s="22" t="s">
        <v>109</v>
      </c>
      <c r="C6" s="22">
        <v>5756</v>
      </c>
      <c r="D6" s="22">
        <v>29051</v>
      </c>
      <c r="E6" s="22">
        <v>370</v>
      </c>
      <c r="F6" s="22">
        <v>239492</v>
      </c>
      <c r="G6" s="22">
        <v>892</v>
      </c>
      <c r="H6" s="22">
        <v>15021</v>
      </c>
      <c r="I6" s="22">
        <v>188599</v>
      </c>
      <c r="J6" s="22">
        <v>1088</v>
      </c>
      <c r="K6" s="22">
        <v>1433</v>
      </c>
      <c r="L6" s="22">
        <v>16237</v>
      </c>
      <c r="M6" s="22">
        <v>145320</v>
      </c>
      <c r="N6" s="22">
        <v>116441</v>
      </c>
      <c r="O6" s="22">
        <v>354971</v>
      </c>
      <c r="P6" s="22">
        <v>116441</v>
      </c>
      <c r="Q6" s="22">
        <v>115969</v>
      </c>
      <c r="R6" s="22">
        <v>38478</v>
      </c>
      <c r="S6" s="22">
        <v>42163</v>
      </c>
      <c r="T6" s="22">
        <v>8384</v>
      </c>
      <c r="U6" s="22">
        <v>2753</v>
      </c>
      <c r="V6" s="93">
        <v>1</v>
      </c>
      <c r="W6" s="22">
        <v>21879</v>
      </c>
      <c r="X6" s="22">
        <v>22596</v>
      </c>
      <c r="Y6" s="22">
        <v>296</v>
      </c>
      <c r="Z6" s="22">
        <v>12654</v>
      </c>
      <c r="AA6" s="22">
        <v>642</v>
      </c>
      <c r="AB6" s="22">
        <v>2874</v>
      </c>
      <c r="AC6" s="22">
        <v>744</v>
      </c>
      <c r="AD6" s="22">
        <v>49953</v>
      </c>
      <c r="AE6" s="22">
        <v>548</v>
      </c>
      <c r="AF6" s="22">
        <v>1120</v>
      </c>
      <c r="AG6" s="22">
        <v>31</v>
      </c>
    </row>
    <row r="7" spans="1:33">
      <c r="A7" s="22" t="s">
        <v>120</v>
      </c>
      <c r="B7" s="22" t="s">
        <v>109</v>
      </c>
      <c r="C7" s="22">
        <v>3421</v>
      </c>
      <c r="D7" s="22">
        <v>97895</v>
      </c>
      <c r="E7" s="22">
        <v>345</v>
      </c>
      <c r="F7" s="22">
        <v>358423</v>
      </c>
      <c r="G7" s="22">
        <v>250</v>
      </c>
      <c r="H7" s="22">
        <v>4922</v>
      </c>
      <c r="I7" s="22">
        <v>53856</v>
      </c>
      <c r="J7" s="22">
        <v>100</v>
      </c>
      <c r="K7" s="93">
        <v>1</v>
      </c>
      <c r="L7" s="22">
        <v>5254</v>
      </c>
      <c r="M7" s="22">
        <v>63336</v>
      </c>
      <c r="N7" s="22">
        <v>31085</v>
      </c>
      <c r="O7" s="22">
        <v>94991</v>
      </c>
      <c r="P7" s="22">
        <v>31085</v>
      </c>
      <c r="Q7" s="22">
        <v>30904</v>
      </c>
      <c r="R7" s="22">
        <v>15184</v>
      </c>
      <c r="S7" s="22">
        <v>16498</v>
      </c>
      <c r="T7" s="22">
        <v>3113</v>
      </c>
      <c r="U7" s="22">
        <v>1968</v>
      </c>
      <c r="V7" s="93">
        <v>1</v>
      </c>
      <c r="W7" s="22">
        <v>5096</v>
      </c>
      <c r="X7" s="22">
        <v>5165</v>
      </c>
      <c r="Y7" s="22">
        <v>260</v>
      </c>
      <c r="Z7" s="22">
        <v>1147</v>
      </c>
      <c r="AA7" s="22">
        <v>719</v>
      </c>
      <c r="AB7" s="22">
        <v>1746</v>
      </c>
      <c r="AC7" s="22">
        <v>3503</v>
      </c>
      <c r="AD7" s="22">
        <v>7785</v>
      </c>
      <c r="AE7" s="93">
        <v>1</v>
      </c>
      <c r="AF7" s="93">
        <v>1</v>
      </c>
      <c r="AG7" s="22">
        <v>81</v>
      </c>
    </row>
    <row r="8" spans="1:33">
      <c r="A8" s="22" t="s">
        <v>121</v>
      </c>
      <c r="B8" s="22" t="s">
        <v>109</v>
      </c>
      <c r="C8" s="22">
        <v>3199</v>
      </c>
      <c r="D8" s="22">
        <v>112720</v>
      </c>
      <c r="E8" s="22">
        <v>317</v>
      </c>
      <c r="F8" s="22">
        <v>377580</v>
      </c>
      <c r="G8" s="22">
        <v>422</v>
      </c>
      <c r="H8" s="22">
        <v>5075</v>
      </c>
      <c r="I8" s="22">
        <v>76047</v>
      </c>
      <c r="J8" s="94">
        <v>1</v>
      </c>
      <c r="K8" s="22">
        <v>554</v>
      </c>
      <c r="L8" s="22">
        <v>6060</v>
      </c>
      <c r="M8" s="22">
        <v>63993</v>
      </c>
      <c r="N8" s="22">
        <v>35112</v>
      </c>
      <c r="O8" s="22">
        <v>107723</v>
      </c>
      <c r="P8" s="22">
        <v>35112</v>
      </c>
      <c r="Q8" s="22">
        <v>34862</v>
      </c>
      <c r="R8" s="22">
        <v>11873</v>
      </c>
      <c r="S8" s="22">
        <v>12241</v>
      </c>
      <c r="T8" s="22">
        <v>2126</v>
      </c>
      <c r="U8" s="22">
        <v>2385</v>
      </c>
      <c r="V8" s="22">
        <v>105</v>
      </c>
      <c r="W8" s="22">
        <v>8105</v>
      </c>
      <c r="X8" s="22">
        <v>6182</v>
      </c>
      <c r="Y8" s="94">
        <v>1</v>
      </c>
      <c r="Z8" s="22">
        <v>2461</v>
      </c>
      <c r="AA8" s="22">
        <v>729</v>
      </c>
      <c r="AB8" s="22">
        <v>940</v>
      </c>
      <c r="AC8" s="22">
        <v>45</v>
      </c>
      <c r="AD8" s="22">
        <v>8933</v>
      </c>
      <c r="AE8" s="94">
        <v>1</v>
      </c>
      <c r="AF8" s="22">
        <v>562</v>
      </c>
      <c r="AG8" s="22">
        <v>174</v>
      </c>
    </row>
    <row r="9" spans="1:33">
      <c r="B9" s="38" t="s">
        <v>110</v>
      </c>
      <c r="C9" s="91">
        <f t="shared" ref="C9:AG9" si="0">AVERAGE(C6:C8)</f>
        <v>4125.333333333333</v>
      </c>
      <c r="D9" s="91">
        <f t="shared" si="0"/>
        <v>79888.666666666672</v>
      </c>
      <c r="E9" s="91">
        <f t="shared" si="0"/>
        <v>344</v>
      </c>
      <c r="F9" s="91">
        <f t="shared" si="0"/>
        <v>325165</v>
      </c>
      <c r="G9" s="91">
        <f t="shared" si="0"/>
        <v>521.33333333333337</v>
      </c>
      <c r="H9" s="91">
        <f t="shared" si="0"/>
        <v>8339.3333333333339</v>
      </c>
      <c r="I9" s="91">
        <f t="shared" si="0"/>
        <v>106167.33333333333</v>
      </c>
      <c r="J9" s="91">
        <f t="shared" si="0"/>
        <v>396.33333333333331</v>
      </c>
      <c r="K9" s="91">
        <f t="shared" si="0"/>
        <v>662.66666666666663</v>
      </c>
      <c r="L9" s="91">
        <f t="shared" si="0"/>
        <v>9183.6666666666661</v>
      </c>
      <c r="M9" s="91">
        <f t="shared" si="0"/>
        <v>90883</v>
      </c>
      <c r="N9" s="91">
        <f t="shared" si="0"/>
        <v>60879.333333333336</v>
      </c>
      <c r="O9" s="91">
        <f t="shared" si="0"/>
        <v>185895</v>
      </c>
      <c r="P9" s="91">
        <f t="shared" si="0"/>
        <v>60879.333333333336</v>
      </c>
      <c r="Q9" s="91">
        <f t="shared" si="0"/>
        <v>60578.333333333336</v>
      </c>
      <c r="R9" s="91">
        <f t="shared" si="0"/>
        <v>21845</v>
      </c>
      <c r="S9" s="91">
        <f t="shared" si="0"/>
        <v>23634</v>
      </c>
      <c r="T9" s="91">
        <f t="shared" si="0"/>
        <v>4541</v>
      </c>
      <c r="U9" s="91">
        <f t="shared" si="0"/>
        <v>2368.6666666666665</v>
      </c>
      <c r="V9" s="91">
        <f t="shared" si="0"/>
        <v>35.666666666666664</v>
      </c>
      <c r="W9" s="91">
        <f t="shared" si="0"/>
        <v>11693.333333333334</v>
      </c>
      <c r="X9" s="91">
        <f t="shared" si="0"/>
        <v>11314.333333333334</v>
      </c>
      <c r="Y9" s="91">
        <f t="shared" si="0"/>
        <v>185.66666666666666</v>
      </c>
      <c r="Z9" s="91">
        <f t="shared" si="0"/>
        <v>5420.666666666667</v>
      </c>
      <c r="AA9" s="91">
        <f t="shared" si="0"/>
        <v>696.66666666666663</v>
      </c>
      <c r="AB9" s="91">
        <f t="shared" si="0"/>
        <v>1853.3333333333333</v>
      </c>
      <c r="AC9" s="91">
        <f t="shared" si="0"/>
        <v>1430.6666666666667</v>
      </c>
      <c r="AD9" s="91">
        <f t="shared" si="0"/>
        <v>22223.666666666668</v>
      </c>
      <c r="AE9" s="91">
        <f t="shared" si="0"/>
        <v>183.33333333333334</v>
      </c>
      <c r="AF9" s="91">
        <f t="shared" si="0"/>
        <v>561</v>
      </c>
      <c r="AG9" s="91">
        <f t="shared" si="0"/>
        <v>95.333333333333329</v>
      </c>
    </row>
    <row r="10" spans="1:33">
      <c r="B10" t="s">
        <v>52</v>
      </c>
      <c r="C10" s="92">
        <f t="shared" ref="C10:AG10" si="1">_xlfn.STDEV.S(C6:C8)</f>
        <v>1416.5543877074865</v>
      </c>
      <c r="D10" s="92">
        <f t="shared" si="1"/>
        <v>44646.348342650977</v>
      </c>
      <c r="E10" s="92">
        <f t="shared" si="1"/>
        <v>26.514147167125703</v>
      </c>
      <c r="F10" s="92">
        <f t="shared" si="1"/>
        <v>74810.726897952278</v>
      </c>
      <c r="G10" s="92">
        <f t="shared" si="1"/>
        <v>332.32714805344045</v>
      </c>
      <c r="H10" s="92">
        <f t="shared" si="1"/>
        <v>5786.9987327917506</v>
      </c>
      <c r="I10" s="92">
        <f t="shared" si="1"/>
        <v>72245.033547873274</v>
      </c>
      <c r="J10" s="92">
        <f t="shared" si="1"/>
        <v>601.04270508286959</v>
      </c>
      <c r="K10" s="92">
        <f t="shared" si="1"/>
        <v>722.15810826531151</v>
      </c>
      <c r="L10" s="92">
        <f t="shared" si="1"/>
        <v>6121.6453942819435</v>
      </c>
      <c r="M10" s="92">
        <f t="shared" si="1"/>
        <v>47144.969392290412</v>
      </c>
      <c r="N10" s="92">
        <f t="shared" si="1"/>
        <v>48159.924048251291</v>
      </c>
      <c r="O10" s="92">
        <f t="shared" si="1"/>
        <v>146562.43136629523</v>
      </c>
      <c r="P10" s="92">
        <f t="shared" si="1"/>
        <v>48159.924048251291</v>
      </c>
      <c r="Q10" s="92">
        <f t="shared" si="1"/>
        <v>48010.529119489329</v>
      </c>
      <c r="R10" s="92">
        <f t="shared" si="1"/>
        <v>14499.42057462987</v>
      </c>
      <c r="S10" s="92">
        <f t="shared" si="1"/>
        <v>16187.136652292771</v>
      </c>
      <c r="T10" s="92">
        <f t="shared" si="1"/>
        <v>3364.5250779270468</v>
      </c>
      <c r="U10" s="92">
        <f t="shared" si="1"/>
        <v>392.75480052232837</v>
      </c>
      <c r="V10" s="92">
        <f t="shared" si="1"/>
        <v>60.04442799572108</v>
      </c>
      <c r="W10" s="92">
        <f t="shared" si="1"/>
        <v>8948.4285957554221</v>
      </c>
      <c r="X10" s="92">
        <f t="shared" si="1"/>
        <v>9783.4336678557465</v>
      </c>
      <c r="Y10" s="92">
        <f t="shared" si="1"/>
        <v>160.93580500725542</v>
      </c>
      <c r="Z10" s="92">
        <f t="shared" si="1"/>
        <v>6298.6095555553638</v>
      </c>
      <c r="AA10" s="92">
        <f t="shared" si="1"/>
        <v>47.606022028030587</v>
      </c>
      <c r="AB10" s="92">
        <f t="shared" si="1"/>
        <v>971.45732450444416</v>
      </c>
      <c r="AC10" s="92">
        <f t="shared" si="1"/>
        <v>1828.4075949670887</v>
      </c>
      <c r="AD10" s="92">
        <f t="shared" si="1"/>
        <v>24021.166111022449</v>
      </c>
      <c r="AE10" s="92">
        <f t="shared" si="1"/>
        <v>315.81059724672531</v>
      </c>
      <c r="AF10" s="92">
        <f t="shared" si="1"/>
        <v>559.50067024088537</v>
      </c>
      <c r="AG10" s="92">
        <f t="shared" si="1"/>
        <v>72.569506911190558</v>
      </c>
    </row>
    <row r="12" spans="1:33">
      <c r="A12" s="80" t="s">
        <v>111</v>
      </c>
      <c r="B12" s="25"/>
    </row>
    <row r="13" spans="1:33" s="81" customFormat="1">
      <c r="A13" s="102" t="s">
        <v>124</v>
      </c>
      <c r="B13" s="81" t="s">
        <v>112</v>
      </c>
      <c r="C13" s="81">
        <v>5259</v>
      </c>
      <c r="D13" s="81">
        <v>77528</v>
      </c>
      <c r="E13" s="81">
        <v>546</v>
      </c>
      <c r="F13" s="81">
        <v>309362</v>
      </c>
      <c r="G13" s="81">
        <v>1053</v>
      </c>
      <c r="H13" s="81">
        <v>12781</v>
      </c>
      <c r="I13" s="81">
        <v>130535</v>
      </c>
      <c r="J13" s="81">
        <v>768</v>
      </c>
      <c r="K13" s="81">
        <v>1297</v>
      </c>
      <c r="L13" s="81">
        <v>15209</v>
      </c>
      <c r="M13" s="81">
        <v>112567</v>
      </c>
      <c r="N13" s="81">
        <v>95148</v>
      </c>
      <c r="O13" s="81">
        <v>277785</v>
      </c>
      <c r="P13" s="81">
        <v>95148</v>
      </c>
      <c r="Q13" s="81">
        <v>94700</v>
      </c>
      <c r="R13" s="81">
        <v>24354</v>
      </c>
      <c r="S13" s="81">
        <v>30603</v>
      </c>
      <c r="T13" s="81">
        <v>7248</v>
      </c>
      <c r="U13" s="81">
        <v>3756</v>
      </c>
      <c r="V13" s="81">
        <v>88</v>
      </c>
      <c r="W13" s="81">
        <v>9894</v>
      </c>
      <c r="X13" s="81">
        <v>9778</v>
      </c>
      <c r="Y13" s="81">
        <v>158</v>
      </c>
      <c r="Z13" s="81">
        <v>6361</v>
      </c>
      <c r="AA13" s="81">
        <v>1952</v>
      </c>
      <c r="AB13" s="81">
        <v>3570</v>
      </c>
      <c r="AC13" s="81">
        <v>1225</v>
      </c>
      <c r="AD13" s="81">
        <v>16629</v>
      </c>
      <c r="AE13" s="81">
        <v>662</v>
      </c>
      <c r="AF13" s="81">
        <v>645</v>
      </c>
      <c r="AG13" s="81">
        <v>146</v>
      </c>
    </row>
    <row r="14" spans="1:33" s="81" customFormat="1">
      <c r="A14" s="102" t="s">
        <v>125</v>
      </c>
      <c r="B14" s="81" t="s">
        <v>112</v>
      </c>
      <c r="C14" s="81">
        <v>3205</v>
      </c>
      <c r="D14" s="81">
        <v>95015</v>
      </c>
      <c r="E14" s="81">
        <v>453</v>
      </c>
      <c r="F14" s="81">
        <v>350809</v>
      </c>
      <c r="G14" s="81">
        <v>613</v>
      </c>
      <c r="H14" s="81">
        <v>7621</v>
      </c>
      <c r="I14" s="81">
        <v>85945</v>
      </c>
      <c r="J14" s="81">
        <v>214</v>
      </c>
      <c r="K14" s="81">
        <v>808</v>
      </c>
      <c r="L14" s="81">
        <v>7866</v>
      </c>
      <c r="M14" s="81">
        <v>80290</v>
      </c>
      <c r="N14" s="81">
        <v>62960</v>
      </c>
      <c r="O14" s="81">
        <v>188245</v>
      </c>
      <c r="P14" s="81">
        <v>62960</v>
      </c>
      <c r="Q14" s="81">
        <v>62611</v>
      </c>
      <c r="R14" s="81">
        <v>22119</v>
      </c>
      <c r="S14" s="81">
        <v>24050</v>
      </c>
      <c r="T14" s="81">
        <v>8745</v>
      </c>
      <c r="U14" s="81">
        <v>3663</v>
      </c>
      <c r="V14" s="81">
        <v>55</v>
      </c>
      <c r="W14" s="81">
        <v>11405</v>
      </c>
      <c r="X14" s="81">
        <v>8133</v>
      </c>
      <c r="Y14" s="81">
        <v>965</v>
      </c>
      <c r="Z14" s="81">
        <v>2819</v>
      </c>
      <c r="AA14" s="81">
        <v>1421</v>
      </c>
      <c r="AB14" s="81">
        <v>2128</v>
      </c>
      <c r="AC14" s="81">
        <v>884</v>
      </c>
      <c r="AD14" s="81">
        <v>4919</v>
      </c>
      <c r="AE14" s="81">
        <v>40</v>
      </c>
      <c r="AF14" s="81">
        <v>406</v>
      </c>
      <c r="AG14" s="81">
        <v>275</v>
      </c>
    </row>
    <row r="15" spans="1:33" s="81" customFormat="1">
      <c r="A15" s="102" t="s">
        <v>126</v>
      </c>
      <c r="B15" s="81" t="s">
        <v>113</v>
      </c>
      <c r="C15" s="81">
        <v>3384</v>
      </c>
      <c r="D15" s="81">
        <v>100140</v>
      </c>
      <c r="E15" s="81">
        <v>344</v>
      </c>
      <c r="F15" s="81">
        <v>350029</v>
      </c>
      <c r="G15" s="81">
        <v>1113</v>
      </c>
      <c r="H15" s="81">
        <v>14894</v>
      </c>
      <c r="I15" s="81">
        <v>111827</v>
      </c>
      <c r="J15" s="81">
        <v>580</v>
      </c>
      <c r="K15" s="81">
        <v>1160</v>
      </c>
      <c r="L15" s="81">
        <v>11305</v>
      </c>
      <c r="M15" s="81">
        <v>99271</v>
      </c>
      <c r="N15" s="81">
        <v>64221</v>
      </c>
      <c r="O15" s="81">
        <v>189348</v>
      </c>
      <c r="P15" s="81">
        <v>64221</v>
      </c>
      <c r="Q15" s="81">
        <v>64025</v>
      </c>
      <c r="R15" s="81">
        <v>16522</v>
      </c>
      <c r="S15" s="81">
        <v>19176</v>
      </c>
      <c r="T15" s="81">
        <v>4455</v>
      </c>
      <c r="U15" s="81">
        <v>3127</v>
      </c>
      <c r="V15" s="81">
        <v>229</v>
      </c>
      <c r="W15" s="81">
        <v>16032</v>
      </c>
      <c r="X15" s="81">
        <v>10803</v>
      </c>
      <c r="Y15" s="81">
        <v>731</v>
      </c>
      <c r="Z15" s="81">
        <v>9710</v>
      </c>
      <c r="AA15" s="81">
        <v>1625</v>
      </c>
      <c r="AB15" s="81">
        <v>1431</v>
      </c>
      <c r="AC15" s="81">
        <v>976</v>
      </c>
      <c r="AD15" s="81">
        <v>21607</v>
      </c>
      <c r="AE15" s="81">
        <v>236</v>
      </c>
      <c r="AF15" s="81">
        <v>556</v>
      </c>
      <c r="AG15" s="82">
        <v>1</v>
      </c>
    </row>
    <row r="16" spans="1:33" s="81" customFormat="1">
      <c r="A16" s="102" t="s">
        <v>127</v>
      </c>
      <c r="B16" s="81" t="s">
        <v>113</v>
      </c>
      <c r="C16" s="81">
        <v>5642</v>
      </c>
      <c r="D16" s="81">
        <v>192471</v>
      </c>
      <c r="E16" s="81">
        <v>427</v>
      </c>
      <c r="F16" s="81">
        <v>415610</v>
      </c>
      <c r="G16" s="81">
        <v>788</v>
      </c>
      <c r="H16" s="81">
        <v>10162</v>
      </c>
      <c r="I16" s="81">
        <v>137091</v>
      </c>
      <c r="J16" s="81">
        <v>1122</v>
      </c>
      <c r="K16" s="81">
        <v>1253</v>
      </c>
      <c r="L16" s="81">
        <v>13606</v>
      </c>
      <c r="M16" s="81">
        <v>124632</v>
      </c>
      <c r="N16" s="81">
        <v>74014</v>
      </c>
      <c r="O16" s="81">
        <v>222811</v>
      </c>
      <c r="P16" s="81">
        <v>74014</v>
      </c>
      <c r="Q16" s="81">
        <v>73502</v>
      </c>
      <c r="R16" s="81">
        <v>26085</v>
      </c>
      <c r="S16" s="81">
        <v>28175</v>
      </c>
      <c r="T16" s="81">
        <v>7449</v>
      </c>
      <c r="U16" s="81">
        <v>3108</v>
      </c>
      <c r="V16" s="81">
        <v>109</v>
      </c>
      <c r="W16" s="81">
        <v>13356</v>
      </c>
      <c r="X16" s="81">
        <v>18948</v>
      </c>
      <c r="Y16" s="81">
        <v>532</v>
      </c>
      <c r="Z16" s="81">
        <v>11991</v>
      </c>
      <c r="AA16" s="81">
        <v>760</v>
      </c>
      <c r="AB16" s="81">
        <v>1386</v>
      </c>
      <c r="AC16" s="81">
        <v>395</v>
      </c>
      <c r="AD16" s="81">
        <v>31664</v>
      </c>
      <c r="AE16" s="81">
        <v>174</v>
      </c>
      <c r="AF16" s="81">
        <v>922</v>
      </c>
      <c r="AG16" s="82">
        <v>1</v>
      </c>
    </row>
    <row r="17" spans="1:34" s="81" customFormat="1">
      <c r="A17" s="102" t="s">
        <v>128</v>
      </c>
      <c r="B17" s="81" t="s">
        <v>114</v>
      </c>
      <c r="C17" s="81">
        <v>2952</v>
      </c>
      <c r="D17" s="81">
        <v>92922</v>
      </c>
      <c r="E17" s="81">
        <v>105</v>
      </c>
      <c r="F17" s="81">
        <v>375783</v>
      </c>
      <c r="G17" s="81">
        <v>194</v>
      </c>
      <c r="H17" s="81">
        <v>4612</v>
      </c>
      <c r="I17" s="81">
        <v>49878</v>
      </c>
      <c r="J17" s="81">
        <v>41</v>
      </c>
      <c r="K17" s="82">
        <v>1</v>
      </c>
      <c r="L17" s="81">
        <v>4616</v>
      </c>
      <c r="M17" s="81">
        <v>60889</v>
      </c>
      <c r="N17" s="81">
        <v>28587</v>
      </c>
      <c r="O17" s="81">
        <v>88835</v>
      </c>
      <c r="P17" s="81">
        <v>28587</v>
      </c>
      <c r="Q17" s="81">
        <v>28024</v>
      </c>
      <c r="R17" s="81">
        <v>11659</v>
      </c>
      <c r="S17" s="81">
        <v>12062</v>
      </c>
      <c r="T17" s="81">
        <v>4984</v>
      </c>
      <c r="U17" s="81">
        <v>3033</v>
      </c>
      <c r="V17" s="81">
        <v>140</v>
      </c>
      <c r="W17" s="81">
        <v>4983</v>
      </c>
      <c r="X17" s="81">
        <v>4668</v>
      </c>
      <c r="Y17" s="81">
        <v>247</v>
      </c>
      <c r="Z17" s="81">
        <v>1084</v>
      </c>
      <c r="AA17" s="81">
        <v>119</v>
      </c>
      <c r="AB17" s="81">
        <v>1735</v>
      </c>
      <c r="AC17" s="82">
        <v>1</v>
      </c>
      <c r="AD17" s="81">
        <v>4571</v>
      </c>
      <c r="AE17" s="82">
        <v>1</v>
      </c>
      <c r="AF17" s="81">
        <v>350</v>
      </c>
      <c r="AG17" s="82">
        <v>1</v>
      </c>
    </row>
    <row r="18" spans="1:34" s="81" customFormat="1">
      <c r="A18" s="102" t="s">
        <v>129</v>
      </c>
      <c r="B18" s="81" t="s">
        <v>113</v>
      </c>
      <c r="C18" s="81">
        <v>3912</v>
      </c>
      <c r="D18" s="81">
        <v>85330</v>
      </c>
      <c r="E18" s="81">
        <v>516</v>
      </c>
      <c r="F18" s="81">
        <v>333954</v>
      </c>
      <c r="G18" s="81">
        <v>889</v>
      </c>
      <c r="H18" s="81">
        <v>15823</v>
      </c>
      <c r="I18" s="81">
        <v>161472</v>
      </c>
      <c r="J18" s="81">
        <v>934</v>
      </c>
      <c r="K18" s="81">
        <v>1748</v>
      </c>
      <c r="L18" s="81">
        <v>15316</v>
      </c>
      <c r="M18" s="81">
        <v>125706</v>
      </c>
      <c r="N18" s="81">
        <v>116872</v>
      </c>
      <c r="O18" s="81">
        <v>342295</v>
      </c>
      <c r="P18" s="81">
        <v>116872</v>
      </c>
      <c r="Q18" s="81">
        <v>116428</v>
      </c>
      <c r="R18" s="81">
        <v>36568</v>
      </c>
      <c r="S18" s="81">
        <v>40294</v>
      </c>
      <c r="T18" s="81">
        <v>13061</v>
      </c>
      <c r="U18" s="81">
        <v>4832</v>
      </c>
      <c r="V18" s="81">
        <v>230</v>
      </c>
      <c r="W18" s="81">
        <v>19828</v>
      </c>
      <c r="X18" s="81">
        <v>15070</v>
      </c>
      <c r="Y18" s="81">
        <v>1480</v>
      </c>
      <c r="Z18" s="81">
        <v>7587</v>
      </c>
      <c r="AA18" s="81">
        <v>1692</v>
      </c>
      <c r="AB18" s="81">
        <v>3905</v>
      </c>
      <c r="AC18" s="81">
        <v>849</v>
      </c>
      <c r="AD18" s="81">
        <v>18129</v>
      </c>
      <c r="AE18" s="81">
        <v>573</v>
      </c>
      <c r="AF18" s="81">
        <v>860</v>
      </c>
      <c r="AG18" s="81">
        <v>297</v>
      </c>
    </row>
    <row r="19" spans="1:34" s="81" customFormat="1">
      <c r="A19" s="81" t="s">
        <v>130</v>
      </c>
      <c r="B19" s="81" t="s">
        <v>113</v>
      </c>
      <c r="C19" s="81">
        <v>3828</v>
      </c>
      <c r="D19" s="81">
        <v>97504</v>
      </c>
      <c r="E19" s="81">
        <v>198</v>
      </c>
      <c r="F19" s="81">
        <v>361557</v>
      </c>
      <c r="G19" s="81">
        <v>366</v>
      </c>
      <c r="H19" s="81">
        <v>7808</v>
      </c>
      <c r="I19" s="81">
        <v>100399</v>
      </c>
      <c r="J19" s="81">
        <v>509</v>
      </c>
      <c r="K19" s="81">
        <v>674</v>
      </c>
      <c r="L19" s="81">
        <v>9768</v>
      </c>
      <c r="M19" s="81">
        <v>103400</v>
      </c>
      <c r="N19" s="81">
        <v>80698</v>
      </c>
      <c r="O19" s="81">
        <v>241756</v>
      </c>
      <c r="P19" s="81">
        <v>80698</v>
      </c>
      <c r="Q19" s="81">
        <v>80376</v>
      </c>
      <c r="R19" s="81">
        <v>32474</v>
      </c>
      <c r="S19" s="81">
        <v>35335</v>
      </c>
      <c r="T19" s="81">
        <v>14661</v>
      </c>
      <c r="U19" s="81">
        <v>3544</v>
      </c>
      <c r="V19" s="98">
        <v>1</v>
      </c>
      <c r="W19" s="81">
        <v>8572</v>
      </c>
      <c r="X19" s="81">
        <v>9275</v>
      </c>
      <c r="Y19" s="81">
        <v>134</v>
      </c>
      <c r="Z19" s="81">
        <v>4368</v>
      </c>
      <c r="AA19" s="81">
        <v>630</v>
      </c>
      <c r="AB19" s="81">
        <v>942</v>
      </c>
      <c r="AC19" s="98">
        <v>1</v>
      </c>
      <c r="AD19" s="81">
        <v>19985</v>
      </c>
      <c r="AE19" s="98">
        <v>1</v>
      </c>
      <c r="AF19" s="81">
        <v>249</v>
      </c>
      <c r="AG19" s="81">
        <v>279</v>
      </c>
    </row>
    <row r="20" spans="1:34">
      <c r="B20" s="99" t="s">
        <v>110</v>
      </c>
      <c r="C20" s="91">
        <f>AVERAGE(C13:C19)</f>
        <v>4026</v>
      </c>
      <c r="D20" s="91">
        <f t="shared" ref="D20:AG20" si="2">AVERAGE(D13:D19)</f>
        <v>105844.28571428571</v>
      </c>
      <c r="E20" s="91">
        <f t="shared" si="2"/>
        <v>369.85714285714283</v>
      </c>
      <c r="F20" s="91">
        <f t="shared" si="2"/>
        <v>356729.14285714284</v>
      </c>
      <c r="G20" s="91">
        <f t="shared" si="2"/>
        <v>716.57142857142856</v>
      </c>
      <c r="H20" s="91">
        <f t="shared" si="2"/>
        <v>10528.714285714286</v>
      </c>
      <c r="I20" s="91">
        <f t="shared" si="2"/>
        <v>111021</v>
      </c>
      <c r="J20" s="91">
        <f t="shared" si="2"/>
        <v>595.42857142857144</v>
      </c>
      <c r="K20" s="91">
        <f t="shared" si="2"/>
        <v>991.57142857142856</v>
      </c>
      <c r="L20" s="91">
        <f t="shared" si="2"/>
        <v>11098</v>
      </c>
      <c r="M20" s="91">
        <f t="shared" si="2"/>
        <v>100965</v>
      </c>
      <c r="N20" s="91">
        <f t="shared" si="2"/>
        <v>74642.857142857145</v>
      </c>
      <c r="O20" s="91">
        <f t="shared" si="2"/>
        <v>221582.14285714287</v>
      </c>
      <c r="P20" s="91">
        <f t="shared" si="2"/>
        <v>74642.857142857145</v>
      </c>
      <c r="Q20" s="91">
        <f t="shared" si="2"/>
        <v>74238</v>
      </c>
      <c r="R20" s="91">
        <f t="shared" si="2"/>
        <v>24254.428571428572</v>
      </c>
      <c r="S20" s="91">
        <f t="shared" si="2"/>
        <v>27099.285714285714</v>
      </c>
      <c r="T20" s="91">
        <f t="shared" si="2"/>
        <v>8657.5714285714294</v>
      </c>
      <c r="U20" s="91">
        <f t="shared" si="2"/>
        <v>3580.4285714285716</v>
      </c>
      <c r="V20" s="91">
        <f t="shared" si="2"/>
        <v>121.71428571428571</v>
      </c>
      <c r="W20" s="91">
        <f t="shared" si="2"/>
        <v>12010</v>
      </c>
      <c r="X20" s="91">
        <f t="shared" si="2"/>
        <v>10953.571428571429</v>
      </c>
      <c r="Y20" s="91">
        <f t="shared" si="2"/>
        <v>606.71428571428567</v>
      </c>
      <c r="Z20" s="91">
        <f t="shared" si="2"/>
        <v>6274.2857142857147</v>
      </c>
      <c r="AA20" s="91">
        <f t="shared" si="2"/>
        <v>1171.2857142857142</v>
      </c>
      <c r="AB20" s="91">
        <f t="shared" si="2"/>
        <v>2156.7142857142858</v>
      </c>
      <c r="AC20" s="91">
        <f t="shared" si="2"/>
        <v>618.71428571428567</v>
      </c>
      <c r="AD20" s="91">
        <f t="shared" si="2"/>
        <v>16786.285714285714</v>
      </c>
      <c r="AE20" s="91">
        <f t="shared" si="2"/>
        <v>241</v>
      </c>
      <c r="AF20" s="91">
        <f t="shared" si="2"/>
        <v>569.71428571428567</v>
      </c>
      <c r="AG20" s="91">
        <f t="shared" si="2"/>
        <v>142.85714285714286</v>
      </c>
    </row>
    <row r="21" spans="1:34">
      <c r="B21" s="81" t="s">
        <v>52</v>
      </c>
      <c r="C21" s="8">
        <f>_xlfn.STDEV.S(C13:C19)</f>
        <v>1034.7001175864114</v>
      </c>
      <c r="D21" s="8">
        <f t="shared" ref="D21:AG21" si="3">_xlfn.STDEV.S(D13:D19)</f>
        <v>38972.626550414789</v>
      </c>
      <c r="E21" s="8">
        <f t="shared" si="3"/>
        <v>164.78008432597733</v>
      </c>
      <c r="F21" s="8">
        <f t="shared" si="3"/>
        <v>33405.604257512299</v>
      </c>
      <c r="G21" s="8">
        <f t="shared" si="3"/>
        <v>344.45166915106154</v>
      </c>
      <c r="H21" s="8">
        <f t="shared" si="3"/>
        <v>4146.4251154573194</v>
      </c>
      <c r="I21" s="8">
        <f t="shared" si="3"/>
        <v>36711.699411313923</v>
      </c>
      <c r="J21" s="8">
        <f t="shared" si="3"/>
        <v>383.46571213206579</v>
      </c>
      <c r="K21" s="8">
        <f t="shared" si="3"/>
        <v>559.45892227605566</v>
      </c>
      <c r="L21" s="8">
        <f t="shared" si="3"/>
        <v>3984.465794390343</v>
      </c>
      <c r="M21" s="8">
        <f t="shared" si="3"/>
        <v>23626.223552090025</v>
      </c>
      <c r="N21" s="8">
        <f t="shared" si="3"/>
        <v>27710.009746350806</v>
      </c>
      <c r="O21" s="8">
        <f t="shared" si="3"/>
        <v>79489.054413020829</v>
      </c>
      <c r="P21" s="8">
        <f t="shared" si="3"/>
        <v>27710.009746350806</v>
      </c>
      <c r="Q21" s="8">
        <f t="shared" si="3"/>
        <v>27725.236933162538</v>
      </c>
      <c r="R21" s="8">
        <f t="shared" si="3"/>
        <v>8617.2465605734124</v>
      </c>
      <c r="S21" s="8">
        <f t="shared" si="3"/>
        <v>9605.1827279909303</v>
      </c>
      <c r="T21" s="8">
        <f t="shared" si="3"/>
        <v>3873.9138631424967</v>
      </c>
      <c r="U21" s="8">
        <f t="shared" si="3"/>
        <v>623.68070280201823</v>
      </c>
      <c r="V21" s="8">
        <f t="shared" si="3"/>
        <v>85.52916517327931</v>
      </c>
      <c r="W21" s="8">
        <f t="shared" si="3"/>
        <v>4918.5258292839462</v>
      </c>
      <c r="X21" s="8">
        <f t="shared" si="3"/>
        <v>4700.0380444255579</v>
      </c>
      <c r="Y21" s="8">
        <f t="shared" si="3"/>
        <v>494.33851906216194</v>
      </c>
      <c r="Z21" s="8">
        <f t="shared" si="3"/>
        <v>3845.5100101410781</v>
      </c>
      <c r="AA21" s="8">
        <f t="shared" si="3"/>
        <v>673.0927906031269</v>
      </c>
      <c r="AB21" s="8">
        <f t="shared" si="3"/>
        <v>1142.27400599064</v>
      </c>
      <c r="AC21" s="8">
        <f t="shared" si="3"/>
        <v>488.50681137718516</v>
      </c>
      <c r="AD21" s="8">
        <f t="shared" si="3"/>
        <v>9545.4241867379533</v>
      </c>
      <c r="AE21" s="8">
        <f t="shared" si="3"/>
        <v>273.12390350657091</v>
      </c>
      <c r="AF21" s="8">
        <f t="shared" si="3"/>
        <v>255.6564845554247</v>
      </c>
      <c r="AG21" s="8">
        <f t="shared" si="3"/>
        <v>141.50197710212223</v>
      </c>
    </row>
    <row r="26" spans="1:34" ht="20">
      <c r="A26" s="5" t="s">
        <v>69</v>
      </c>
      <c r="B26" s="6"/>
      <c r="C26" s="83"/>
      <c r="D26" s="83"/>
      <c r="E26" s="83"/>
      <c r="F26" s="83"/>
    </row>
    <row r="27" spans="1:34" s="53" customFormat="1" ht="52" customHeight="1">
      <c r="A27" s="78" t="s">
        <v>0</v>
      </c>
      <c r="B27" s="78" t="s">
        <v>1</v>
      </c>
      <c r="C27" s="79" t="s">
        <v>80</v>
      </c>
      <c r="D27" s="79" t="s">
        <v>81</v>
      </c>
      <c r="E27" s="79" t="s">
        <v>82</v>
      </c>
      <c r="F27" s="79" t="s">
        <v>83</v>
      </c>
      <c r="G27" s="79" t="s">
        <v>84</v>
      </c>
      <c r="H27" s="79" t="s">
        <v>85</v>
      </c>
      <c r="I27" s="79" t="s">
        <v>86</v>
      </c>
      <c r="J27" s="79" t="s">
        <v>87</v>
      </c>
      <c r="K27" s="79" t="s">
        <v>88</v>
      </c>
      <c r="L27" s="79" t="s">
        <v>89</v>
      </c>
      <c r="M27" s="79" t="s">
        <v>90</v>
      </c>
      <c r="N27" s="79" t="s">
        <v>91</v>
      </c>
      <c r="O27" s="79" t="s">
        <v>92</v>
      </c>
      <c r="P27" s="79" t="s">
        <v>93</v>
      </c>
      <c r="Q27" s="79" t="s">
        <v>94</v>
      </c>
      <c r="R27" s="79" t="s">
        <v>95</v>
      </c>
      <c r="S27" s="79" t="s">
        <v>96</v>
      </c>
      <c r="T27" s="79" t="s">
        <v>97</v>
      </c>
      <c r="U27" s="79" t="s">
        <v>98</v>
      </c>
      <c r="V27" s="79" t="s">
        <v>99</v>
      </c>
      <c r="W27" s="79" t="s">
        <v>100</v>
      </c>
      <c r="X27" s="79" t="s">
        <v>101</v>
      </c>
      <c r="Y27" s="79" t="s">
        <v>102</v>
      </c>
      <c r="Z27" s="79" t="s">
        <v>103</v>
      </c>
      <c r="AA27" s="79" t="s">
        <v>104</v>
      </c>
      <c r="AB27" s="79" t="s">
        <v>105</v>
      </c>
      <c r="AC27" s="79" t="s">
        <v>106</v>
      </c>
      <c r="AD27" s="79" t="s">
        <v>107</v>
      </c>
      <c r="AE27" s="79" t="s">
        <v>16</v>
      </c>
      <c r="AF27" s="79" t="s">
        <v>24</v>
      </c>
      <c r="AG27" s="79" t="s">
        <v>25</v>
      </c>
      <c r="AH27" s="97" t="s">
        <v>70</v>
      </c>
    </row>
    <row r="28" spans="1:34">
      <c r="A28" s="28" t="s">
        <v>115</v>
      </c>
      <c r="B28" s="25"/>
    </row>
    <row r="29" spans="1:34">
      <c r="A29" s="22" t="s">
        <v>119</v>
      </c>
      <c r="B29" s="22" t="s">
        <v>109</v>
      </c>
      <c r="C29" s="22">
        <f t="shared" ref="C29:AG29" si="4">LOG(C6)</f>
        <v>3.7601207852645677</v>
      </c>
      <c r="D29" s="22">
        <f t="shared" si="4"/>
        <v>4.4631610863651492</v>
      </c>
      <c r="E29" s="22">
        <f t="shared" si="4"/>
        <v>2.568201724066995</v>
      </c>
      <c r="F29" s="22">
        <f t="shared" si="4"/>
        <v>5.3792910108032608</v>
      </c>
      <c r="G29" s="22">
        <f t="shared" si="4"/>
        <v>2.9503648543761232</v>
      </c>
      <c r="H29" s="22">
        <f t="shared" si="4"/>
        <v>4.1766988461185717</v>
      </c>
      <c r="I29" s="22">
        <f t="shared" si="4"/>
        <v>5.2755393856673045</v>
      </c>
      <c r="J29" s="22">
        <f t="shared" si="4"/>
        <v>3.0366288953621612</v>
      </c>
      <c r="K29" s="22">
        <f t="shared" si="4"/>
        <v>3.1562461903973444</v>
      </c>
      <c r="L29" s="22">
        <f t="shared" si="4"/>
        <v>4.2105057906809726</v>
      </c>
      <c r="M29" s="22">
        <f t="shared" si="4"/>
        <v>5.1623253891906771</v>
      </c>
      <c r="N29" s="22">
        <f t="shared" si="4"/>
        <v>5.0661059265212991</v>
      </c>
      <c r="O29" s="22">
        <f t="shared" si="4"/>
        <v>5.5501928740285358</v>
      </c>
      <c r="P29" s="22">
        <f t="shared" si="4"/>
        <v>5.0661059265212991</v>
      </c>
      <c r="Q29" s="22">
        <f t="shared" si="4"/>
        <v>5.0643419122595725</v>
      </c>
      <c r="R29" s="22">
        <f t="shared" si="4"/>
        <v>4.5852124903008828</v>
      </c>
      <c r="S29" s="22">
        <f t="shared" si="4"/>
        <v>4.6249315044125776</v>
      </c>
      <c r="T29" s="22">
        <f t="shared" si="4"/>
        <v>3.9234512696396515</v>
      </c>
      <c r="U29" s="22">
        <f t="shared" si="4"/>
        <v>3.4398062113933303</v>
      </c>
      <c r="V29" s="22">
        <f t="shared" si="4"/>
        <v>0</v>
      </c>
      <c r="W29" s="22">
        <f t="shared" si="4"/>
        <v>4.3400274682826607</v>
      </c>
      <c r="X29" s="22">
        <f t="shared" si="4"/>
        <v>4.3540315660642896</v>
      </c>
      <c r="Y29" s="22">
        <f t="shared" si="4"/>
        <v>2.4712917110589387</v>
      </c>
      <c r="Z29" s="22">
        <f t="shared" si="4"/>
        <v>4.1022278301231303</v>
      </c>
      <c r="AA29" s="22">
        <f t="shared" si="4"/>
        <v>2.8075350280688531</v>
      </c>
      <c r="AB29" s="22">
        <f t="shared" si="4"/>
        <v>3.4584867637982066</v>
      </c>
      <c r="AC29" s="22">
        <f t="shared" si="4"/>
        <v>2.8715729355458786</v>
      </c>
      <c r="AD29" s="22">
        <f t="shared" si="4"/>
        <v>4.6985615755314036</v>
      </c>
      <c r="AE29" s="22">
        <f t="shared" si="4"/>
        <v>2.7387805584843692</v>
      </c>
      <c r="AF29" s="22">
        <f t="shared" si="4"/>
        <v>3.0492180226701815</v>
      </c>
      <c r="AG29" s="22">
        <f t="shared" si="4"/>
        <v>1.4913616938342726</v>
      </c>
      <c r="AH29">
        <f>MEDIAN(C29:AG29)</f>
        <v>4.1022278301231303</v>
      </c>
    </row>
    <row r="30" spans="1:34">
      <c r="A30" s="22" t="s">
        <v>120</v>
      </c>
      <c r="B30" s="22" t="s">
        <v>109</v>
      </c>
      <c r="C30" s="22">
        <f t="shared" ref="C30:AG30" si="5">LOG(C7)</f>
        <v>3.5341530741850624</v>
      </c>
      <c r="D30" s="22">
        <f t="shared" si="5"/>
        <v>4.9907605107218025</v>
      </c>
      <c r="E30" s="22">
        <f t="shared" si="5"/>
        <v>2.537819095073274</v>
      </c>
      <c r="F30" s="22">
        <f t="shared" si="5"/>
        <v>5.5543958705564584</v>
      </c>
      <c r="G30" s="22">
        <f t="shared" si="5"/>
        <v>2.3979400086720375</v>
      </c>
      <c r="H30" s="22">
        <f t="shared" si="5"/>
        <v>3.6921416093667836</v>
      </c>
      <c r="I30" s="22">
        <f t="shared" si="5"/>
        <v>4.7312340942957301</v>
      </c>
      <c r="J30" s="22">
        <f t="shared" si="5"/>
        <v>2</v>
      </c>
      <c r="K30" s="22">
        <f t="shared" si="5"/>
        <v>0</v>
      </c>
      <c r="L30" s="22">
        <f t="shared" si="5"/>
        <v>3.7204900684500513</v>
      </c>
      <c r="M30" s="22">
        <f t="shared" si="5"/>
        <v>4.8016506319316559</v>
      </c>
      <c r="N30" s="22">
        <f t="shared" si="5"/>
        <v>4.4925508717041742</v>
      </c>
      <c r="O30" s="22">
        <f t="shared" si="5"/>
        <v>4.9776824596520539</v>
      </c>
      <c r="P30" s="22">
        <f t="shared" si="5"/>
        <v>4.4925508717041742</v>
      </c>
      <c r="Q30" s="22">
        <f t="shared" si="5"/>
        <v>4.4900146951367637</v>
      </c>
      <c r="R30" s="22">
        <f t="shared" si="5"/>
        <v>4.1813861950832178</v>
      </c>
      <c r="S30" s="22">
        <f t="shared" si="5"/>
        <v>4.2174312992678571</v>
      </c>
      <c r="T30" s="22">
        <f t="shared" si="5"/>
        <v>3.4931791206825151</v>
      </c>
      <c r="U30" s="22">
        <f t="shared" si="5"/>
        <v>3.2940250940953226</v>
      </c>
      <c r="V30" s="22">
        <f t="shared" si="5"/>
        <v>0</v>
      </c>
      <c r="W30" s="22">
        <f t="shared" si="5"/>
        <v>3.7072294193272941</v>
      </c>
      <c r="X30" s="22">
        <f t="shared" si="5"/>
        <v>3.7130703258556395</v>
      </c>
      <c r="Y30" s="22">
        <f t="shared" si="5"/>
        <v>2.4149733479708178</v>
      </c>
      <c r="Z30" s="22">
        <f t="shared" si="5"/>
        <v>3.0595634179012676</v>
      </c>
      <c r="AA30" s="22">
        <f t="shared" si="5"/>
        <v>2.8567288903828825</v>
      </c>
      <c r="AB30" s="22">
        <f t="shared" si="5"/>
        <v>3.2420442393695508</v>
      </c>
      <c r="AC30" s="22">
        <f t="shared" si="5"/>
        <v>3.5444401373176926</v>
      </c>
      <c r="AD30" s="22">
        <f t="shared" si="5"/>
        <v>3.891258616904139</v>
      </c>
      <c r="AE30" s="22">
        <f t="shared" si="5"/>
        <v>0</v>
      </c>
      <c r="AF30" s="22">
        <f t="shared" si="5"/>
        <v>0</v>
      </c>
      <c r="AG30" s="22">
        <f t="shared" si="5"/>
        <v>1.9084850188786497</v>
      </c>
      <c r="AH30">
        <f t="shared" ref="AH30:AH31" si="6">MEDIAN(C30:AG30)</f>
        <v>3.5444401373176926</v>
      </c>
    </row>
    <row r="31" spans="1:34">
      <c r="A31" s="22" t="s">
        <v>121</v>
      </c>
      <c r="B31" s="22" t="s">
        <v>109</v>
      </c>
      <c r="C31" s="22">
        <f t="shared" ref="C31:AG31" si="7">LOG(C8)</f>
        <v>3.5050142400841069</v>
      </c>
      <c r="D31" s="22">
        <f t="shared" si="7"/>
        <v>5.0520009801013002</v>
      </c>
      <c r="E31" s="22">
        <f t="shared" si="7"/>
        <v>2.5010592622177517</v>
      </c>
      <c r="F31" s="22">
        <f t="shared" si="7"/>
        <v>5.5770089821311295</v>
      </c>
      <c r="G31" s="22">
        <f t="shared" si="7"/>
        <v>2.6253124509616739</v>
      </c>
      <c r="H31" s="22">
        <f t="shared" si="7"/>
        <v>3.7054360465852505</v>
      </c>
      <c r="I31" s="22">
        <f t="shared" si="7"/>
        <v>4.8810820861188757</v>
      </c>
      <c r="J31" s="22">
        <f t="shared" si="7"/>
        <v>0</v>
      </c>
      <c r="K31" s="22">
        <f t="shared" si="7"/>
        <v>2.7435097647284299</v>
      </c>
      <c r="L31" s="22">
        <f t="shared" si="7"/>
        <v>3.782472624166286</v>
      </c>
      <c r="M31" s="22">
        <f t="shared" si="7"/>
        <v>4.8061324704270305</v>
      </c>
      <c r="N31" s="22">
        <f t="shared" si="7"/>
        <v>4.5454555678369166</v>
      </c>
      <c r="O31" s="22">
        <f t="shared" si="7"/>
        <v>5.0323084396643099</v>
      </c>
      <c r="P31" s="22">
        <f t="shared" si="7"/>
        <v>4.5454555678369166</v>
      </c>
      <c r="Q31" s="22">
        <f t="shared" si="7"/>
        <v>4.5423522985527542</v>
      </c>
      <c r="R31" s="22">
        <f t="shared" si="7"/>
        <v>4.074560467802895</v>
      </c>
      <c r="S31" s="22">
        <f t="shared" si="7"/>
        <v>4.0878168979355296</v>
      </c>
      <c r="T31" s="22">
        <f t="shared" si="7"/>
        <v>3.327563260187278</v>
      </c>
      <c r="U31" s="22">
        <f t="shared" si="7"/>
        <v>3.3774883833761327</v>
      </c>
      <c r="V31" s="22">
        <f t="shared" si="7"/>
        <v>2.0211892990699383</v>
      </c>
      <c r="W31" s="22">
        <f t="shared" si="7"/>
        <v>3.9087530191845339</v>
      </c>
      <c r="X31" s="22">
        <f t="shared" si="7"/>
        <v>3.791129000727286</v>
      </c>
      <c r="Y31" s="22">
        <f t="shared" si="7"/>
        <v>0</v>
      </c>
      <c r="Z31" s="22">
        <f t="shared" si="7"/>
        <v>3.3911116137028023</v>
      </c>
      <c r="AA31" s="22">
        <f t="shared" si="7"/>
        <v>2.8627275283179747</v>
      </c>
      <c r="AB31" s="22">
        <f t="shared" si="7"/>
        <v>2.9731278535996988</v>
      </c>
      <c r="AC31" s="22">
        <f t="shared" si="7"/>
        <v>1.6532125137753437</v>
      </c>
      <c r="AD31" s="22">
        <f t="shared" si="7"/>
        <v>3.9509973339888051</v>
      </c>
      <c r="AE31" s="22">
        <f t="shared" si="7"/>
        <v>0</v>
      </c>
      <c r="AF31" s="22">
        <f t="shared" si="7"/>
        <v>2.7497363155690611</v>
      </c>
      <c r="AG31" s="22">
        <f t="shared" si="7"/>
        <v>2.2405492482825999</v>
      </c>
      <c r="AH31">
        <f t="shared" si="6"/>
        <v>3.5050142400841069</v>
      </c>
    </row>
    <row r="32" spans="1:34">
      <c r="A32" s="22"/>
      <c r="B32" s="22"/>
    </row>
    <row r="35" spans="1:34">
      <c r="A35" s="80" t="s">
        <v>111</v>
      </c>
      <c r="B35" s="25"/>
    </row>
    <row r="36" spans="1:34" s="81" customFormat="1">
      <c r="A36" s="81" t="s">
        <v>124</v>
      </c>
      <c r="B36" s="81" t="s">
        <v>112</v>
      </c>
      <c r="C36" s="81">
        <f>LOG(C13)</f>
        <v>3.7209031708134575</v>
      </c>
      <c r="D36" s="81">
        <f t="shared" ref="D36:AG42" si="8">LOG(D13)</f>
        <v>4.8894585805622164</v>
      </c>
      <c r="E36" s="81">
        <f t="shared" si="8"/>
        <v>2.7371926427047373</v>
      </c>
      <c r="F36" s="81">
        <f t="shared" si="8"/>
        <v>5.4904669667523507</v>
      </c>
      <c r="G36" s="81">
        <f t="shared" si="8"/>
        <v>3.0224283711854865</v>
      </c>
      <c r="H36" s="81">
        <f t="shared" si="8"/>
        <v>4.1065648348467638</v>
      </c>
      <c r="I36" s="81">
        <f t="shared" si="8"/>
        <v>5.1157269735047644</v>
      </c>
      <c r="J36" s="81">
        <f t="shared" si="8"/>
        <v>2.8853612200315122</v>
      </c>
      <c r="K36" s="81">
        <f t="shared" si="8"/>
        <v>3.1129399760840801</v>
      </c>
      <c r="L36" s="81">
        <f t="shared" si="8"/>
        <v>4.1821006598939494</v>
      </c>
      <c r="M36" s="81">
        <f t="shared" si="8"/>
        <v>5.0514110919502144</v>
      </c>
      <c r="N36" s="81">
        <f t="shared" si="8"/>
        <v>4.9783996638989976</v>
      </c>
      <c r="O36" s="81">
        <f t="shared" si="8"/>
        <v>5.4437087907424528</v>
      </c>
      <c r="P36" s="81">
        <f t="shared" si="8"/>
        <v>4.9783996638989976</v>
      </c>
      <c r="Q36" s="81">
        <f t="shared" si="8"/>
        <v>4.976349979003273</v>
      </c>
      <c r="R36" s="81">
        <f t="shared" si="8"/>
        <v>4.386570301700929</v>
      </c>
      <c r="S36" s="81">
        <f t="shared" si="8"/>
        <v>4.4857640022849479</v>
      </c>
      <c r="T36" s="81">
        <f t="shared" si="8"/>
        <v>3.8602181846687564</v>
      </c>
      <c r="U36" s="81">
        <f t="shared" si="8"/>
        <v>3.5747255835940734</v>
      </c>
      <c r="V36" s="81">
        <f t="shared" si="8"/>
        <v>1.9444826721501687</v>
      </c>
      <c r="W36" s="81">
        <f t="shared" si="8"/>
        <v>3.9953719060281623</v>
      </c>
      <c r="X36" s="81">
        <f t="shared" si="8"/>
        <v>3.990250032927817</v>
      </c>
      <c r="Y36" s="81">
        <f t="shared" si="8"/>
        <v>2.1986570869544226</v>
      </c>
      <c r="Z36" s="81">
        <f t="shared" si="8"/>
        <v>3.8035253955765325</v>
      </c>
      <c r="AA36" s="81">
        <f t="shared" si="8"/>
        <v>3.290479813330673</v>
      </c>
      <c r="AB36" s="81">
        <f t="shared" si="8"/>
        <v>3.5526682161121932</v>
      </c>
      <c r="AC36" s="81">
        <f t="shared" si="8"/>
        <v>3.0881360887005513</v>
      </c>
      <c r="AD36" s="81">
        <f t="shared" si="8"/>
        <v>4.220866133312124</v>
      </c>
      <c r="AE36" s="81">
        <f t="shared" si="8"/>
        <v>2.8208579894397001</v>
      </c>
      <c r="AF36" s="81">
        <f t="shared" si="8"/>
        <v>2.8095597146352675</v>
      </c>
      <c r="AG36" s="81">
        <f t="shared" si="8"/>
        <v>2.1643528557844371</v>
      </c>
      <c r="AH36" s="37">
        <f>MEDIAN(C36:AG36)</f>
        <v>3.8602181846687564</v>
      </c>
    </row>
    <row r="37" spans="1:34" s="81" customFormat="1">
      <c r="A37" s="81" t="s">
        <v>125</v>
      </c>
      <c r="B37" s="81" t="s">
        <v>112</v>
      </c>
      <c r="C37" s="81">
        <f t="shared" ref="C37:R42" si="9">LOG(C14)</f>
        <v>3.5058280338548364</v>
      </c>
      <c r="D37" s="81">
        <f t="shared" si="9"/>
        <v>4.9777921726887069</v>
      </c>
      <c r="E37" s="81">
        <f t="shared" si="9"/>
        <v>2.6560982020128319</v>
      </c>
      <c r="F37" s="81">
        <f t="shared" si="9"/>
        <v>5.5450707266558004</v>
      </c>
      <c r="G37" s="81">
        <f t="shared" si="9"/>
        <v>2.7874604745184151</v>
      </c>
      <c r="H37" s="81">
        <f t="shared" si="9"/>
        <v>3.8820119616266586</v>
      </c>
      <c r="I37" s="81">
        <f t="shared" si="9"/>
        <v>4.9342206159204203</v>
      </c>
      <c r="J37" s="81">
        <f t="shared" si="9"/>
        <v>2.330413773349191</v>
      </c>
      <c r="K37" s="81">
        <f t="shared" si="9"/>
        <v>2.907411360774586</v>
      </c>
      <c r="L37" s="81">
        <f t="shared" si="9"/>
        <v>3.8957539420737279</v>
      </c>
      <c r="M37" s="81">
        <f t="shared" si="9"/>
        <v>4.9046614579155241</v>
      </c>
      <c r="N37" s="81">
        <f t="shared" si="9"/>
        <v>4.7990647193510085</v>
      </c>
      <c r="O37" s="81">
        <f t="shared" si="9"/>
        <v>5.2747234496735471</v>
      </c>
      <c r="P37" s="81">
        <f t="shared" si="9"/>
        <v>4.7990647193510085</v>
      </c>
      <c r="Q37" s="81">
        <f t="shared" si="9"/>
        <v>4.796650640233187</v>
      </c>
      <c r="R37" s="81">
        <f t="shared" si="9"/>
        <v>4.3447654886227607</v>
      </c>
      <c r="S37" s="81">
        <f t="shared" si="8"/>
        <v>4.3811150807098507</v>
      </c>
      <c r="T37" s="81">
        <f t="shared" si="8"/>
        <v>3.9417598138146954</v>
      </c>
      <c r="U37" s="81">
        <f t="shared" si="8"/>
        <v>3.5638369186645451</v>
      </c>
      <c r="V37" s="81">
        <f t="shared" si="8"/>
        <v>1.7403626894942439</v>
      </c>
      <c r="W37" s="81">
        <f t="shared" si="8"/>
        <v>4.0570952896126675</v>
      </c>
      <c r="X37" s="81">
        <f t="shared" si="8"/>
        <v>3.9102507723001478</v>
      </c>
      <c r="Y37" s="81">
        <f t="shared" si="8"/>
        <v>2.9845273133437926</v>
      </c>
      <c r="Z37" s="81">
        <f t="shared" si="8"/>
        <v>3.4500950758716025</v>
      </c>
      <c r="AA37" s="81">
        <f t="shared" si="8"/>
        <v>3.1525940779274699</v>
      </c>
      <c r="AB37" s="81">
        <f t="shared" si="8"/>
        <v>3.3279716236230104</v>
      </c>
      <c r="AC37" s="81">
        <f t="shared" si="8"/>
        <v>2.9464522650130731</v>
      </c>
      <c r="AD37" s="81">
        <f t="shared" si="8"/>
        <v>3.6918768225593315</v>
      </c>
      <c r="AE37" s="81">
        <f t="shared" si="8"/>
        <v>1.6020599913279623</v>
      </c>
      <c r="AF37" s="81">
        <f t="shared" si="8"/>
        <v>2.6085260335771943</v>
      </c>
      <c r="AG37" s="81">
        <f t="shared" si="8"/>
        <v>2.4393326938302629</v>
      </c>
      <c r="AH37" s="37">
        <f t="shared" ref="AH37:AH42" si="10">MEDIAN(C37:AG37)</f>
        <v>3.6918768225593315</v>
      </c>
    </row>
    <row r="38" spans="1:34" s="81" customFormat="1">
      <c r="A38" s="81" t="s">
        <v>126</v>
      </c>
      <c r="B38" s="81" t="s">
        <v>113</v>
      </c>
      <c r="C38" s="81">
        <f t="shared" si="9"/>
        <v>3.529430354366986</v>
      </c>
      <c r="D38" s="81">
        <f t="shared" si="8"/>
        <v>5.0006075870628903</v>
      </c>
      <c r="E38" s="81">
        <f t="shared" si="8"/>
        <v>2.53655844257153</v>
      </c>
      <c r="F38" s="81">
        <f t="shared" si="8"/>
        <v>5.5441040272595048</v>
      </c>
      <c r="G38" s="81">
        <f t="shared" si="8"/>
        <v>3.0464951643347082</v>
      </c>
      <c r="H38" s="81">
        <f t="shared" si="8"/>
        <v>4.1730113495073509</v>
      </c>
      <c r="I38" s="81">
        <f t="shared" si="8"/>
        <v>5.0485466741703959</v>
      </c>
      <c r="J38" s="81">
        <f t="shared" si="8"/>
        <v>2.7634279935629373</v>
      </c>
      <c r="K38" s="81">
        <f t="shared" si="8"/>
        <v>3.0644579892269186</v>
      </c>
      <c r="L38" s="81">
        <f t="shared" si="8"/>
        <v>4.0532705666813786</v>
      </c>
      <c r="M38" s="81">
        <f t="shared" si="8"/>
        <v>4.996822396738934</v>
      </c>
      <c r="N38" s="81">
        <f t="shared" si="8"/>
        <v>4.8076770637826582</v>
      </c>
      <c r="O38" s="81">
        <f t="shared" si="8"/>
        <v>5.2772607222186565</v>
      </c>
      <c r="P38" s="81">
        <f t="shared" si="8"/>
        <v>4.8076770637826582</v>
      </c>
      <c r="Q38" s="81">
        <f t="shared" si="8"/>
        <v>4.8063495871404669</v>
      </c>
      <c r="R38" s="81">
        <f t="shared" si="8"/>
        <v>4.2180626178263747</v>
      </c>
      <c r="S38" s="81">
        <f t="shared" si="8"/>
        <v>4.2827580210255976</v>
      </c>
      <c r="T38" s="81">
        <f t="shared" si="8"/>
        <v>3.6488477083728936</v>
      </c>
      <c r="U38" s="81">
        <f t="shared" si="8"/>
        <v>3.4951278812429334</v>
      </c>
      <c r="V38" s="81">
        <f t="shared" si="8"/>
        <v>2.3598354823398879</v>
      </c>
      <c r="W38" s="81">
        <f t="shared" si="8"/>
        <v>4.2049877041871513</v>
      </c>
      <c r="X38" s="81">
        <f t="shared" si="8"/>
        <v>4.0335443760909477</v>
      </c>
      <c r="Y38" s="81">
        <f t="shared" si="8"/>
        <v>2.8639173769578603</v>
      </c>
      <c r="Z38" s="81">
        <f t="shared" si="8"/>
        <v>3.9872192299080047</v>
      </c>
      <c r="AA38" s="81">
        <f t="shared" si="8"/>
        <v>3.2108533653148932</v>
      </c>
      <c r="AB38" s="81">
        <f t="shared" si="8"/>
        <v>3.1556396337597765</v>
      </c>
      <c r="AC38" s="81">
        <f t="shared" si="8"/>
        <v>2.9894498176666917</v>
      </c>
      <c r="AD38" s="81">
        <f t="shared" si="8"/>
        <v>4.3345944719322818</v>
      </c>
      <c r="AE38" s="81">
        <f t="shared" si="8"/>
        <v>2.3729120029701067</v>
      </c>
      <c r="AF38" s="81">
        <f t="shared" si="8"/>
        <v>2.7450747915820575</v>
      </c>
      <c r="AG38" s="81">
        <f t="shared" si="8"/>
        <v>0</v>
      </c>
      <c r="AH38" s="37">
        <f t="shared" si="10"/>
        <v>3.9872192299080047</v>
      </c>
    </row>
    <row r="39" spans="1:34" s="81" customFormat="1">
      <c r="A39" s="81" t="s">
        <v>127</v>
      </c>
      <c r="B39" s="81" t="s">
        <v>113</v>
      </c>
      <c r="C39" s="81">
        <f t="shared" si="9"/>
        <v>3.7514330818193473</v>
      </c>
      <c r="D39" s="81">
        <f t="shared" si="8"/>
        <v>5.2843653027341295</v>
      </c>
      <c r="E39" s="81">
        <f t="shared" si="8"/>
        <v>2.6304278750250241</v>
      </c>
      <c r="F39" s="81">
        <f t="shared" si="8"/>
        <v>5.618685988578525</v>
      </c>
      <c r="G39" s="81">
        <f t="shared" si="8"/>
        <v>2.8965262174895554</v>
      </c>
      <c r="H39" s="81">
        <f t="shared" si="8"/>
        <v>4.0069791905742767</v>
      </c>
      <c r="I39" s="81">
        <f t="shared" si="8"/>
        <v>5.1370089443691231</v>
      </c>
      <c r="J39" s="81">
        <f t="shared" si="8"/>
        <v>3.0499928569201424</v>
      </c>
      <c r="K39" s="81">
        <f t="shared" si="8"/>
        <v>3.0979510709941498</v>
      </c>
      <c r="L39" s="81">
        <f t="shared" si="8"/>
        <v>4.1337304666245487</v>
      </c>
      <c r="M39" s="81">
        <f t="shared" si="8"/>
        <v>5.0956295643066625</v>
      </c>
      <c r="N39" s="81">
        <f t="shared" si="8"/>
        <v>4.8693138757806036</v>
      </c>
      <c r="O39" s="81">
        <f t="shared" si="8"/>
        <v>5.3479366278005012</v>
      </c>
      <c r="P39" s="81">
        <f t="shared" si="8"/>
        <v>4.8693138757806036</v>
      </c>
      <c r="Q39" s="81">
        <f t="shared" si="8"/>
        <v>4.8662991564603377</v>
      </c>
      <c r="R39" s="81">
        <f t="shared" si="8"/>
        <v>4.4163908410583934</v>
      </c>
      <c r="S39" s="81">
        <f t="shared" si="8"/>
        <v>4.4498639247181444</v>
      </c>
      <c r="T39" s="81">
        <f t="shared" si="8"/>
        <v>3.8720979742742268</v>
      </c>
      <c r="U39" s="81">
        <f t="shared" si="8"/>
        <v>3.4924810101288766</v>
      </c>
      <c r="V39" s="81">
        <f t="shared" si="8"/>
        <v>2.0374264979406238</v>
      </c>
      <c r="W39" s="81">
        <f t="shared" si="8"/>
        <v>4.1256764103823329</v>
      </c>
      <c r="X39" s="81">
        <f t="shared" si="8"/>
        <v>4.2775633760559186</v>
      </c>
      <c r="Y39" s="81">
        <f t="shared" si="8"/>
        <v>2.7259116322950483</v>
      </c>
      <c r="Z39" s="81">
        <f t="shared" si="8"/>
        <v>4.0788554029797677</v>
      </c>
      <c r="AA39" s="81">
        <f t="shared" si="8"/>
        <v>2.8808135922807914</v>
      </c>
      <c r="AB39" s="81">
        <f t="shared" si="8"/>
        <v>3.1417632302757879</v>
      </c>
      <c r="AC39" s="81">
        <f t="shared" si="8"/>
        <v>2.5965970956264601</v>
      </c>
      <c r="AD39" s="81">
        <f t="shared" si="8"/>
        <v>4.5005657768623211</v>
      </c>
      <c r="AE39" s="81">
        <f t="shared" si="8"/>
        <v>2.2405492482825999</v>
      </c>
      <c r="AF39" s="81">
        <f t="shared" si="8"/>
        <v>2.9647309210536292</v>
      </c>
      <c r="AG39" s="81">
        <f t="shared" si="8"/>
        <v>0</v>
      </c>
      <c r="AH39" s="37">
        <f t="shared" si="10"/>
        <v>4.0069791905742767</v>
      </c>
    </row>
    <row r="40" spans="1:34" s="81" customFormat="1">
      <c r="A40" s="81" t="s">
        <v>128</v>
      </c>
      <c r="B40" s="81" t="s">
        <v>114</v>
      </c>
      <c r="C40" s="81">
        <f t="shared" si="9"/>
        <v>3.470116353151004</v>
      </c>
      <c r="D40" s="81">
        <f t="shared" si="8"/>
        <v>4.9681185487349158</v>
      </c>
      <c r="E40" s="81">
        <f t="shared" si="8"/>
        <v>2.0211892990699383</v>
      </c>
      <c r="F40" s="81">
        <f t="shared" si="8"/>
        <v>5.5749371292153072</v>
      </c>
      <c r="G40" s="81">
        <f t="shared" si="8"/>
        <v>2.287801729930226</v>
      </c>
      <c r="H40" s="81">
        <f t="shared" si="8"/>
        <v>3.6638892986226614</v>
      </c>
      <c r="I40" s="81">
        <f t="shared" si="8"/>
        <v>4.6979090308855378</v>
      </c>
      <c r="J40" s="81">
        <f t="shared" si="8"/>
        <v>1.6127838567197355</v>
      </c>
      <c r="K40" s="81">
        <f t="shared" si="8"/>
        <v>0</v>
      </c>
      <c r="L40" s="81">
        <f t="shared" si="8"/>
        <v>3.6642658001476751</v>
      </c>
      <c r="M40" s="81">
        <f t="shared" si="8"/>
        <v>4.7845388415525001</v>
      </c>
      <c r="N40" s="81">
        <f t="shared" si="8"/>
        <v>4.4561685816676269</v>
      </c>
      <c r="O40" s="81">
        <f t="shared" si="8"/>
        <v>4.9485841066806007</v>
      </c>
      <c r="P40" s="81">
        <f t="shared" si="8"/>
        <v>4.4561685816676269</v>
      </c>
      <c r="Q40" s="81">
        <f t="shared" si="8"/>
        <v>4.4475301243096359</v>
      </c>
      <c r="R40" s="81">
        <f t="shared" si="8"/>
        <v>4.0666613023006768</v>
      </c>
      <c r="S40" s="81">
        <f t="shared" si="8"/>
        <v>4.0814193241349344</v>
      </c>
      <c r="T40" s="81">
        <f t="shared" si="8"/>
        <v>3.697578033651113</v>
      </c>
      <c r="U40" s="81">
        <f t="shared" si="8"/>
        <v>3.4818724103106633</v>
      </c>
      <c r="V40" s="81">
        <f t="shared" si="8"/>
        <v>2.1461280356782382</v>
      </c>
      <c r="W40" s="81">
        <f t="shared" si="8"/>
        <v>3.6974908871710568</v>
      </c>
      <c r="X40" s="81">
        <f t="shared" si="8"/>
        <v>3.6691308473733324</v>
      </c>
      <c r="Y40" s="81">
        <f t="shared" si="8"/>
        <v>2.3926969532596658</v>
      </c>
      <c r="Z40" s="81">
        <f t="shared" si="8"/>
        <v>3.0350292822023683</v>
      </c>
      <c r="AA40" s="81">
        <f t="shared" si="8"/>
        <v>2.0755469613925306</v>
      </c>
      <c r="AB40" s="81">
        <f t="shared" si="8"/>
        <v>3.2392994791268923</v>
      </c>
      <c r="AC40" s="81">
        <f t="shared" si="8"/>
        <v>0</v>
      </c>
      <c r="AD40" s="81">
        <f t="shared" si="8"/>
        <v>3.6600112212893308</v>
      </c>
      <c r="AE40" s="81">
        <f t="shared" si="8"/>
        <v>0</v>
      </c>
      <c r="AF40" s="81">
        <f t="shared" si="8"/>
        <v>2.5440680443502757</v>
      </c>
      <c r="AG40" s="81">
        <f t="shared" si="8"/>
        <v>0</v>
      </c>
      <c r="AH40" s="37">
        <f t="shared" si="10"/>
        <v>3.6600112212893308</v>
      </c>
    </row>
    <row r="41" spans="1:34" s="81" customFormat="1">
      <c r="A41" s="81" t="s">
        <v>129</v>
      </c>
      <c r="B41" s="81" t="s">
        <v>113</v>
      </c>
      <c r="C41" s="81">
        <f t="shared" si="9"/>
        <v>3.592398846115564</v>
      </c>
      <c r="D41" s="81">
        <f t="shared" si="8"/>
        <v>4.9311017456326391</v>
      </c>
      <c r="E41" s="81">
        <f t="shared" si="8"/>
        <v>2.7126497016272113</v>
      </c>
      <c r="F41" s="81">
        <f t="shared" si="8"/>
        <v>5.5236866496798482</v>
      </c>
      <c r="G41" s="81">
        <f t="shared" si="8"/>
        <v>2.9489017609702137</v>
      </c>
      <c r="H41" s="81">
        <f t="shared" si="8"/>
        <v>4.1992888280824054</v>
      </c>
      <c r="I41" s="81">
        <f t="shared" si="8"/>
        <v>5.2080972245014614</v>
      </c>
      <c r="J41" s="81">
        <f t="shared" si="8"/>
        <v>2.9703468762300935</v>
      </c>
      <c r="K41" s="81">
        <f t="shared" si="8"/>
        <v>3.2425414282983844</v>
      </c>
      <c r="L41" s="81">
        <f t="shared" si="8"/>
        <v>4.1851453576756503</v>
      </c>
      <c r="M41" s="81">
        <f t="shared" si="8"/>
        <v>5.0993560072380921</v>
      </c>
      <c r="N41" s="81">
        <f t="shared" si="8"/>
        <v>5.067710476071654</v>
      </c>
      <c r="O41" s="81">
        <f t="shared" si="8"/>
        <v>5.5344005553217244</v>
      </c>
      <c r="P41" s="81">
        <f t="shared" si="8"/>
        <v>5.067710476071654</v>
      </c>
      <c r="Q41" s="81">
        <f t="shared" si="8"/>
        <v>5.0660574372138294</v>
      </c>
      <c r="R41" s="81">
        <f t="shared" si="8"/>
        <v>4.5631012082812745</v>
      </c>
      <c r="S41" s="81">
        <f t="shared" si="8"/>
        <v>4.6052403820992147</v>
      </c>
      <c r="T41" s="81">
        <f t="shared" si="8"/>
        <v>4.1159764294548173</v>
      </c>
      <c r="U41" s="81">
        <f t="shared" si="8"/>
        <v>3.6841269256130755</v>
      </c>
      <c r="V41" s="81">
        <f t="shared" si="8"/>
        <v>2.3617278360175931</v>
      </c>
      <c r="W41" s="81">
        <f t="shared" si="8"/>
        <v>4.2972789102331133</v>
      </c>
      <c r="X41" s="81">
        <f t="shared" si="8"/>
        <v>4.178113252314632</v>
      </c>
      <c r="Y41" s="81">
        <f t="shared" si="8"/>
        <v>3.1702617153949575</v>
      </c>
      <c r="Z41" s="81">
        <f t="shared" si="8"/>
        <v>3.8800700840640672</v>
      </c>
      <c r="AA41" s="81">
        <f t="shared" si="8"/>
        <v>3.2284003587030048</v>
      </c>
      <c r="AB41" s="81">
        <f t="shared" si="8"/>
        <v>3.5916210382133191</v>
      </c>
      <c r="AC41" s="81">
        <f t="shared" si="8"/>
        <v>2.9289076902439528</v>
      </c>
      <c r="AD41" s="81">
        <f t="shared" si="8"/>
        <v>4.2583738489681187</v>
      </c>
      <c r="AE41" s="81">
        <f t="shared" si="8"/>
        <v>2.7581546219673898</v>
      </c>
      <c r="AF41" s="81">
        <f t="shared" si="8"/>
        <v>2.9344984512435679</v>
      </c>
      <c r="AG41" s="81">
        <f t="shared" si="8"/>
        <v>2.4727564493172123</v>
      </c>
      <c r="AH41" s="37">
        <f t="shared" si="10"/>
        <v>4.1159764294548173</v>
      </c>
    </row>
    <row r="42" spans="1:34" s="81" customFormat="1">
      <c r="A42" s="81" t="s">
        <v>130</v>
      </c>
      <c r="B42" s="81" t="s">
        <v>113</v>
      </c>
      <c r="C42" s="81">
        <f t="shared" si="9"/>
        <v>3.5829719291048061</v>
      </c>
      <c r="D42" s="81">
        <f t="shared" si="8"/>
        <v>4.9890224325425798</v>
      </c>
      <c r="E42" s="81">
        <f t="shared" si="8"/>
        <v>2.2966651902615309</v>
      </c>
      <c r="F42" s="81">
        <f t="shared" si="8"/>
        <v>5.5581767742005397</v>
      </c>
      <c r="G42" s="81">
        <f t="shared" si="8"/>
        <v>2.5634810853944106</v>
      </c>
      <c r="H42" s="81">
        <f t="shared" si="8"/>
        <v>3.8925398046586355</v>
      </c>
      <c r="I42" s="81">
        <f t="shared" si="8"/>
        <v>5.0017293871452084</v>
      </c>
      <c r="J42" s="81">
        <f t="shared" si="8"/>
        <v>2.7067177823367587</v>
      </c>
      <c r="K42" s="81">
        <f t="shared" si="8"/>
        <v>2.8286598965353198</v>
      </c>
      <c r="L42" s="81">
        <f t="shared" si="8"/>
        <v>3.9898056509368263</v>
      </c>
      <c r="M42" s="81">
        <f t="shared" si="8"/>
        <v>5.0145205387579237</v>
      </c>
      <c r="N42" s="81">
        <f t="shared" si="8"/>
        <v>4.9068627714045094</v>
      </c>
      <c r="O42" s="81">
        <f t="shared" si="8"/>
        <v>5.383377261388155</v>
      </c>
      <c r="P42" s="81">
        <f t="shared" si="8"/>
        <v>4.9068627714045094</v>
      </c>
      <c r="Q42" s="81">
        <f t="shared" si="8"/>
        <v>4.9051263892514729</v>
      </c>
      <c r="R42" s="81">
        <f t="shared" si="8"/>
        <v>4.5115357863449539</v>
      </c>
      <c r="S42" s="81">
        <f t="shared" si="8"/>
        <v>4.5482050956507409</v>
      </c>
      <c r="T42" s="81">
        <f t="shared" si="8"/>
        <v>4.1661635937478341</v>
      </c>
      <c r="U42" s="81">
        <f t="shared" si="8"/>
        <v>3.5494937132150133</v>
      </c>
      <c r="V42" s="81">
        <f t="shared" si="8"/>
        <v>0</v>
      </c>
      <c r="W42" s="81">
        <f t="shared" si="8"/>
        <v>3.9330821623697911</v>
      </c>
      <c r="X42" s="81">
        <f t="shared" si="8"/>
        <v>3.9673139182870836</v>
      </c>
      <c r="Y42" s="81">
        <f t="shared" si="8"/>
        <v>2.1271047983648077</v>
      </c>
      <c r="Z42" s="81">
        <f t="shared" si="8"/>
        <v>3.640282629696681</v>
      </c>
      <c r="AA42" s="81">
        <f t="shared" si="8"/>
        <v>2.7993405494535817</v>
      </c>
      <c r="AB42" s="81">
        <f t="shared" si="8"/>
        <v>2.9740509027928774</v>
      </c>
      <c r="AC42" s="81">
        <f t="shared" si="8"/>
        <v>0</v>
      </c>
      <c r="AD42" s="81">
        <f t="shared" si="8"/>
        <v>4.3007041525961238</v>
      </c>
      <c r="AE42" s="81">
        <f t="shared" si="8"/>
        <v>0</v>
      </c>
      <c r="AF42" s="81">
        <f t="shared" si="8"/>
        <v>2.3961993470957363</v>
      </c>
      <c r="AG42" s="81">
        <f t="shared" si="8"/>
        <v>2.4456042032735974</v>
      </c>
      <c r="AH42" s="37">
        <f t="shared" si="10"/>
        <v>3.8925398046586355</v>
      </c>
    </row>
    <row r="47" spans="1:34" ht="20">
      <c r="A47" s="36" t="s">
        <v>123</v>
      </c>
      <c r="B47" s="19"/>
    </row>
    <row r="48" spans="1:34" ht="20">
      <c r="A48" s="5" t="s">
        <v>71</v>
      </c>
      <c r="B48" s="6"/>
      <c r="C48" s="83"/>
      <c r="D48" s="83"/>
      <c r="E48" s="83"/>
      <c r="F48" s="83"/>
    </row>
    <row r="49" spans="1:34" s="53" customFormat="1" ht="52" customHeight="1">
      <c r="A49" s="78" t="s">
        <v>0</v>
      </c>
      <c r="B49" s="78" t="s">
        <v>1</v>
      </c>
      <c r="C49" s="79" t="s">
        <v>80</v>
      </c>
      <c r="D49" s="79" t="s">
        <v>81</v>
      </c>
      <c r="E49" s="79" t="s">
        <v>82</v>
      </c>
      <c r="F49" s="79" t="s">
        <v>83</v>
      </c>
      <c r="G49" s="79" t="s">
        <v>84</v>
      </c>
      <c r="H49" s="79" t="s">
        <v>85</v>
      </c>
      <c r="I49" s="79" t="s">
        <v>86</v>
      </c>
      <c r="J49" s="79" t="s">
        <v>87</v>
      </c>
      <c r="K49" s="79" t="s">
        <v>88</v>
      </c>
      <c r="L49" s="79" t="s">
        <v>89</v>
      </c>
      <c r="M49" s="79" t="s">
        <v>90</v>
      </c>
      <c r="N49" s="79" t="s">
        <v>91</v>
      </c>
      <c r="O49" s="79" t="s">
        <v>92</v>
      </c>
      <c r="P49" s="79" t="s">
        <v>93</v>
      </c>
      <c r="Q49" s="79" t="s">
        <v>94</v>
      </c>
      <c r="R49" s="79" t="s">
        <v>95</v>
      </c>
      <c r="S49" s="79" t="s">
        <v>96</v>
      </c>
      <c r="T49" s="79" t="s">
        <v>97</v>
      </c>
      <c r="U49" s="79" t="s">
        <v>98</v>
      </c>
      <c r="V49" s="79" t="s">
        <v>99</v>
      </c>
      <c r="W49" s="79" t="s">
        <v>100</v>
      </c>
      <c r="X49" s="79" t="s">
        <v>101</v>
      </c>
      <c r="Y49" s="79" t="s">
        <v>102</v>
      </c>
      <c r="Z49" s="79" t="s">
        <v>103</v>
      </c>
      <c r="AA49" s="79" t="s">
        <v>104</v>
      </c>
      <c r="AB49" s="79" t="s">
        <v>105</v>
      </c>
      <c r="AC49" s="79" t="s">
        <v>106</v>
      </c>
      <c r="AD49" s="79" t="s">
        <v>107</v>
      </c>
      <c r="AE49" s="79" t="s">
        <v>16</v>
      </c>
      <c r="AF49" s="79" t="s">
        <v>24</v>
      </c>
      <c r="AG49" s="79" t="s">
        <v>25</v>
      </c>
      <c r="AH49" s="97" t="s">
        <v>70</v>
      </c>
    </row>
    <row r="50" spans="1:34">
      <c r="A50" s="80" t="s">
        <v>116</v>
      </c>
      <c r="B50" s="25"/>
    </row>
    <row r="51" spans="1:34">
      <c r="A51" s="22" t="s">
        <v>119</v>
      </c>
      <c r="B51" s="22" t="s">
        <v>109</v>
      </c>
      <c r="C51" s="22">
        <f t="shared" ref="C51:AG51" si="11">C29/$AH29</f>
        <v>0.91660457219210711</v>
      </c>
      <c r="D51" s="22">
        <f t="shared" si="11"/>
        <v>1.0879846929981911</v>
      </c>
      <c r="E51" s="22">
        <f t="shared" si="11"/>
        <v>0.62605048535051966</v>
      </c>
      <c r="F51" s="22">
        <f t="shared" si="11"/>
        <v>1.3113096672258202</v>
      </c>
      <c r="G51" s="22">
        <f t="shared" si="11"/>
        <v>0.71921038434561213</v>
      </c>
      <c r="H51" s="22">
        <f t="shared" si="11"/>
        <v>1.0181537981505056</v>
      </c>
      <c r="I51" s="22">
        <f t="shared" si="11"/>
        <v>1.286018135542939</v>
      </c>
      <c r="J51" s="22">
        <f t="shared" si="11"/>
        <v>0.74023896797341349</v>
      </c>
      <c r="K51" s="22">
        <f t="shared" si="11"/>
        <v>0.76939807370538171</v>
      </c>
      <c r="L51" s="22">
        <f t="shared" si="11"/>
        <v>1.026394916382446</v>
      </c>
      <c r="M51" s="22">
        <f t="shared" si="11"/>
        <v>1.2584199617786045</v>
      </c>
      <c r="N51" s="22">
        <f t="shared" si="11"/>
        <v>1.2349645451967102</v>
      </c>
      <c r="O51" s="22">
        <f t="shared" si="11"/>
        <v>1.3529704111684953</v>
      </c>
      <c r="P51" s="22">
        <f t="shared" si="11"/>
        <v>1.2349645451967102</v>
      </c>
      <c r="Q51" s="22">
        <f t="shared" si="11"/>
        <v>1.2345345314737344</v>
      </c>
      <c r="R51" s="22">
        <f t="shared" si="11"/>
        <v>1.1177371614104756</v>
      </c>
      <c r="S51" s="22">
        <f t="shared" si="11"/>
        <v>1.12741946472382</v>
      </c>
      <c r="T51" s="22">
        <f t="shared" si="11"/>
        <v>0.95641964125670886</v>
      </c>
      <c r="U51" s="22">
        <f t="shared" si="11"/>
        <v>0.83852149462163905</v>
      </c>
      <c r="V51" s="22">
        <f t="shared" si="11"/>
        <v>0</v>
      </c>
      <c r="W51" s="22">
        <f t="shared" si="11"/>
        <v>1.0579684132639684</v>
      </c>
      <c r="X51" s="22">
        <f t="shared" si="11"/>
        <v>1.0613821919134123</v>
      </c>
      <c r="Y51" s="22">
        <f t="shared" si="11"/>
        <v>0.60242673332572116</v>
      </c>
      <c r="Z51" s="22">
        <f t="shared" si="11"/>
        <v>1</v>
      </c>
      <c r="AA51" s="22">
        <f t="shared" si="11"/>
        <v>0.6843927603076555</v>
      </c>
      <c r="AB51" s="22">
        <f t="shared" si="11"/>
        <v>0.84307525252550353</v>
      </c>
      <c r="AC51" s="22">
        <f t="shared" si="11"/>
        <v>0.70000327979338162</v>
      </c>
      <c r="AD51" s="22">
        <f t="shared" si="11"/>
        <v>1.1453682657577735</v>
      </c>
      <c r="AE51" s="22">
        <f t="shared" si="11"/>
        <v>0.66763248456684654</v>
      </c>
      <c r="AF51" s="22">
        <f t="shared" si="11"/>
        <v>0.74330781929746159</v>
      </c>
      <c r="AG51" s="22">
        <f t="shared" si="11"/>
        <v>0.36354921169493132</v>
      </c>
    </row>
    <row r="52" spans="1:34">
      <c r="A52" s="22" t="s">
        <v>120</v>
      </c>
      <c r="B52" s="22" t="s">
        <v>109</v>
      </c>
      <c r="C52" s="22">
        <f t="shared" ref="C52:AG52" si="12">C30/$AH30</f>
        <v>0.99709769026021267</v>
      </c>
      <c r="D52" s="22">
        <f t="shared" si="12"/>
        <v>1.4080532657827971</v>
      </c>
      <c r="E52" s="22">
        <f t="shared" si="12"/>
        <v>0.71599998779886465</v>
      </c>
      <c r="F52" s="22">
        <f t="shared" si="12"/>
        <v>1.5670728395373126</v>
      </c>
      <c r="G52" s="22">
        <f t="shared" si="12"/>
        <v>0.6765356207953096</v>
      </c>
      <c r="H52" s="22">
        <f t="shared" si="12"/>
        <v>1.0416713123446533</v>
      </c>
      <c r="I52" s="22">
        <f t="shared" si="12"/>
        <v>1.3348325577523115</v>
      </c>
      <c r="J52" s="22">
        <f t="shared" si="12"/>
        <v>0.56426400856455983</v>
      </c>
      <c r="K52" s="22">
        <f t="shared" si="12"/>
        <v>0</v>
      </c>
      <c r="L52" s="22">
        <f t="shared" si="12"/>
        <v>1.0496693199241296</v>
      </c>
      <c r="M52" s="22">
        <f t="shared" si="12"/>
        <v>1.354699316650154</v>
      </c>
      <c r="N52" s="22">
        <f t="shared" si="12"/>
        <v>1.2674923817740025</v>
      </c>
      <c r="O52" s="22">
        <f t="shared" si="12"/>
        <v>1.4043635290223828</v>
      </c>
      <c r="P52" s="22">
        <f t="shared" si="12"/>
        <v>1.2674923817740025</v>
      </c>
      <c r="Q52" s="22">
        <f t="shared" si="12"/>
        <v>1.266776845195825</v>
      </c>
      <c r="R52" s="22">
        <f t="shared" si="12"/>
        <v>1.1797028678970845</v>
      </c>
      <c r="S52" s="22">
        <f t="shared" si="12"/>
        <v>1.1898723453852604</v>
      </c>
      <c r="T52" s="22">
        <f t="shared" si="12"/>
        <v>0.98553762663517008</v>
      </c>
      <c r="U52" s="22">
        <f t="shared" si="12"/>
        <v>0.92934990195323897</v>
      </c>
      <c r="V52" s="22">
        <f t="shared" si="12"/>
        <v>0</v>
      </c>
      <c r="W52" s="22">
        <f t="shared" si="12"/>
        <v>1.0459280664090422</v>
      </c>
      <c r="X52" s="22">
        <f t="shared" si="12"/>
        <v>1.0475759730747096</v>
      </c>
      <c r="Y52" s="22">
        <f t="shared" si="12"/>
        <v>0.6813412709512946</v>
      </c>
      <c r="Z52" s="22">
        <f t="shared" si="12"/>
        <v>0.86320075932122742</v>
      </c>
      <c r="AA52" s="22">
        <f t="shared" si="12"/>
        <v>0.80597464753481607</v>
      </c>
      <c r="AB52" s="22">
        <f t="shared" si="12"/>
        <v>0.91468443922515097</v>
      </c>
      <c r="AC52" s="22">
        <f t="shared" si="12"/>
        <v>1</v>
      </c>
      <c r="AD52" s="22">
        <f t="shared" si="12"/>
        <v>1.0978485927678572</v>
      </c>
      <c r="AE52" s="22">
        <f t="shared" si="12"/>
        <v>0</v>
      </c>
      <c r="AF52" s="22">
        <f t="shared" si="12"/>
        <v>0</v>
      </c>
      <c r="AG52" s="22">
        <f t="shared" si="12"/>
        <v>0.53844470351893825</v>
      </c>
    </row>
    <row r="53" spans="1:34">
      <c r="A53" s="22" t="s">
        <v>121</v>
      </c>
      <c r="B53" s="22" t="s">
        <v>109</v>
      </c>
      <c r="C53" s="22">
        <f t="shared" ref="C53:AG53" si="13">C31/$AH31</f>
        <v>1</v>
      </c>
      <c r="D53" s="22">
        <f t="shared" si="13"/>
        <v>1.4413638958511255</v>
      </c>
      <c r="E53" s="22">
        <f t="shared" si="13"/>
        <v>0.71356607731149646</v>
      </c>
      <c r="F53" s="22">
        <f t="shared" si="13"/>
        <v>1.5911515902991888</v>
      </c>
      <c r="G53" s="22">
        <f t="shared" si="13"/>
        <v>0.7490162011149708</v>
      </c>
      <c r="H53" s="22">
        <f t="shared" si="13"/>
        <v>1.0571814528480588</v>
      </c>
      <c r="I53" s="22">
        <f t="shared" si="13"/>
        <v>1.3925997875551424</v>
      </c>
      <c r="J53" s="22">
        <f t="shared" si="13"/>
        <v>0</v>
      </c>
      <c r="K53" s="22">
        <f t="shared" si="13"/>
        <v>0.78273855020417726</v>
      </c>
      <c r="L53" s="22">
        <f t="shared" si="13"/>
        <v>1.0791604156437098</v>
      </c>
      <c r="M53" s="22">
        <f t="shared" si="13"/>
        <v>1.3712162465598718</v>
      </c>
      <c r="N53" s="22">
        <f t="shared" si="13"/>
        <v>1.2968436806487391</v>
      </c>
      <c r="O53" s="22">
        <f t="shared" si="13"/>
        <v>1.4357455048580783</v>
      </c>
      <c r="P53" s="22">
        <f t="shared" si="13"/>
        <v>1.2968436806487391</v>
      </c>
      <c r="Q53" s="22">
        <f t="shared" si="13"/>
        <v>1.2959583007125686</v>
      </c>
      <c r="R53" s="22">
        <f t="shared" si="13"/>
        <v>1.1624946972269994</v>
      </c>
      <c r="S53" s="22">
        <f t="shared" si="13"/>
        <v>1.1662768302583095</v>
      </c>
      <c r="T53" s="22">
        <f t="shared" si="13"/>
        <v>0.94937225136849346</v>
      </c>
      <c r="U53" s="22">
        <f t="shared" si="13"/>
        <v>0.96361616587757026</v>
      </c>
      <c r="V53" s="22">
        <f t="shared" si="13"/>
        <v>0.57665651567265463</v>
      </c>
      <c r="W53" s="22">
        <f t="shared" si="13"/>
        <v>1.1151889126392647</v>
      </c>
      <c r="X53" s="22">
        <f t="shared" si="13"/>
        <v>1.0816301278811105</v>
      </c>
      <c r="Y53" s="22">
        <f t="shared" si="13"/>
        <v>0</v>
      </c>
      <c r="Z53" s="22">
        <f t="shared" si="13"/>
        <v>0.96750294903835499</v>
      </c>
      <c r="AA53" s="22">
        <f t="shared" si="13"/>
        <v>0.81675203928680196</v>
      </c>
      <c r="AB53" s="22">
        <f t="shared" si="13"/>
        <v>0.84824986432247851</v>
      </c>
      <c r="AC53" s="22">
        <f t="shared" si="13"/>
        <v>0.47167069818685614</v>
      </c>
      <c r="AD53" s="22">
        <f t="shared" si="13"/>
        <v>1.1272414499217545</v>
      </c>
      <c r="AE53" s="22">
        <f t="shared" si="13"/>
        <v>0</v>
      </c>
      <c r="AF53" s="22">
        <f t="shared" si="13"/>
        <v>0.78451501968878679</v>
      </c>
      <c r="AG53" s="22">
        <f t="shared" si="13"/>
        <v>0.63924112565911728</v>
      </c>
    </row>
    <row r="54" spans="1:34">
      <c r="B54" s="84" t="s">
        <v>110</v>
      </c>
      <c r="C54" s="72">
        <f t="shared" ref="C54:AG54" si="14">AVERAGE(C51:C53)</f>
        <v>0.97123408748410656</v>
      </c>
      <c r="D54" s="72">
        <f t="shared" si="14"/>
        <v>1.3124672848773713</v>
      </c>
      <c r="E54" s="72">
        <f t="shared" si="14"/>
        <v>0.68520551682029363</v>
      </c>
      <c r="F54" s="72">
        <f t="shared" si="14"/>
        <v>1.4898446990207741</v>
      </c>
      <c r="G54" s="72">
        <f t="shared" si="14"/>
        <v>0.71492073541863077</v>
      </c>
      <c r="H54" s="72">
        <f t="shared" si="14"/>
        <v>1.0390021877810725</v>
      </c>
      <c r="I54" s="72">
        <f t="shared" si="14"/>
        <v>1.3378168269501309</v>
      </c>
      <c r="J54" s="72">
        <f t="shared" si="14"/>
        <v>0.43483432551265783</v>
      </c>
      <c r="K54" s="72">
        <f t="shared" si="14"/>
        <v>0.51737887463651966</v>
      </c>
      <c r="L54" s="72">
        <f t="shared" si="14"/>
        <v>1.0517415506500951</v>
      </c>
      <c r="M54" s="72">
        <f t="shared" si="14"/>
        <v>1.3281118416628768</v>
      </c>
      <c r="N54" s="72">
        <f t="shared" si="14"/>
        <v>1.2664335358731507</v>
      </c>
      <c r="O54" s="72">
        <f t="shared" si="14"/>
        <v>1.3976931483496522</v>
      </c>
      <c r="P54" s="72">
        <f t="shared" si="14"/>
        <v>1.2664335358731507</v>
      </c>
      <c r="Q54" s="72">
        <f t="shared" si="14"/>
        <v>1.2657565591273761</v>
      </c>
      <c r="R54" s="72">
        <f t="shared" si="14"/>
        <v>1.1533115755115197</v>
      </c>
      <c r="S54" s="72">
        <f t="shared" si="14"/>
        <v>1.16118954678913</v>
      </c>
      <c r="T54" s="72">
        <f t="shared" si="14"/>
        <v>0.96377650642012413</v>
      </c>
      <c r="U54" s="72">
        <f t="shared" si="14"/>
        <v>0.91049585415081602</v>
      </c>
      <c r="V54" s="72">
        <f t="shared" si="14"/>
        <v>0.19221883855755154</v>
      </c>
      <c r="W54" s="72">
        <f t="shared" si="14"/>
        <v>1.0730284641040917</v>
      </c>
      <c r="X54" s="72">
        <f t="shared" si="14"/>
        <v>1.0635294309564109</v>
      </c>
      <c r="Y54" s="72">
        <f t="shared" si="14"/>
        <v>0.42792266809233864</v>
      </c>
      <c r="Z54" s="72">
        <f t="shared" si="14"/>
        <v>0.94356790278652747</v>
      </c>
      <c r="AA54" s="72">
        <f t="shared" si="14"/>
        <v>0.76903981570975777</v>
      </c>
      <c r="AB54" s="72">
        <f t="shared" si="14"/>
        <v>0.86866985202437774</v>
      </c>
      <c r="AC54" s="72">
        <f t="shared" si="14"/>
        <v>0.72389132599341244</v>
      </c>
      <c r="AD54" s="72">
        <f t="shared" si="14"/>
        <v>1.123486102815795</v>
      </c>
      <c r="AE54" s="72">
        <f t="shared" si="14"/>
        <v>0.22254416152228218</v>
      </c>
      <c r="AF54" s="72">
        <f t="shared" si="14"/>
        <v>0.50927427966208283</v>
      </c>
      <c r="AG54" s="72">
        <f t="shared" si="14"/>
        <v>0.51374501362432901</v>
      </c>
    </row>
    <row r="55" spans="1:34">
      <c r="B55" s="84" t="s">
        <v>52</v>
      </c>
      <c r="C55" s="85">
        <f t="shared" ref="C55:AG55" si="15">_xlfn.STDEV.S(C51:C53)</f>
        <v>4.7332798419653148E-2</v>
      </c>
      <c r="D55" s="85">
        <f t="shared" si="15"/>
        <v>0.19511977106762723</v>
      </c>
      <c r="E55" s="85">
        <f t="shared" si="15"/>
        <v>5.1244212270339255E-2</v>
      </c>
      <c r="F55" s="85">
        <f t="shared" si="15"/>
        <v>0.15508389582120374</v>
      </c>
      <c r="G55" s="85">
        <f t="shared" si="15"/>
        <v>3.6430199653670281E-2</v>
      </c>
      <c r="H55" s="85">
        <f t="shared" si="15"/>
        <v>1.9650257689144798E-2</v>
      </c>
      <c r="I55" s="85">
        <f t="shared" si="15"/>
        <v>5.335345849517531E-2</v>
      </c>
      <c r="J55" s="85">
        <f t="shared" si="15"/>
        <v>0.38672013726695548</v>
      </c>
      <c r="K55" s="85">
        <f t="shared" si="15"/>
        <v>0.4481128953940261</v>
      </c>
      <c r="L55" s="85">
        <f t="shared" si="15"/>
        <v>2.6443715382087202E-2</v>
      </c>
      <c r="M55" s="85">
        <f t="shared" si="15"/>
        <v>6.0917327869527478E-2</v>
      </c>
      <c r="N55" s="85">
        <f t="shared" si="15"/>
        <v>3.0953153588187902E-2</v>
      </c>
      <c r="O55" s="85">
        <f t="shared" si="15"/>
        <v>4.1788748695900983E-2</v>
      </c>
      <c r="P55" s="85">
        <f t="shared" si="15"/>
        <v>3.0953153588187902E-2</v>
      </c>
      <c r="Q55" s="85">
        <f t="shared" si="15"/>
        <v>3.0724592668129738E-2</v>
      </c>
      <c r="R55" s="85">
        <f t="shared" si="15"/>
        <v>3.1987255093663833E-2</v>
      </c>
      <c r="S55" s="85">
        <f t="shared" si="15"/>
        <v>3.1535708578528394E-2</v>
      </c>
      <c r="T55" s="85">
        <f t="shared" si="15"/>
        <v>1.917227662066744E-2</v>
      </c>
      <c r="U55" s="85">
        <f t="shared" si="15"/>
        <v>6.4643449266413758E-2</v>
      </c>
      <c r="V55" s="85">
        <f t="shared" si="15"/>
        <v>0.33293279455355879</v>
      </c>
      <c r="W55" s="85">
        <f t="shared" si="15"/>
        <v>3.7005000386595793E-2</v>
      </c>
      <c r="X55" s="85">
        <f t="shared" si="15"/>
        <v>1.7128319868726503E-2</v>
      </c>
      <c r="Y55" s="85">
        <f t="shared" si="15"/>
        <v>0.37268650829163885</v>
      </c>
      <c r="Z55" s="85">
        <f t="shared" si="15"/>
        <v>7.1471483067584579E-2</v>
      </c>
      <c r="AA55" s="85">
        <f t="shared" si="15"/>
        <v>7.3504292625865594E-2</v>
      </c>
      <c r="AB55" s="85">
        <f t="shared" si="15"/>
        <v>3.9933705416045802E-2</v>
      </c>
      <c r="AC55" s="85">
        <f t="shared" si="15"/>
        <v>0.26497347386489911</v>
      </c>
      <c r="AD55" s="85">
        <f t="shared" si="15"/>
        <v>2.3981384534297101E-2</v>
      </c>
      <c r="AE55" s="85">
        <f t="shared" si="15"/>
        <v>0.3854577946844075</v>
      </c>
      <c r="AF55" s="85">
        <f t="shared" si="15"/>
        <v>0.44152545485512223</v>
      </c>
      <c r="AG55" s="85">
        <f t="shared" si="15"/>
        <v>0.13949574856237154</v>
      </c>
    </row>
    <row r="56" spans="1:34">
      <c r="B56" s="86"/>
    </row>
    <row r="57" spans="1:34">
      <c r="B57" s="86"/>
    </row>
    <row r="59" spans="1:34">
      <c r="A59" s="28" t="s">
        <v>149</v>
      </c>
      <c r="B59" s="25"/>
    </row>
    <row r="60" spans="1:34">
      <c r="A60" s="81" t="s">
        <v>124</v>
      </c>
      <c r="B60" s="81" t="s">
        <v>112</v>
      </c>
      <c r="C60" s="81">
        <f>C36/$AH36</f>
        <v>0.96391006746494212</v>
      </c>
      <c r="D60" s="81">
        <f t="shared" ref="D60:AG60" si="16">D36/$AH36</f>
        <v>1.2666275186157072</v>
      </c>
      <c r="E60" s="81">
        <f t="shared" si="16"/>
        <v>0.70907718469794589</v>
      </c>
      <c r="F60" s="81">
        <f t="shared" si="16"/>
        <v>1.4223203726044011</v>
      </c>
      <c r="G60" s="81">
        <f t="shared" si="16"/>
        <v>0.78296827448494066</v>
      </c>
      <c r="H60" s="81">
        <f t="shared" si="16"/>
        <v>1.0638167684812216</v>
      </c>
      <c r="I60" s="81">
        <f t="shared" si="16"/>
        <v>1.3252429600540163</v>
      </c>
      <c r="J60" s="81">
        <f t="shared" si="16"/>
        <v>0.74746065688489149</v>
      </c>
      <c r="K60" s="81">
        <f t="shared" si="16"/>
        <v>0.80641555144406951</v>
      </c>
      <c r="L60" s="81">
        <f t="shared" si="16"/>
        <v>1.0833845290153756</v>
      </c>
      <c r="M60" s="81">
        <f t="shared" si="16"/>
        <v>1.3085817563401987</v>
      </c>
      <c r="N60" s="81">
        <f t="shared" si="16"/>
        <v>1.2896679477007831</v>
      </c>
      <c r="O60" s="81">
        <f t="shared" si="16"/>
        <v>1.4102075401754979</v>
      </c>
      <c r="P60" s="81">
        <f t="shared" si="16"/>
        <v>1.2896679477007831</v>
      </c>
      <c r="Q60" s="81">
        <f t="shared" si="16"/>
        <v>1.2891369712643046</v>
      </c>
      <c r="R60" s="81">
        <f t="shared" si="16"/>
        <v>1.1363529447953571</v>
      </c>
      <c r="S60" s="81">
        <f t="shared" si="16"/>
        <v>1.1620493422109168</v>
      </c>
      <c r="T60" s="81">
        <f t="shared" si="16"/>
        <v>1</v>
      </c>
      <c r="U60" s="81">
        <f t="shared" si="16"/>
        <v>0.92604236667021944</v>
      </c>
      <c r="V60" s="81">
        <f t="shared" si="16"/>
        <v>0.50372351487096678</v>
      </c>
      <c r="W60" s="81">
        <f t="shared" si="16"/>
        <v>1.0350119384174143</v>
      </c>
      <c r="X60" s="81">
        <f t="shared" si="16"/>
        <v>1.0336851032865175</v>
      </c>
      <c r="Y60" s="81">
        <f t="shared" si="16"/>
        <v>0.56956808702850259</v>
      </c>
      <c r="Z60" s="81">
        <f t="shared" si="16"/>
        <v>0.98531357908281325</v>
      </c>
      <c r="AA60" s="81">
        <f t="shared" si="16"/>
        <v>0.85240772824684974</v>
      </c>
      <c r="AB60" s="81">
        <f t="shared" si="16"/>
        <v>0.92032834574531852</v>
      </c>
      <c r="AC60" s="81">
        <f t="shared" si="16"/>
        <v>0.79999003708272076</v>
      </c>
      <c r="AD60" s="81">
        <f t="shared" si="16"/>
        <v>1.0934268301402541</v>
      </c>
      <c r="AE60" s="81">
        <f t="shared" si="16"/>
        <v>0.73075091989437813</v>
      </c>
      <c r="AF60" s="81">
        <f t="shared" si="16"/>
        <v>0.72782407113507619</v>
      </c>
      <c r="AG60" s="81">
        <f t="shared" si="16"/>
        <v>0.56068148281886798</v>
      </c>
    </row>
    <row r="61" spans="1:34">
      <c r="A61" s="81" t="s">
        <v>125</v>
      </c>
      <c r="B61" s="81" t="s">
        <v>112</v>
      </c>
      <c r="C61" s="81">
        <f t="shared" ref="C61:AG66" si="17">C37/$AH37</f>
        <v>0.94960590570962766</v>
      </c>
      <c r="D61" s="81">
        <f t="shared" si="17"/>
        <v>1.3483093862373057</v>
      </c>
      <c r="E61" s="81">
        <f t="shared" si="17"/>
        <v>0.71944388441744822</v>
      </c>
      <c r="F61" s="81">
        <f t="shared" si="17"/>
        <v>1.5019652586382266</v>
      </c>
      <c r="G61" s="81">
        <f t="shared" si="17"/>
        <v>0.7550253186903606</v>
      </c>
      <c r="H61" s="81">
        <f t="shared" si="17"/>
        <v>1.0515009433428277</v>
      </c>
      <c r="I61" s="81">
        <f t="shared" si="17"/>
        <v>1.3365073790570983</v>
      </c>
      <c r="J61" s="81">
        <f t="shared" si="17"/>
        <v>0.63122739066187772</v>
      </c>
      <c r="K61" s="81">
        <f t="shared" si="17"/>
        <v>0.7875158084930558</v>
      </c>
      <c r="L61" s="81">
        <f t="shared" si="17"/>
        <v>1.0552231640743264</v>
      </c>
      <c r="M61" s="81">
        <f t="shared" si="17"/>
        <v>1.3285008394498521</v>
      </c>
      <c r="N61" s="81">
        <f t="shared" si="17"/>
        <v>1.2998983850236199</v>
      </c>
      <c r="O61" s="81">
        <f t="shared" si="17"/>
        <v>1.4287376592420908</v>
      </c>
      <c r="P61" s="81">
        <f t="shared" si="17"/>
        <v>1.2998983850236199</v>
      </c>
      <c r="Q61" s="81">
        <f t="shared" si="17"/>
        <v>1.2992444956243121</v>
      </c>
      <c r="R61" s="81">
        <f t="shared" si="17"/>
        <v>1.1768446504157268</v>
      </c>
      <c r="S61" s="81">
        <f t="shared" si="17"/>
        <v>1.1866904805542013</v>
      </c>
      <c r="T61" s="81">
        <f t="shared" si="17"/>
        <v>1.0676845418374865</v>
      </c>
      <c r="U61" s="81">
        <f t="shared" si="17"/>
        <v>0.96531847890688161</v>
      </c>
      <c r="V61" s="81">
        <f t="shared" si="17"/>
        <v>0.47140323828241015</v>
      </c>
      <c r="W61" s="81">
        <f t="shared" si="17"/>
        <v>1.098924878755883</v>
      </c>
      <c r="X61" s="81">
        <f t="shared" si="17"/>
        <v>1.0591498471472383</v>
      </c>
      <c r="Y61" s="81">
        <f t="shared" si="17"/>
        <v>0.80840381648345983</v>
      </c>
      <c r="Z61" s="81">
        <f t="shared" si="17"/>
        <v>0.93450980129935157</v>
      </c>
      <c r="AA61" s="81">
        <f t="shared" si="17"/>
        <v>0.85392721086018986</v>
      </c>
      <c r="AB61" s="81">
        <f t="shared" si="17"/>
        <v>0.90143083953595993</v>
      </c>
      <c r="AC61" s="81">
        <f t="shared" si="17"/>
        <v>0.7980906207402918</v>
      </c>
      <c r="AD61" s="81">
        <f t="shared" si="17"/>
        <v>1</v>
      </c>
      <c r="AE61" s="81">
        <f t="shared" si="17"/>
        <v>0.43394188601811506</v>
      </c>
      <c r="AF61" s="81">
        <f t="shared" si="17"/>
        <v>0.7065582517915312</v>
      </c>
      <c r="AG61" s="81">
        <f t="shared" si="17"/>
        <v>0.6607297076989791</v>
      </c>
    </row>
    <row r="62" spans="1:34">
      <c r="A62" s="81" t="s">
        <v>126</v>
      </c>
      <c r="B62" s="81" t="s">
        <v>113</v>
      </c>
      <c r="C62" s="81">
        <f t="shared" si="17"/>
        <v>0.88518592805051732</v>
      </c>
      <c r="D62" s="81">
        <f t="shared" si="17"/>
        <v>1.2541591767900526</v>
      </c>
      <c r="E62" s="81">
        <f t="shared" si="17"/>
        <v>0.63617230363078248</v>
      </c>
      <c r="F62" s="81">
        <f t="shared" si="17"/>
        <v>1.3904688223996706</v>
      </c>
      <c r="G62" s="81">
        <f t="shared" si="17"/>
        <v>0.76406512626219414</v>
      </c>
      <c r="H62" s="81">
        <f t="shared" si="17"/>
        <v>1.0465969160174904</v>
      </c>
      <c r="I62" s="81">
        <f t="shared" si="17"/>
        <v>1.2661823649678974</v>
      </c>
      <c r="J62" s="81">
        <f t="shared" si="17"/>
        <v>0.69307149525026157</v>
      </c>
      <c r="K62" s="81">
        <f t="shared" si="17"/>
        <v>0.76857022714991863</v>
      </c>
      <c r="L62" s="81">
        <f t="shared" si="17"/>
        <v>1.0165657650018149</v>
      </c>
      <c r="M62" s="81">
        <f t="shared" si="17"/>
        <v>1.253209845914147</v>
      </c>
      <c r="N62" s="81">
        <f t="shared" si="17"/>
        <v>1.2057719394309763</v>
      </c>
      <c r="O62" s="81">
        <f t="shared" si="17"/>
        <v>1.3235441589552166</v>
      </c>
      <c r="P62" s="81">
        <f t="shared" si="17"/>
        <v>1.2057719394309763</v>
      </c>
      <c r="Q62" s="81">
        <f t="shared" si="17"/>
        <v>1.2054390064855705</v>
      </c>
      <c r="R62" s="81">
        <f t="shared" si="17"/>
        <v>1.0578958353197188</v>
      </c>
      <c r="S62" s="81">
        <f t="shared" si="17"/>
        <v>1.0741215303389304</v>
      </c>
      <c r="T62" s="81">
        <f t="shared" si="17"/>
        <v>0.91513596267870168</v>
      </c>
      <c r="U62" s="81">
        <f t="shared" si="17"/>
        <v>0.87658282118677855</v>
      </c>
      <c r="V62" s="81">
        <f t="shared" si="17"/>
        <v>0.59184994510430655</v>
      </c>
      <c r="W62" s="81">
        <f t="shared" si="17"/>
        <v>1.054616629215086</v>
      </c>
      <c r="X62" s="81">
        <f t="shared" si="17"/>
        <v>1.0116184096012226</v>
      </c>
      <c r="Y62" s="81">
        <f t="shared" si="17"/>
        <v>0.7182743691331811</v>
      </c>
      <c r="Z62" s="81">
        <f t="shared" si="17"/>
        <v>1</v>
      </c>
      <c r="AA62" s="81">
        <f t="shared" si="17"/>
        <v>0.80528638636932326</v>
      </c>
      <c r="AB62" s="81">
        <f t="shared" si="17"/>
        <v>0.79143870748049772</v>
      </c>
      <c r="AC62" s="81">
        <f t="shared" si="17"/>
        <v>0.74975807581457365</v>
      </c>
      <c r="AD62" s="81">
        <f t="shared" si="17"/>
        <v>1.0871221826526685</v>
      </c>
      <c r="AE62" s="81">
        <f t="shared" si="17"/>
        <v>0.59512955424446423</v>
      </c>
      <c r="AF62" s="81">
        <f t="shared" si="17"/>
        <v>0.68846848725832244</v>
      </c>
      <c r="AG62" s="81">
        <f t="shared" si="17"/>
        <v>0</v>
      </c>
    </row>
    <row r="63" spans="1:34">
      <c r="A63" s="81" t="s">
        <v>127</v>
      </c>
      <c r="B63" s="81" t="s">
        <v>113</v>
      </c>
      <c r="C63" s="81">
        <f t="shared" si="17"/>
        <v>0.93622474772116182</v>
      </c>
      <c r="D63" s="81">
        <f t="shared" si="17"/>
        <v>1.3187903034696766</v>
      </c>
      <c r="E63" s="81">
        <f t="shared" si="17"/>
        <v>0.65646157614510436</v>
      </c>
      <c r="F63" s="81">
        <f t="shared" si="17"/>
        <v>1.4022248984460686</v>
      </c>
      <c r="G63" s="81">
        <f t="shared" si="17"/>
        <v>0.72287029199031805</v>
      </c>
      <c r="H63" s="81">
        <f t="shared" si="17"/>
        <v>1</v>
      </c>
      <c r="I63" s="81">
        <f t="shared" si="17"/>
        <v>1.2820153786805395</v>
      </c>
      <c r="J63" s="81">
        <f t="shared" si="17"/>
        <v>0.76117012638716008</v>
      </c>
      <c r="K63" s="81">
        <f t="shared" si="17"/>
        <v>0.77313879699738453</v>
      </c>
      <c r="L63" s="81">
        <f t="shared" si="17"/>
        <v>1.031632626480425</v>
      </c>
      <c r="M63" s="81">
        <f t="shared" si="17"/>
        <v>1.2716885518879777</v>
      </c>
      <c r="N63" s="81">
        <f t="shared" si="17"/>
        <v>1.2152081765822043</v>
      </c>
      <c r="O63" s="81">
        <f t="shared" si="17"/>
        <v>1.3346554532602999</v>
      </c>
      <c r="P63" s="81">
        <f t="shared" si="17"/>
        <v>1.2152081765822043</v>
      </c>
      <c r="Q63" s="81">
        <f t="shared" si="17"/>
        <v>1.214455809480484</v>
      </c>
      <c r="R63" s="81">
        <f t="shared" si="17"/>
        <v>1.1021746385524502</v>
      </c>
      <c r="S63" s="81">
        <f t="shared" si="17"/>
        <v>1.110528333959327</v>
      </c>
      <c r="T63" s="81">
        <f t="shared" si="17"/>
        <v>0.96633842855552265</v>
      </c>
      <c r="U63" s="81">
        <f t="shared" si="17"/>
        <v>0.87159948779977003</v>
      </c>
      <c r="V63" s="81">
        <f t="shared" si="17"/>
        <v>0.50846944819012696</v>
      </c>
      <c r="W63" s="81">
        <f t="shared" si="17"/>
        <v>1.029622619475357</v>
      </c>
      <c r="X63" s="81">
        <f t="shared" si="17"/>
        <v>1.0675282232855474</v>
      </c>
      <c r="Y63" s="81">
        <f t="shared" si="17"/>
        <v>0.68029093804811425</v>
      </c>
      <c r="Z63" s="81">
        <f t="shared" si="17"/>
        <v>1.0179377553481104</v>
      </c>
      <c r="AA63" s="81">
        <f t="shared" si="17"/>
        <v>0.71894897758825538</v>
      </c>
      <c r="AB63" s="81">
        <f t="shared" si="17"/>
        <v>0.78407275926619258</v>
      </c>
      <c r="AC63" s="81">
        <f t="shared" si="17"/>
        <v>0.64801861255843407</v>
      </c>
      <c r="AD63" s="81">
        <f t="shared" si="17"/>
        <v>1.1231817193982743</v>
      </c>
      <c r="AE63" s="81">
        <f t="shared" si="17"/>
        <v>0.55916168807492272</v>
      </c>
      <c r="AF63" s="81">
        <f t="shared" si="17"/>
        <v>0.73989176884862395</v>
      </c>
      <c r="AG63" s="81">
        <f t="shared" si="17"/>
        <v>0</v>
      </c>
    </row>
    <row r="64" spans="1:34">
      <c r="A64" s="81" t="s">
        <v>128</v>
      </c>
      <c r="B64" s="81" t="s">
        <v>114</v>
      </c>
      <c r="C64" s="81">
        <f t="shared" si="17"/>
        <v>0.94811631531789908</v>
      </c>
      <c r="D64" s="81">
        <f t="shared" si="17"/>
        <v>1.3574052778408618</v>
      </c>
      <c r="E64" s="81">
        <f t="shared" si="17"/>
        <v>0.55223582029290164</v>
      </c>
      <c r="F64" s="81">
        <f t="shared" si="17"/>
        <v>1.5232021958805348</v>
      </c>
      <c r="G64" s="81">
        <f t="shared" si="17"/>
        <v>0.62508052342098841</v>
      </c>
      <c r="H64" s="81">
        <f t="shared" si="17"/>
        <v>1.0010595807222593</v>
      </c>
      <c r="I64" s="81">
        <f t="shared" si="17"/>
        <v>1.2835777670732336</v>
      </c>
      <c r="J64" s="81">
        <f t="shared" si="17"/>
        <v>0.44064997597236655</v>
      </c>
      <c r="K64" s="81">
        <f t="shared" si="17"/>
        <v>0</v>
      </c>
      <c r="L64" s="81">
        <f t="shared" si="17"/>
        <v>1.0011624496760001</v>
      </c>
      <c r="M64" s="81">
        <f t="shared" si="17"/>
        <v>1.3072470416817537</v>
      </c>
      <c r="N64" s="81">
        <f t="shared" si="17"/>
        <v>1.2175286665098883</v>
      </c>
      <c r="O64" s="81">
        <f t="shared" si="17"/>
        <v>1.3520680149547022</v>
      </c>
      <c r="P64" s="81">
        <f t="shared" si="17"/>
        <v>1.2175286665098883</v>
      </c>
      <c r="Q64" s="81">
        <f t="shared" si="17"/>
        <v>1.2151684394953526</v>
      </c>
      <c r="R64" s="81">
        <f t="shared" si="17"/>
        <v>1.111106238867785</v>
      </c>
      <c r="S64" s="81">
        <f t="shared" si="17"/>
        <v>1.1151384729080562</v>
      </c>
      <c r="T64" s="81">
        <f t="shared" si="17"/>
        <v>1.0102641249139528</v>
      </c>
      <c r="U64" s="81">
        <f t="shared" si="17"/>
        <v>0.9513283429453766</v>
      </c>
      <c r="V64" s="81">
        <f t="shared" si="17"/>
        <v>0.58637198246682176</v>
      </c>
      <c r="W64" s="81">
        <f t="shared" si="17"/>
        <v>1.0102403144732772</v>
      </c>
      <c r="X64" s="81">
        <f t="shared" si="17"/>
        <v>1.0024916934764996</v>
      </c>
      <c r="Y64" s="81">
        <f t="shared" si="17"/>
        <v>0.6537403326366793</v>
      </c>
      <c r="Z64" s="81">
        <f t="shared" si="17"/>
        <v>0.82924043088949961</v>
      </c>
      <c r="AA64" s="81">
        <f t="shared" si="17"/>
        <v>0.5670875950651777</v>
      </c>
      <c r="AB64" s="81">
        <f t="shared" si="17"/>
        <v>0.88505178899035397</v>
      </c>
      <c r="AC64" s="81">
        <f t="shared" si="17"/>
        <v>0</v>
      </c>
      <c r="AD64" s="81">
        <f t="shared" si="17"/>
        <v>1</v>
      </c>
      <c r="AE64" s="81">
        <f t="shared" si="17"/>
        <v>0</v>
      </c>
      <c r="AF64" s="81">
        <f t="shared" si="17"/>
        <v>0.69509842744527539</v>
      </c>
      <c r="AG64" s="81">
        <f t="shared" si="17"/>
        <v>0</v>
      </c>
    </row>
    <row r="65" spans="1:33">
      <c r="A65" s="81" t="s">
        <v>129</v>
      </c>
      <c r="B65" s="81" t="s">
        <v>113</v>
      </c>
      <c r="C65" s="81">
        <f t="shared" si="17"/>
        <v>0.87279383341643579</v>
      </c>
      <c r="D65" s="81">
        <f t="shared" si="17"/>
        <v>1.1980393547311421</v>
      </c>
      <c r="E65" s="81">
        <f t="shared" si="17"/>
        <v>0.65905375021462798</v>
      </c>
      <c r="F65" s="81">
        <f t="shared" si="17"/>
        <v>1.3420112443188819</v>
      </c>
      <c r="G65" s="81">
        <f t="shared" si="17"/>
        <v>0.71645253842253198</v>
      </c>
      <c r="H65" s="81">
        <f t="shared" si="17"/>
        <v>1.0202412234509863</v>
      </c>
      <c r="I65" s="81">
        <f t="shared" si="17"/>
        <v>1.2653369895977031</v>
      </c>
      <c r="J65" s="81">
        <f t="shared" si="17"/>
        <v>0.72166275175281591</v>
      </c>
      <c r="K65" s="81">
        <f t="shared" si="17"/>
        <v>0.78779397401162377</v>
      </c>
      <c r="L65" s="81">
        <f t="shared" si="17"/>
        <v>1.0168049864731599</v>
      </c>
      <c r="M65" s="81">
        <f t="shared" si="17"/>
        <v>1.2389176893108518</v>
      </c>
      <c r="N65" s="81">
        <f t="shared" si="17"/>
        <v>1.2312292266316256</v>
      </c>
      <c r="O65" s="81">
        <f t="shared" si="17"/>
        <v>1.34461424893407</v>
      </c>
      <c r="P65" s="81">
        <f t="shared" si="17"/>
        <v>1.2312292266316256</v>
      </c>
      <c r="Q65" s="81">
        <f t="shared" si="17"/>
        <v>1.2308276113925305</v>
      </c>
      <c r="R65" s="81">
        <f t="shared" si="17"/>
        <v>1.1086315207314443</v>
      </c>
      <c r="S65" s="81">
        <f t="shared" si="17"/>
        <v>1.1188694738733485</v>
      </c>
      <c r="T65" s="81">
        <f t="shared" si="17"/>
        <v>1</v>
      </c>
      <c r="U65" s="81">
        <f t="shared" si="17"/>
        <v>0.89507969463786685</v>
      </c>
      <c r="V65" s="81">
        <f t="shared" si="17"/>
        <v>0.57379527713437761</v>
      </c>
      <c r="W65" s="81">
        <f t="shared" si="17"/>
        <v>1.044048474009923</v>
      </c>
      <c r="X65" s="81">
        <f t="shared" si="17"/>
        <v>1.0150964962809674</v>
      </c>
      <c r="Y65" s="81">
        <f t="shared" si="17"/>
        <v>0.77023320461892808</v>
      </c>
      <c r="Z65" s="81">
        <f t="shared" si="17"/>
        <v>0.94268520497285813</v>
      </c>
      <c r="AA65" s="81">
        <f t="shared" si="17"/>
        <v>0.7843583203246437</v>
      </c>
      <c r="AB65" s="81">
        <f t="shared" si="17"/>
        <v>0.87260486054072184</v>
      </c>
      <c r="AC65" s="81">
        <f t="shared" si="17"/>
        <v>0.71159486465570021</v>
      </c>
      <c r="AD65" s="81">
        <f t="shared" si="17"/>
        <v>1.0345962669985849</v>
      </c>
      <c r="AE65" s="81">
        <f t="shared" si="17"/>
        <v>0.67010943071234297</v>
      </c>
      <c r="AF65" s="81">
        <f t="shared" si="17"/>
        <v>0.71295317199672537</v>
      </c>
      <c r="AG65" s="81">
        <f t="shared" si="17"/>
        <v>0.60077031336273756</v>
      </c>
    </row>
    <row r="66" spans="1:33">
      <c r="A66" s="81" t="s">
        <v>130</v>
      </c>
      <c r="B66" s="81" t="s">
        <v>113</v>
      </c>
      <c r="C66" s="81">
        <f t="shared" si="17"/>
        <v>0.92047149391167815</v>
      </c>
      <c r="D66" s="81">
        <f t="shared" si="17"/>
        <v>1.2816882248889687</v>
      </c>
      <c r="E66" s="81">
        <f t="shared" si="17"/>
        <v>0.59001713675807665</v>
      </c>
      <c r="F66" s="81">
        <f t="shared" si="17"/>
        <v>1.427904929205464</v>
      </c>
      <c r="G66" s="81">
        <f t="shared" si="17"/>
        <v>0.65856258742079077</v>
      </c>
      <c r="H66" s="81">
        <f t="shared" si="17"/>
        <v>1</v>
      </c>
      <c r="I66" s="81">
        <f t="shared" si="17"/>
        <v>1.2849526628241752</v>
      </c>
      <c r="J66" s="81">
        <f t="shared" si="17"/>
        <v>0.69536033494052607</v>
      </c>
      <c r="K66" s="81">
        <f t="shared" si="17"/>
        <v>0.72668746846209453</v>
      </c>
      <c r="L66" s="81">
        <f t="shared" si="17"/>
        <v>1.0249877589335841</v>
      </c>
      <c r="M66" s="81">
        <f t="shared" si="17"/>
        <v>1.2882387311123933</v>
      </c>
      <c r="N66" s="81">
        <f t="shared" si="17"/>
        <v>1.2605812702369597</v>
      </c>
      <c r="O66" s="81">
        <f t="shared" si="17"/>
        <v>1.382998641387114</v>
      </c>
      <c r="P66" s="81">
        <f t="shared" si="17"/>
        <v>1.2605812702369597</v>
      </c>
      <c r="Q66" s="81">
        <f t="shared" si="17"/>
        <v>1.2601351907515403</v>
      </c>
      <c r="R66" s="81">
        <f t="shared" si="17"/>
        <v>1.1590211051780375</v>
      </c>
      <c r="S66" s="81">
        <f t="shared" si="17"/>
        <v>1.1684415121991554</v>
      </c>
      <c r="T66" s="81">
        <f t="shared" si="17"/>
        <v>1.0702944100306238</v>
      </c>
      <c r="U66" s="81">
        <f t="shared" si="17"/>
        <v>0.91187088413763662</v>
      </c>
      <c r="V66" s="81">
        <f t="shared" si="17"/>
        <v>0</v>
      </c>
      <c r="W66" s="81">
        <f t="shared" si="17"/>
        <v>1.0104153996479712</v>
      </c>
      <c r="X66" s="81">
        <f t="shared" si="17"/>
        <v>1.019209595118066</v>
      </c>
      <c r="Y66" s="81">
        <f t="shared" si="17"/>
        <v>0.54645678788411223</v>
      </c>
      <c r="Z66" s="81">
        <f t="shared" si="17"/>
        <v>0.93519470895068302</v>
      </c>
      <c r="AA66" s="81">
        <f t="shared" si="17"/>
        <v>0.71915527905541243</v>
      </c>
      <c r="AB66" s="81">
        <f t="shared" si="17"/>
        <v>0.76403866165568812</v>
      </c>
      <c r="AC66" s="81">
        <f t="shared" si="17"/>
        <v>0</v>
      </c>
      <c r="AD66" s="81">
        <f t="shared" si="17"/>
        <v>1.1048581050986281</v>
      </c>
      <c r="AE66" s="81">
        <f t="shared" si="17"/>
        <v>0</v>
      </c>
      <c r="AF66" s="81">
        <f t="shared" si="17"/>
        <v>0.61558762847535642</v>
      </c>
      <c r="AG66" s="81">
        <f t="shared" si="17"/>
        <v>0.62827981883362394</v>
      </c>
    </row>
    <row r="67" spans="1:33">
      <c r="B67" s="84" t="s">
        <v>110</v>
      </c>
      <c r="C67" s="87">
        <f>AVERAGE(C60:C66)</f>
        <v>0.9251868987988946</v>
      </c>
      <c r="D67" s="87">
        <f t="shared" ref="D67:AG67" si="18">AVERAGE(D60:D66)</f>
        <v>1.2892884632248163</v>
      </c>
      <c r="E67" s="87">
        <f t="shared" si="18"/>
        <v>0.64606595087955532</v>
      </c>
      <c r="F67" s="87">
        <f t="shared" si="18"/>
        <v>1.4300139602133213</v>
      </c>
      <c r="G67" s="87">
        <f t="shared" si="18"/>
        <v>0.71786066581316077</v>
      </c>
      <c r="H67" s="87">
        <f t="shared" si="18"/>
        <v>1.0261736331449693</v>
      </c>
      <c r="I67" s="87">
        <f t="shared" si="18"/>
        <v>1.2919736431792377</v>
      </c>
      <c r="J67" s="87">
        <f t="shared" si="18"/>
        <v>0.67008610454998563</v>
      </c>
      <c r="K67" s="87">
        <f t="shared" si="18"/>
        <v>0.6643031180797353</v>
      </c>
      <c r="L67" s="87">
        <f t="shared" si="18"/>
        <v>1.0328230399506695</v>
      </c>
      <c r="M67" s="87">
        <f t="shared" si="18"/>
        <v>1.2851977793853104</v>
      </c>
      <c r="N67" s="87">
        <f t="shared" si="18"/>
        <v>1.2456979445880081</v>
      </c>
      <c r="O67" s="87">
        <f t="shared" si="18"/>
        <v>1.3681179595584276</v>
      </c>
      <c r="P67" s="87">
        <f t="shared" si="18"/>
        <v>1.2456979445880081</v>
      </c>
      <c r="Q67" s="87">
        <f t="shared" si="18"/>
        <v>1.2449153606420136</v>
      </c>
      <c r="R67" s="87">
        <f t="shared" si="18"/>
        <v>1.1217181334086457</v>
      </c>
      <c r="S67" s="87">
        <f t="shared" si="18"/>
        <v>1.1336913065777052</v>
      </c>
      <c r="T67" s="87">
        <f t="shared" si="18"/>
        <v>1.0042453525737554</v>
      </c>
      <c r="U67" s="87">
        <f t="shared" si="18"/>
        <v>0.91397458232636131</v>
      </c>
      <c r="V67" s="87">
        <f t="shared" si="18"/>
        <v>0.46223048657843002</v>
      </c>
      <c r="W67" s="87">
        <f t="shared" si="18"/>
        <v>1.040411464856416</v>
      </c>
      <c r="X67" s="87">
        <f t="shared" si="18"/>
        <v>1.0298256240280084</v>
      </c>
      <c r="Y67" s="87">
        <f t="shared" si="18"/>
        <v>0.67813821940471108</v>
      </c>
      <c r="Z67" s="87">
        <f t="shared" si="18"/>
        <v>0.94926878293475947</v>
      </c>
      <c r="AA67" s="87">
        <f t="shared" si="18"/>
        <v>0.75731021392997888</v>
      </c>
      <c r="AB67" s="87">
        <f t="shared" si="18"/>
        <v>0.84556656617353332</v>
      </c>
      <c r="AC67" s="87">
        <f t="shared" si="18"/>
        <v>0.52963603012167437</v>
      </c>
      <c r="AD67" s="87">
        <f t="shared" si="18"/>
        <v>1.0633121577554872</v>
      </c>
      <c r="AE67" s="87">
        <f t="shared" si="18"/>
        <v>0.42701335413488906</v>
      </c>
      <c r="AF67" s="87">
        <f t="shared" si="18"/>
        <v>0.69805454385013022</v>
      </c>
      <c r="AG67" s="87">
        <f t="shared" si="18"/>
        <v>0.3500659032448869</v>
      </c>
    </row>
    <row r="68" spans="1:33">
      <c r="B68" s="84" t="s">
        <v>52</v>
      </c>
      <c r="C68" s="88">
        <f>_xlfn.STDEV.S(C60:C66)</f>
        <v>3.4425547550745672E-2</v>
      </c>
      <c r="D68" s="88">
        <f t="shared" ref="D68:AG68" si="19">_xlfn.STDEV.S(D60:D66)</f>
        <v>5.6458652959726456E-2</v>
      </c>
      <c r="E68" s="88">
        <f t="shared" si="19"/>
        <v>6.0103987527247105E-2</v>
      </c>
      <c r="F68" s="88">
        <f t="shared" si="19"/>
        <v>6.3252409436701018E-2</v>
      </c>
      <c r="G68" s="88">
        <f t="shared" si="19"/>
        <v>5.7600000573421885E-2</v>
      </c>
      <c r="H68" s="88">
        <f t="shared" si="19"/>
        <v>2.7421451520587933E-2</v>
      </c>
      <c r="I68" s="88">
        <f t="shared" si="19"/>
        <v>2.7939680130925171E-2</v>
      </c>
      <c r="J68" s="88">
        <f t="shared" si="19"/>
        <v>0.10974312626078912</v>
      </c>
      <c r="K68" s="88">
        <f t="shared" si="19"/>
        <v>0.2939769200682309</v>
      </c>
      <c r="L68" s="88">
        <f t="shared" si="19"/>
        <v>2.7821779395987522E-2</v>
      </c>
      <c r="M68" s="88">
        <f t="shared" si="19"/>
        <v>3.2313455909868581E-2</v>
      </c>
      <c r="N68" s="88">
        <f t="shared" si="19"/>
        <v>3.790146471909174E-2</v>
      </c>
      <c r="O68" s="88">
        <f t="shared" si="19"/>
        <v>3.9967285874008301E-2</v>
      </c>
      <c r="P68" s="88">
        <f t="shared" si="19"/>
        <v>3.790146471909174E-2</v>
      </c>
      <c r="Q68" s="88">
        <f t="shared" si="19"/>
        <v>3.8097156004059607E-2</v>
      </c>
      <c r="R68" s="88">
        <f t="shared" si="19"/>
        <v>3.9546866597620779E-2</v>
      </c>
      <c r="S68" s="88">
        <f t="shared" si="19"/>
        <v>3.9727495351551984E-2</v>
      </c>
      <c r="T68" s="88">
        <f t="shared" si="19"/>
        <v>5.452323455617656E-2</v>
      </c>
      <c r="U68" s="88">
        <f t="shared" si="19"/>
        <v>3.5898851726090419E-2</v>
      </c>
      <c r="V68" s="88">
        <f t="shared" si="19"/>
        <v>0.20906932366478717</v>
      </c>
      <c r="W68" s="88">
        <f t="shared" si="19"/>
        <v>3.0535363242375709E-2</v>
      </c>
      <c r="X68" s="88">
        <f t="shared" si="19"/>
        <v>2.4848156615232941E-2</v>
      </c>
      <c r="Y68" s="88">
        <f t="shared" si="19"/>
        <v>9.7287277968156893E-2</v>
      </c>
      <c r="Z68" s="88">
        <f t="shared" si="19"/>
        <v>6.2522485791760923E-2</v>
      </c>
      <c r="AA68" s="88">
        <f t="shared" si="19"/>
        <v>0.10043548737312094</v>
      </c>
      <c r="AB68" s="88">
        <f t="shared" si="19"/>
        <v>6.3716043892615551E-2</v>
      </c>
      <c r="AC68" s="88">
        <f t="shared" si="19"/>
        <v>0.36555094797661275</v>
      </c>
      <c r="AD68" s="88">
        <f t="shared" si="19"/>
        <v>5.1032182577367295E-2</v>
      </c>
      <c r="AE68" s="88">
        <f t="shared" si="19"/>
        <v>0.3059976208993499</v>
      </c>
      <c r="AF68" s="88">
        <f t="shared" si="19"/>
        <v>4.0481031682252928E-2</v>
      </c>
      <c r="AG68" s="88">
        <f t="shared" si="19"/>
        <v>0.32882746633072552</v>
      </c>
    </row>
    <row r="70" spans="1:33">
      <c r="A70" s="61" t="s">
        <v>117</v>
      </c>
      <c r="B70" s="61"/>
      <c r="C70" s="89">
        <f t="shared" ref="C70:AG70" si="20">_xlfn.T.TEST(C51:C53,C60:C66,2,3)</f>
        <v>0.22674683332813486</v>
      </c>
      <c r="D70" s="89">
        <f t="shared" si="20"/>
        <v>0.85735908599211463</v>
      </c>
      <c r="E70" s="89">
        <f t="shared" si="20"/>
        <v>0.34678480352058721</v>
      </c>
      <c r="F70" s="89">
        <f t="shared" si="20"/>
        <v>0.57723054892927406</v>
      </c>
      <c r="G70" s="89">
        <f t="shared" si="20"/>
        <v>0.92569224882093482</v>
      </c>
      <c r="H70" s="89">
        <f t="shared" si="20"/>
        <v>0.43878290491725586</v>
      </c>
      <c r="I70" s="89">
        <f t="shared" si="20"/>
        <v>0.2712169822852577</v>
      </c>
      <c r="J70" s="89">
        <f t="shared" si="20"/>
        <v>0.40294641574038909</v>
      </c>
      <c r="K70" s="89">
        <f t="shared" si="20"/>
        <v>0.64057509552495318</v>
      </c>
      <c r="L70" s="89">
        <f t="shared" si="20"/>
        <v>0.36459774774461051</v>
      </c>
      <c r="M70" s="89">
        <f t="shared" si="20"/>
        <v>0.34731485311587995</v>
      </c>
      <c r="N70" s="89">
        <f t="shared" si="20"/>
        <v>0.40891805693737465</v>
      </c>
      <c r="O70" s="89">
        <f t="shared" si="20"/>
        <v>0.36209478680621748</v>
      </c>
      <c r="P70" s="89">
        <f t="shared" si="20"/>
        <v>0.40891805693737465</v>
      </c>
      <c r="Q70" s="89">
        <f t="shared" si="20"/>
        <v>0.40508484677082568</v>
      </c>
      <c r="R70" s="89">
        <f t="shared" si="20"/>
        <v>0.24336475556406503</v>
      </c>
      <c r="S70" s="89">
        <f t="shared" si="20"/>
        <v>0.29760569361110062</v>
      </c>
      <c r="T70" s="89">
        <f t="shared" si="20"/>
        <v>0.12202000752029718</v>
      </c>
      <c r="U70" s="89">
        <f t="shared" si="20"/>
        <v>0.93661057182026486</v>
      </c>
      <c r="V70" s="89">
        <f t="shared" si="20"/>
        <v>0.2934461460025688</v>
      </c>
      <c r="W70" s="89">
        <f t="shared" si="20"/>
        <v>0.26541543583951815</v>
      </c>
      <c r="X70" s="89">
        <f t="shared" si="20"/>
        <v>5.0538561992454968E-2</v>
      </c>
      <c r="Y70" s="89">
        <f t="shared" si="20"/>
        <v>0.36466672024578017</v>
      </c>
      <c r="Z70" s="89">
        <f t="shared" si="20"/>
        <v>0.91130359707039843</v>
      </c>
      <c r="AA70" s="89">
        <f t="shared" si="20"/>
        <v>0.84441155866150752</v>
      </c>
      <c r="AB70" s="89">
        <f t="shared" si="20"/>
        <v>0.51320291179604771</v>
      </c>
      <c r="AC70" s="89">
        <f t="shared" si="20"/>
        <v>0.38625925742312611</v>
      </c>
      <c r="AD70" s="89">
        <f t="shared" si="20"/>
        <v>3.6207255580496991E-2</v>
      </c>
      <c r="AE70" s="89">
        <f t="shared" si="20"/>
        <v>0.47203145133460028</v>
      </c>
      <c r="AF70" s="89">
        <f t="shared" si="20"/>
        <v>0.53627445475865443</v>
      </c>
      <c r="AG70" s="90">
        <f t="shared" si="20"/>
        <v>0.30154363734372103</v>
      </c>
    </row>
    <row r="71" spans="1:33">
      <c r="A71" t="s">
        <v>118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FattyAcid_AT-Oil</vt:lpstr>
      <vt:lpstr>FattyAcids_AT-Fat</vt:lpstr>
      <vt:lpstr>SERUM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Lisa Sedger</cp:lastModifiedBy>
  <dcterms:created xsi:type="dcterms:W3CDTF">2015-11-14T08:16:50Z</dcterms:created>
  <dcterms:modified xsi:type="dcterms:W3CDTF">2016-02-20T03:52:04Z</dcterms:modified>
</cp:coreProperties>
</file>