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showInkAnnotation="0" hidePivotFieldList="1" autoCompressPictures="0"/>
  <bookViews>
    <workbookView xWindow="3400" yWindow="0" windowWidth="27460" windowHeight="19380" tabRatio="500"/>
  </bookViews>
  <sheets>
    <sheet name="Oil" sheetId="5" r:id="rId1"/>
    <sheet name="Fat" sheetId="6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47" i="6" l="1"/>
  <c r="AD47" i="6"/>
  <c r="AE47" i="6"/>
  <c r="AF47" i="6"/>
  <c r="AG47" i="6"/>
  <c r="AH47" i="6"/>
  <c r="AI47" i="6"/>
  <c r="AJ47" i="6"/>
  <c r="AK47" i="6"/>
  <c r="AL47" i="6"/>
  <c r="AM47" i="6"/>
  <c r="AN47" i="6"/>
  <c r="AO47" i="6"/>
  <c r="AP47" i="6"/>
  <c r="AQ47" i="6"/>
  <c r="AR47" i="6"/>
  <c r="AS47" i="6"/>
  <c r="AT47" i="6"/>
  <c r="AU47" i="6"/>
  <c r="AV47" i="6"/>
  <c r="AW47" i="6"/>
  <c r="AX47" i="6"/>
  <c r="AY47" i="6"/>
  <c r="AZ47" i="6"/>
  <c r="BA47" i="6"/>
  <c r="BB47" i="6"/>
  <c r="BC47" i="6"/>
  <c r="BD47" i="6"/>
  <c r="BE47" i="6"/>
  <c r="BF47" i="6"/>
  <c r="BG47" i="6"/>
  <c r="BH47" i="6"/>
  <c r="BI47" i="6"/>
  <c r="BJ47" i="6"/>
  <c r="BK47" i="6"/>
  <c r="BL47" i="6"/>
  <c r="BM47" i="6"/>
  <c r="BN47" i="6"/>
  <c r="BO47" i="6"/>
  <c r="BP47" i="6"/>
  <c r="BQ47" i="6"/>
  <c r="BR47" i="6"/>
  <c r="BS47" i="6"/>
  <c r="BT47" i="6"/>
  <c r="BU47" i="6"/>
  <c r="BV47" i="6"/>
  <c r="BW47" i="6"/>
  <c r="BX47" i="6"/>
  <c r="BY47" i="6"/>
  <c r="BZ47" i="6"/>
  <c r="CA47" i="6"/>
  <c r="CB47" i="6"/>
  <c r="CC47" i="6"/>
  <c r="CD47" i="6"/>
  <c r="CE47" i="6"/>
  <c r="CF47" i="6"/>
  <c r="CG47" i="6"/>
  <c r="CH47" i="6"/>
  <c r="CI47" i="6"/>
  <c r="CJ47" i="6"/>
  <c r="CK47" i="6"/>
  <c r="CL47" i="6"/>
  <c r="CM47" i="6"/>
  <c r="CN47" i="6"/>
  <c r="CO47" i="6"/>
  <c r="CP47" i="6"/>
  <c r="CQ47" i="6"/>
  <c r="AC72" i="6"/>
  <c r="AC48" i="6"/>
  <c r="AD48" i="6"/>
  <c r="AE48" i="6"/>
  <c r="AF48" i="6"/>
  <c r="AG48" i="6"/>
  <c r="AH48" i="6"/>
  <c r="AI48" i="6"/>
  <c r="AJ48" i="6"/>
  <c r="AK48" i="6"/>
  <c r="AL48" i="6"/>
  <c r="AM48" i="6"/>
  <c r="AN48" i="6"/>
  <c r="AO48" i="6"/>
  <c r="AP48" i="6"/>
  <c r="AQ48" i="6"/>
  <c r="AR48" i="6"/>
  <c r="AS48" i="6"/>
  <c r="AT48" i="6"/>
  <c r="AU48" i="6"/>
  <c r="AV48" i="6"/>
  <c r="AW48" i="6"/>
  <c r="AX48" i="6"/>
  <c r="AY48" i="6"/>
  <c r="AZ48" i="6"/>
  <c r="BA48" i="6"/>
  <c r="BB48" i="6"/>
  <c r="BC48" i="6"/>
  <c r="BD48" i="6"/>
  <c r="BE48" i="6"/>
  <c r="BF48" i="6"/>
  <c r="BG48" i="6"/>
  <c r="BH48" i="6"/>
  <c r="BI48" i="6"/>
  <c r="BJ48" i="6"/>
  <c r="BK48" i="6"/>
  <c r="BL48" i="6"/>
  <c r="BM48" i="6"/>
  <c r="BN48" i="6"/>
  <c r="BO48" i="6"/>
  <c r="BP48" i="6"/>
  <c r="BQ48" i="6"/>
  <c r="BR48" i="6"/>
  <c r="BS48" i="6"/>
  <c r="BT48" i="6"/>
  <c r="BU48" i="6"/>
  <c r="BV48" i="6"/>
  <c r="BW48" i="6"/>
  <c r="BX48" i="6"/>
  <c r="BY48" i="6"/>
  <c r="BZ48" i="6"/>
  <c r="CA48" i="6"/>
  <c r="CB48" i="6"/>
  <c r="CC48" i="6"/>
  <c r="CD48" i="6"/>
  <c r="CE48" i="6"/>
  <c r="CF48" i="6"/>
  <c r="CG48" i="6"/>
  <c r="CH48" i="6"/>
  <c r="CI48" i="6"/>
  <c r="CJ48" i="6"/>
  <c r="CK48" i="6"/>
  <c r="CL48" i="6"/>
  <c r="CM48" i="6"/>
  <c r="CN48" i="6"/>
  <c r="CO48" i="6"/>
  <c r="CP48" i="6"/>
  <c r="CQ48" i="6"/>
  <c r="AC73" i="6"/>
  <c r="AC49" i="6"/>
  <c r="AD49" i="6"/>
  <c r="AE49" i="6"/>
  <c r="AF49" i="6"/>
  <c r="AG49" i="6"/>
  <c r="AH49" i="6"/>
  <c r="AI49" i="6"/>
  <c r="AJ49" i="6"/>
  <c r="AK49" i="6"/>
  <c r="AL49" i="6"/>
  <c r="AM49" i="6"/>
  <c r="AN49" i="6"/>
  <c r="AO49" i="6"/>
  <c r="AP49" i="6"/>
  <c r="AQ49" i="6"/>
  <c r="AR49" i="6"/>
  <c r="AS49" i="6"/>
  <c r="AT49" i="6"/>
  <c r="AU49" i="6"/>
  <c r="AV49" i="6"/>
  <c r="AW49" i="6"/>
  <c r="AX49" i="6"/>
  <c r="AY49" i="6"/>
  <c r="AZ49" i="6"/>
  <c r="BA49" i="6"/>
  <c r="BB49" i="6"/>
  <c r="BC49" i="6"/>
  <c r="BD49" i="6"/>
  <c r="BE49" i="6"/>
  <c r="BF49" i="6"/>
  <c r="BG49" i="6"/>
  <c r="BH49" i="6"/>
  <c r="BI49" i="6"/>
  <c r="BJ49" i="6"/>
  <c r="BK49" i="6"/>
  <c r="BL49" i="6"/>
  <c r="BM49" i="6"/>
  <c r="BN49" i="6"/>
  <c r="BO49" i="6"/>
  <c r="BP49" i="6"/>
  <c r="BQ49" i="6"/>
  <c r="BR49" i="6"/>
  <c r="BS49" i="6"/>
  <c r="BT49" i="6"/>
  <c r="BU49" i="6"/>
  <c r="BV49" i="6"/>
  <c r="BW49" i="6"/>
  <c r="BX49" i="6"/>
  <c r="BY49" i="6"/>
  <c r="BZ49" i="6"/>
  <c r="CA49" i="6"/>
  <c r="CB49" i="6"/>
  <c r="CC49" i="6"/>
  <c r="CD49" i="6"/>
  <c r="CE49" i="6"/>
  <c r="CF49" i="6"/>
  <c r="CG49" i="6"/>
  <c r="CH49" i="6"/>
  <c r="CI49" i="6"/>
  <c r="CJ49" i="6"/>
  <c r="CK49" i="6"/>
  <c r="CL49" i="6"/>
  <c r="CM49" i="6"/>
  <c r="CN49" i="6"/>
  <c r="CO49" i="6"/>
  <c r="CP49" i="6"/>
  <c r="CQ49" i="6"/>
  <c r="AC74" i="6"/>
  <c r="AC50" i="6"/>
  <c r="AD50" i="6"/>
  <c r="AE50" i="6"/>
  <c r="AF50" i="6"/>
  <c r="AG50" i="6"/>
  <c r="AH50" i="6"/>
  <c r="AI50" i="6"/>
  <c r="AJ50" i="6"/>
  <c r="AK50" i="6"/>
  <c r="AL50" i="6"/>
  <c r="AM50" i="6"/>
  <c r="AN50" i="6"/>
  <c r="AO50" i="6"/>
  <c r="AP50" i="6"/>
  <c r="AQ50" i="6"/>
  <c r="AR50" i="6"/>
  <c r="AS50" i="6"/>
  <c r="AT50" i="6"/>
  <c r="AU50" i="6"/>
  <c r="AV50" i="6"/>
  <c r="AW50" i="6"/>
  <c r="AX50" i="6"/>
  <c r="AY50" i="6"/>
  <c r="AZ50" i="6"/>
  <c r="BA50" i="6"/>
  <c r="BB50" i="6"/>
  <c r="BC50" i="6"/>
  <c r="BD50" i="6"/>
  <c r="BE50" i="6"/>
  <c r="BF50" i="6"/>
  <c r="BG50" i="6"/>
  <c r="BH50" i="6"/>
  <c r="BI50" i="6"/>
  <c r="BJ50" i="6"/>
  <c r="BK50" i="6"/>
  <c r="BL50" i="6"/>
  <c r="BM50" i="6"/>
  <c r="BN50" i="6"/>
  <c r="BO50" i="6"/>
  <c r="BP50" i="6"/>
  <c r="BQ50" i="6"/>
  <c r="BR50" i="6"/>
  <c r="BS50" i="6"/>
  <c r="BT50" i="6"/>
  <c r="BU50" i="6"/>
  <c r="BV50" i="6"/>
  <c r="BW50" i="6"/>
  <c r="BX50" i="6"/>
  <c r="BY50" i="6"/>
  <c r="BZ50" i="6"/>
  <c r="CA50" i="6"/>
  <c r="CB50" i="6"/>
  <c r="CC50" i="6"/>
  <c r="CD50" i="6"/>
  <c r="CE50" i="6"/>
  <c r="CF50" i="6"/>
  <c r="CG50" i="6"/>
  <c r="CH50" i="6"/>
  <c r="CI50" i="6"/>
  <c r="CJ50" i="6"/>
  <c r="CK50" i="6"/>
  <c r="CL50" i="6"/>
  <c r="CM50" i="6"/>
  <c r="CN50" i="6"/>
  <c r="CO50" i="6"/>
  <c r="CP50" i="6"/>
  <c r="CQ50" i="6"/>
  <c r="AC75" i="6"/>
  <c r="AC51" i="6"/>
  <c r="AD51" i="6"/>
  <c r="AE51" i="6"/>
  <c r="AF51" i="6"/>
  <c r="AG51" i="6"/>
  <c r="AH51" i="6"/>
  <c r="AI51" i="6"/>
  <c r="AJ51" i="6"/>
  <c r="AK51" i="6"/>
  <c r="AL51" i="6"/>
  <c r="AM51" i="6"/>
  <c r="AN51" i="6"/>
  <c r="AO51" i="6"/>
  <c r="AP51" i="6"/>
  <c r="AQ51" i="6"/>
  <c r="AR51" i="6"/>
  <c r="AS51" i="6"/>
  <c r="AT51" i="6"/>
  <c r="AU51" i="6"/>
  <c r="AV51" i="6"/>
  <c r="AW51" i="6"/>
  <c r="AX51" i="6"/>
  <c r="AY51" i="6"/>
  <c r="AZ51" i="6"/>
  <c r="BA51" i="6"/>
  <c r="BB51" i="6"/>
  <c r="BC51" i="6"/>
  <c r="BD51" i="6"/>
  <c r="BE51" i="6"/>
  <c r="BF51" i="6"/>
  <c r="BG51" i="6"/>
  <c r="BH51" i="6"/>
  <c r="BI51" i="6"/>
  <c r="BJ51" i="6"/>
  <c r="BK51" i="6"/>
  <c r="BL51" i="6"/>
  <c r="BM51" i="6"/>
  <c r="BN51" i="6"/>
  <c r="BO51" i="6"/>
  <c r="BP51" i="6"/>
  <c r="BQ51" i="6"/>
  <c r="BR51" i="6"/>
  <c r="BS51" i="6"/>
  <c r="BT51" i="6"/>
  <c r="BU51" i="6"/>
  <c r="BV51" i="6"/>
  <c r="BW51" i="6"/>
  <c r="BX51" i="6"/>
  <c r="BY51" i="6"/>
  <c r="BZ51" i="6"/>
  <c r="CA51" i="6"/>
  <c r="CB51" i="6"/>
  <c r="CC51" i="6"/>
  <c r="CD51" i="6"/>
  <c r="CE51" i="6"/>
  <c r="CF51" i="6"/>
  <c r="CG51" i="6"/>
  <c r="CH51" i="6"/>
  <c r="CI51" i="6"/>
  <c r="CJ51" i="6"/>
  <c r="CK51" i="6"/>
  <c r="CL51" i="6"/>
  <c r="CM51" i="6"/>
  <c r="CN51" i="6"/>
  <c r="CO51" i="6"/>
  <c r="CP51" i="6"/>
  <c r="CQ51" i="6"/>
  <c r="AC76" i="6"/>
  <c r="AC52" i="6"/>
  <c r="AD52" i="6"/>
  <c r="AE52" i="6"/>
  <c r="AF52" i="6"/>
  <c r="AG52" i="6"/>
  <c r="AH52" i="6"/>
  <c r="AI52" i="6"/>
  <c r="AJ52" i="6"/>
  <c r="AK52" i="6"/>
  <c r="AL52" i="6"/>
  <c r="AM52" i="6"/>
  <c r="AN52" i="6"/>
  <c r="AO52" i="6"/>
  <c r="AP52" i="6"/>
  <c r="AQ52" i="6"/>
  <c r="AR52" i="6"/>
  <c r="AS52" i="6"/>
  <c r="AT52" i="6"/>
  <c r="AU52" i="6"/>
  <c r="AV52" i="6"/>
  <c r="AW52" i="6"/>
  <c r="AX52" i="6"/>
  <c r="AY52" i="6"/>
  <c r="AZ52" i="6"/>
  <c r="BA52" i="6"/>
  <c r="BB52" i="6"/>
  <c r="BC52" i="6"/>
  <c r="BD52" i="6"/>
  <c r="BE52" i="6"/>
  <c r="BF52" i="6"/>
  <c r="BG52" i="6"/>
  <c r="BH52" i="6"/>
  <c r="BI52" i="6"/>
  <c r="BJ52" i="6"/>
  <c r="BK52" i="6"/>
  <c r="BL52" i="6"/>
  <c r="BM52" i="6"/>
  <c r="BN52" i="6"/>
  <c r="BO52" i="6"/>
  <c r="BP52" i="6"/>
  <c r="BQ52" i="6"/>
  <c r="BR52" i="6"/>
  <c r="BS52" i="6"/>
  <c r="BT52" i="6"/>
  <c r="BU52" i="6"/>
  <c r="BV52" i="6"/>
  <c r="BW52" i="6"/>
  <c r="BX52" i="6"/>
  <c r="BY52" i="6"/>
  <c r="BZ52" i="6"/>
  <c r="CA52" i="6"/>
  <c r="CB52" i="6"/>
  <c r="CC52" i="6"/>
  <c r="CD52" i="6"/>
  <c r="CE52" i="6"/>
  <c r="CF52" i="6"/>
  <c r="CG52" i="6"/>
  <c r="CH52" i="6"/>
  <c r="CI52" i="6"/>
  <c r="CJ52" i="6"/>
  <c r="CK52" i="6"/>
  <c r="CL52" i="6"/>
  <c r="CM52" i="6"/>
  <c r="CN52" i="6"/>
  <c r="CO52" i="6"/>
  <c r="CP52" i="6"/>
  <c r="CQ52" i="6"/>
  <c r="AC77" i="6"/>
  <c r="AC78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B37" i="6"/>
  <c r="CC37" i="6"/>
  <c r="CD37" i="6"/>
  <c r="CE37" i="6"/>
  <c r="CF37" i="6"/>
  <c r="CG37" i="6"/>
  <c r="CH37" i="6"/>
  <c r="CI37" i="6"/>
  <c r="CJ37" i="6"/>
  <c r="CK37" i="6"/>
  <c r="CL37" i="6"/>
  <c r="CM37" i="6"/>
  <c r="CN37" i="6"/>
  <c r="CO37" i="6"/>
  <c r="CP37" i="6"/>
  <c r="CQ37" i="6"/>
  <c r="AC62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B38" i="6"/>
  <c r="CC38" i="6"/>
  <c r="CD38" i="6"/>
  <c r="CE38" i="6"/>
  <c r="CF38" i="6"/>
  <c r="CG38" i="6"/>
  <c r="CH38" i="6"/>
  <c r="CI38" i="6"/>
  <c r="CJ38" i="6"/>
  <c r="CK38" i="6"/>
  <c r="CL38" i="6"/>
  <c r="CM38" i="6"/>
  <c r="CN38" i="6"/>
  <c r="CO38" i="6"/>
  <c r="CP38" i="6"/>
  <c r="CQ38" i="6"/>
  <c r="AC63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CH39" i="6"/>
  <c r="CI39" i="6"/>
  <c r="CJ39" i="6"/>
  <c r="CK39" i="6"/>
  <c r="CL39" i="6"/>
  <c r="CM39" i="6"/>
  <c r="CN39" i="6"/>
  <c r="CO39" i="6"/>
  <c r="CP39" i="6"/>
  <c r="CQ39" i="6"/>
  <c r="AC64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CC40" i="6"/>
  <c r="CD40" i="6"/>
  <c r="CE40" i="6"/>
  <c r="CF40" i="6"/>
  <c r="CG40" i="6"/>
  <c r="CH40" i="6"/>
  <c r="CI40" i="6"/>
  <c r="CJ40" i="6"/>
  <c r="CK40" i="6"/>
  <c r="CL40" i="6"/>
  <c r="CM40" i="6"/>
  <c r="CN40" i="6"/>
  <c r="CO40" i="6"/>
  <c r="CP40" i="6"/>
  <c r="CQ40" i="6"/>
  <c r="AC65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CA41" i="6"/>
  <c r="CB41" i="6"/>
  <c r="CC41" i="6"/>
  <c r="CD41" i="6"/>
  <c r="CE41" i="6"/>
  <c r="CF41" i="6"/>
  <c r="CG41" i="6"/>
  <c r="CH41" i="6"/>
  <c r="CI41" i="6"/>
  <c r="CJ41" i="6"/>
  <c r="CK41" i="6"/>
  <c r="CL41" i="6"/>
  <c r="CM41" i="6"/>
  <c r="CN41" i="6"/>
  <c r="CO41" i="6"/>
  <c r="CP41" i="6"/>
  <c r="CQ41" i="6"/>
  <c r="AC66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CA42" i="6"/>
  <c r="CB42" i="6"/>
  <c r="CC42" i="6"/>
  <c r="CD42" i="6"/>
  <c r="CE42" i="6"/>
  <c r="CF42" i="6"/>
  <c r="CG42" i="6"/>
  <c r="CH42" i="6"/>
  <c r="CI42" i="6"/>
  <c r="CJ42" i="6"/>
  <c r="CK42" i="6"/>
  <c r="CL42" i="6"/>
  <c r="CM42" i="6"/>
  <c r="CN42" i="6"/>
  <c r="CO42" i="6"/>
  <c r="CP42" i="6"/>
  <c r="CQ42" i="6"/>
  <c r="AC67" i="6"/>
  <c r="AC68" i="6"/>
  <c r="AD72" i="6"/>
  <c r="AD73" i="6"/>
  <c r="AD74" i="6"/>
  <c r="AD75" i="6"/>
  <c r="AD76" i="6"/>
  <c r="AD77" i="6"/>
  <c r="AD78" i="6"/>
  <c r="AD62" i="6"/>
  <c r="AD63" i="6"/>
  <c r="AD64" i="6"/>
  <c r="AD65" i="6"/>
  <c r="AD66" i="6"/>
  <c r="AD67" i="6"/>
  <c r="AD68" i="6"/>
  <c r="AE72" i="6"/>
  <c r="AE73" i="6"/>
  <c r="AE74" i="6"/>
  <c r="AE75" i="6"/>
  <c r="AE76" i="6"/>
  <c r="AE77" i="6"/>
  <c r="AE78" i="6"/>
  <c r="AE62" i="6"/>
  <c r="AE63" i="6"/>
  <c r="AE64" i="6"/>
  <c r="AE65" i="6"/>
  <c r="AE66" i="6"/>
  <c r="AE67" i="6"/>
  <c r="AE68" i="6"/>
  <c r="AF72" i="6"/>
  <c r="AF73" i="6"/>
  <c r="AF74" i="6"/>
  <c r="AF75" i="6"/>
  <c r="AF76" i="6"/>
  <c r="AF77" i="6"/>
  <c r="AF78" i="6"/>
  <c r="AF62" i="6"/>
  <c r="AF63" i="6"/>
  <c r="AF64" i="6"/>
  <c r="AF65" i="6"/>
  <c r="AF66" i="6"/>
  <c r="AF67" i="6"/>
  <c r="AF68" i="6"/>
  <c r="AG72" i="6"/>
  <c r="AG73" i="6"/>
  <c r="AG74" i="6"/>
  <c r="AG75" i="6"/>
  <c r="AG76" i="6"/>
  <c r="AG77" i="6"/>
  <c r="AG78" i="6"/>
  <c r="AG62" i="6"/>
  <c r="AG63" i="6"/>
  <c r="AG64" i="6"/>
  <c r="AG65" i="6"/>
  <c r="AG66" i="6"/>
  <c r="AG67" i="6"/>
  <c r="AG68" i="6"/>
  <c r="AH72" i="6"/>
  <c r="AH73" i="6"/>
  <c r="AH74" i="6"/>
  <c r="AH75" i="6"/>
  <c r="AH76" i="6"/>
  <c r="AH77" i="6"/>
  <c r="AH78" i="6"/>
  <c r="AH62" i="6"/>
  <c r="AH63" i="6"/>
  <c r="AH64" i="6"/>
  <c r="AH65" i="6"/>
  <c r="AH66" i="6"/>
  <c r="AH67" i="6"/>
  <c r="AH68" i="6"/>
  <c r="AI72" i="6"/>
  <c r="AI73" i="6"/>
  <c r="AI74" i="6"/>
  <c r="AI75" i="6"/>
  <c r="AI76" i="6"/>
  <c r="AI77" i="6"/>
  <c r="AI78" i="6"/>
  <c r="AI62" i="6"/>
  <c r="AI63" i="6"/>
  <c r="AI64" i="6"/>
  <c r="AI65" i="6"/>
  <c r="AI66" i="6"/>
  <c r="AI67" i="6"/>
  <c r="AI68" i="6"/>
  <c r="AJ72" i="6"/>
  <c r="AJ73" i="6"/>
  <c r="AJ74" i="6"/>
  <c r="AJ75" i="6"/>
  <c r="AJ76" i="6"/>
  <c r="AJ77" i="6"/>
  <c r="AJ78" i="6"/>
  <c r="AJ62" i="6"/>
  <c r="AJ63" i="6"/>
  <c r="AJ64" i="6"/>
  <c r="AJ65" i="6"/>
  <c r="AJ66" i="6"/>
  <c r="AJ67" i="6"/>
  <c r="AJ68" i="6"/>
  <c r="AL72" i="6"/>
  <c r="AL73" i="6"/>
  <c r="AL74" i="6"/>
  <c r="AL75" i="6"/>
  <c r="AL76" i="6"/>
  <c r="AL77" i="6"/>
  <c r="AL78" i="6"/>
  <c r="AL62" i="6"/>
  <c r="AL63" i="6"/>
  <c r="AL64" i="6"/>
  <c r="AL65" i="6"/>
  <c r="AL66" i="6"/>
  <c r="AL67" i="6"/>
  <c r="AL68" i="6"/>
  <c r="AM72" i="6"/>
  <c r="AM73" i="6"/>
  <c r="AM74" i="6"/>
  <c r="AM75" i="6"/>
  <c r="AM76" i="6"/>
  <c r="AM77" i="6"/>
  <c r="AM78" i="6"/>
  <c r="AM62" i="6"/>
  <c r="AM63" i="6"/>
  <c r="AM64" i="6"/>
  <c r="AM65" i="6"/>
  <c r="AM66" i="6"/>
  <c r="AM67" i="6"/>
  <c r="AM68" i="6"/>
  <c r="AN72" i="6"/>
  <c r="AN73" i="6"/>
  <c r="AN74" i="6"/>
  <c r="AN75" i="6"/>
  <c r="AN76" i="6"/>
  <c r="AN77" i="6"/>
  <c r="AN78" i="6"/>
  <c r="AN62" i="6"/>
  <c r="AN63" i="6"/>
  <c r="AN64" i="6"/>
  <c r="AN65" i="6"/>
  <c r="AN66" i="6"/>
  <c r="AN67" i="6"/>
  <c r="AN68" i="6"/>
  <c r="AO72" i="6"/>
  <c r="AO73" i="6"/>
  <c r="AO74" i="6"/>
  <c r="AO75" i="6"/>
  <c r="AO76" i="6"/>
  <c r="AO77" i="6"/>
  <c r="AO78" i="6"/>
  <c r="AO62" i="6"/>
  <c r="AO63" i="6"/>
  <c r="AO64" i="6"/>
  <c r="AO65" i="6"/>
  <c r="AO66" i="6"/>
  <c r="AO67" i="6"/>
  <c r="AO68" i="6"/>
  <c r="AP72" i="6"/>
  <c r="AP73" i="6"/>
  <c r="AP74" i="6"/>
  <c r="AP75" i="6"/>
  <c r="AP76" i="6"/>
  <c r="AP77" i="6"/>
  <c r="AP78" i="6"/>
  <c r="AP62" i="6"/>
  <c r="AP63" i="6"/>
  <c r="AP64" i="6"/>
  <c r="AP65" i="6"/>
  <c r="AP66" i="6"/>
  <c r="AP67" i="6"/>
  <c r="AP68" i="6"/>
  <c r="AQ72" i="6"/>
  <c r="AQ73" i="6"/>
  <c r="AQ74" i="6"/>
  <c r="AQ75" i="6"/>
  <c r="AQ76" i="6"/>
  <c r="AQ77" i="6"/>
  <c r="AQ78" i="6"/>
  <c r="AQ62" i="6"/>
  <c r="AQ63" i="6"/>
  <c r="AQ64" i="6"/>
  <c r="AQ65" i="6"/>
  <c r="AQ66" i="6"/>
  <c r="AQ67" i="6"/>
  <c r="AQ68" i="6"/>
  <c r="AR72" i="6"/>
  <c r="AR73" i="6"/>
  <c r="AR74" i="6"/>
  <c r="AR75" i="6"/>
  <c r="AR76" i="6"/>
  <c r="AR77" i="6"/>
  <c r="AR78" i="6"/>
  <c r="AR62" i="6"/>
  <c r="AR63" i="6"/>
  <c r="AR64" i="6"/>
  <c r="AR65" i="6"/>
  <c r="AR66" i="6"/>
  <c r="AR67" i="6"/>
  <c r="AR68" i="6"/>
  <c r="AS72" i="6"/>
  <c r="AS73" i="6"/>
  <c r="AS74" i="6"/>
  <c r="AS75" i="6"/>
  <c r="AS76" i="6"/>
  <c r="AS77" i="6"/>
  <c r="AS78" i="6"/>
  <c r="AS62" i="6"/>
  <c r="AS63" i="6"/>
  <c r="AS64" i="6"/>
  <c r="AS65" i="6"/>
  <c r="AS66" i="6"/>
  <c r="AS67" i="6"/>
  <c r="AS68" i="6"/>
  <c r="AT72" i="6"/>
  <c r="AT73" i="6"/>
  <c r="AT74" i="6"/>
  <c r="AT75" i="6"/>
  <c r="AT76" i="6"/>
  <c r="AT77" i="6"/>
  <c r="AT78" i="6"/>
  <c r="AT62" i="6"/>
  <c r="AT63" i="6"/>
  <c r="AT64" i="6"/>
  <c r="AT65" i="6"/>
  <c r="AT66" i="6"/>
  <c r="AT67" i="6"/>
  <c r="AT68" i="6"/>
  <c r="AX72" i="6"/>
  <c r="AX73" i="6"/>
  <c r="AX74" i="6"/>
  <c r="AX75" i="6"/>
  <c r="AX76" i="6"/>
  <c r="AX77" i="6"/>
  <c r="AX78" i="6"/>
  <c r="AX62" i="6"/>
  <c r="AX63" i="6"/>
  <c r="AX64" i="6"/>
  <c r="AX65" i="6"/>
  <c r="AX66" i="6"/>
  <c r="AX67" i="6"/>
  <c r="AX68" i="6"/>
  <c r="AY72" i="6"/>
  <c r="AY73" i="6"/>
  <c r="AY74" i="6"/>
  <c r="AY75" i="6"/>
  <c r="AY76" i="6"/>
  <c r="AY77" i="6"/>
  <c r="AY78" i="6"/>
  <c r="AY62" i="6"/>
  <c r="AY63" i="6"/>
  <c r="AY64" i="6"/>
  <c r="AY65" i="6"/>
  <c r="AY66" i="6"/>
  <c r="AY67" i="6"/>
  <c r="AY68" i="6"/>
  <c r="BA72" i="6"/>
  <c r="BA73" i="6"/>
  <c r="BA74" i="6"/>
  <c r="BA75" i="6"/>
  <c r="BA76" i="6"/>
  <c r="BA77" i="6"/>
  <c r="BA78" i="6"/>
  <c r="BA62" i="6"/>
  <c r="BA63" i="6"/>
  <c r="BA64" i="6"/>
  <c r="BA65" i="6"/>
  <c r="BA66" i="6"/>
  <c r="BA67" i="6"/>
  <c r="BA68" i="6"/>
  <c r="BB72" i="6"/>
  <c r="BB73" i="6"/>
  <c r="BB74" i="6"/>
  <c r="BB75" i="6"/>
  <c r="BB76" i="6"/>
  <c r="BB77" i="6"/>
  <c r="BB78" i="6"/>
  <c r="BB62" i="6"/>
  <c r="BB63" i="6"/>
  <c r="BB64" i="6"/>
  <c r="BB65" i="6"/>
  <c r="BB66" i="6"/>
  <c r="BB67" i="6"/>
  <c r="BB68" i="6"/>
  <c r="BE72" i="6"/>
  <c r="BE73" i="6"/>
  <c r="BE74" i="6"/>
  <c r="BE75" i="6"/>
  <c r="BE76" i="6"/>
  <c r="BE77" i="6"/>
  <c r="BE78" i="6"/>
  <c r="BE62" i="6"/>
  <c r="BE63" i="6"/>
  <c r="BE64" i="6"/>
  <c r="BE65" i="6"/>
  <c r="BE66" i="6"/>
  <c r="BE67" i="6"/>
  <c r="BE68" i="6"/>
  <c r="BF72" i="6"/>
  <c r="BF73" i="6"/>
  <c r="BF74" i="6"/>
  <c r="BF75" i="6"/>
  <c r="BF76" i="6"/>
  <c r="BF77" i="6"/>
  <c r="BF78" i="6"/>
  <c r="BF62" i="6"/>
  <c r="BF63" i="6"/>
  <c r="BF64" i="6"/>
  <c r="BF65" i="6"/>
  <c r="BF66" i="6"/>
  <c r="BF67" i="6"/>
  <c r="BF68" i="6"/>
  <c r="BI72" i="6"/>
  <c r="BI73" i="6"/>
  <c r="BI74" i="6"/>
  <c r="BI75" i="6"/>
  <c r="BI76" i="6"/>
  <c r="BI77" i="6"/>
  <c r="BI78" i="6"/>
  <c r="BI62" i="6"/>
  <c r="BI63" i="6"/>
  <c r="BI64" i="6"/>
  <c r="BI65" i="6"/>
  <c r="BI66" i="6"/>
  <c r="BI67" i="6"/>
  <c r="BI68" i="6"/>
  <c r="BJ72" i="6"/>
  <c r="BJ73" i="6"/>
  <c r="BJ74" i="6"/>
  <c r="BJ75" i="6"/>
  <c r="BJ76" i="6"/>
  <c r="BJ77" i="6"/>
  <c r="BJ78" i="6"/>
  <c r="BJ62" i="6"/>
  <c r="BJ63" i="6"/>
  <c r="BJ64" i="6"/>
  <c r="BJ65" i="6"/>
  <c r="BJ66" i="6"/>
  <c r="BJ67" i="6"/>
  <c r="BJ68" i="6"/>
  <c r="BO72" i="6"/>
  <c r="BO73" i="6"/>
  <c r="BO74" i="6"/>
  <c r="BO75" i="6"/>
  <c r="BO76" i="6"/>
  <c r="BO77" i="6"/>
  <c r="BO78" i="6"/>
  <c r="BO62" i="6"/>
  <c r="BO63" i="6"/>
  <c r="BO64" i="6"/>
  <c r="BO65" i="6"/>
  <c r="BO66" i="6"/>
  <c r="BO67" i="6"/>
  <c r="BO68" i="6"/>
  <c r="BP72" i="6"/>
  <c r="BP73" i="6"/>
  <c r="BP74" i="6"/>
  <c r="BP75" i="6"/>
  <c r="BP76" i="6"/>
  <c r="BP77" i="6"/>
  <c r="BP78" i="6"/>
  <c r="BP62" i="6"/>
  <c r="BP63" i="6"/>
  <c r="BP64" i="6"/>
  <c r="BP65" i="6"/>
  <c r="BP66" i="6"/>
  <c r="BP67" i="6"/>
  <c r="BP68" i="6"/>
  <c r="BQ72" i="6"/>
  <c r="BQ73" i="6"/>
  <c r="BQ74" i="6"/>
  <c r="BQ75" i="6"/>
  <c r="BQ76" i="6"/>
  <c r="BQ77" i="6"/>
  <c r="BQ78" i="6"/>
  <c r="BQ62" i="6"/>
  <c r="BQ63" i="6"/>
  <c r="BQ64" i="6"/>
  <c r="BQ65" i="6"/>
  <c r="BQ66" i="6"/>
  <c r="BQ67" i="6"/>
  <c r="BQ68" i="6"/>
  <c r="BR72" i="6"/>
  <c r="BR73" i="6"/>
  <c r="BR74" i="6"/>
  <c r="BR75" i="6"/>
  <c r="BR76" i="6"/>
  <c r="BR77" i="6"/>
  <c r="BR78" i="6"/>
  <c r="BR62" i="6"/>
  <c r="BR63" i="6"/>
  <c r="BR64" i="6"/>
  <c r="BR65" i="6"/>
  <c r="BR66" i="6"/>
  <c r="BR67" i="6"/>
  <c r="BR68" i="6"/>
  <c r="BS72" i="6"/>
  <c r="BS73" i="6"/>
  <c r="BS74" i="6"/>
  <c r="BS75" i="6"/>
  <c r="BS76" i="6"/>
  <c r="BS77" i="6"/>
  <c r="BS78" i="6"/>
  <c r="BS62" i="6"/>
  <c r="BS63" i="6"/>
  <c r="BS64" i="6"/>
  <c r="BS65" i="6"/>
  <c r="BS66" i="6"/>
  <c r="BS67" i="6"/>
  <c r="BS68" i="6"/>
  <c r="BT72" i="6"/>
  <c r="BT73" i="6"/>
  <c r="BT74" i="6"/>
  <c r="BT75" i="6"/>
  <c r="BT76" i="6"/>
  <c r="BT77" i="6"/>
  <c r="BT78" i="6"/>
  <c r="BT62" i="6"/>
  <c r="BT63" i="6"/>
  <c r="BT64" i="6"/>
  <c r="BT65" i="6"/>
  <c r="BT66" i="6"/>
  <c r="BT67" i="6"/>
  <c r="BT68" i="6"/>
  <c r="BU72" i="6"/>
  <c r="BU73" i="6"/>
  <c r="BU74" i="6"/>
  <c r="BU75" i="6"/>
  <c r="BU76" i="6"/>
  <c r="BU77" i="6"/>
  <c r="BU78" i="6"/>
  <c r="BU62" i="6"/>
  <c r="BU63" i="6"/>
  <c r="BU64" i="6"/>
  <c r="BU65" i="6"/>
  <c r="BU66" i="6"/>
  <c r="BU67" i="6"/>
  <c r="BU68" i="6"/>
  <c r="BV72" i="6"/>
  <c r="BV73" i="6"/>
  <c r="BV74" i="6"/>
  <c r="BV75" i="6"/>
  <c r="BV76" i="6"/>
  <c r="BV77" i="6"/>
  <c r="BV78" i="6"/>
  <c r="BV62" i="6"/>
  <c r="BV63" i="6"/>
  <c r="BV64" i="6"/>
  <c r="BV65" i="6"/>
  <c r="BV66" i="6"/>
  <c r="BV67" i="6"/>
  <c r="BV68" i="6"/>
  <c r="BW72" i="6"/>
  <c r="BW73" i="6"/>
  <c r="BW74" i="6"/>
  <c r="BW75" i="6"/>
  <c r="BW76" i="6"/>
  <c r="BW77" i="6"/>
  <c r="BW78" i="6"/>
  <c r="BW62" i="6"/>
  <c r="BW63" i="6"/>
  <c r="BW64" i="6"/>
  <c r="BW65" i="6"/>
  <c r="BW66" i="6"/>
  <c r="BW67" i="6"/>
  <c r="BW68" i="6"/>
  <c r="BX72" i="6"/>
  <c r="BX73" i="6"/>
  <c r="BX74" i="6"/>
  <c r="BX75" i="6"/>
  <c r="BX76" i="6"/>
  <c r="BX77" i="6"/>
  <c r="BX78" i="6"/>
  <c r="BX62" i="6"/>
  <c r="BX63" i="6"/>
  <c r="BX64" i="6"/>
  <c r="BX65" i="6"/>
  <c r="BX66" i="6"/>
  <c r="BX67" i="6"/>
  <c r="BX68" i="6"/>
  <c r="BY72" i="6"/>
  <c r="BY73" i="6"/>
  <c r="BY74" i="6"/>
  <c r="BY75" i="6"/>
  <c r="BY76" i="6"/>
  <c r="BY77" i="6"/>
  <c r="BY78" i="6"/>
  <c r="BY62" i="6"/>
  <c r="BY63" i="6"/>
  <c r="BY64" i="6"/>
  <c r="BY65" i="6"/>
  <c r="BY66" i="6"/>
  <c r="BY67" i="6"/>
  <c r="BY68" i="6"/>
  <c r="BZ72" i="6"/>
  <c r="BZ73" i="6"/>
  <c r="BZ74" i="6"/>
  <c r="BZ75" i="6"/>
  <c r="BZ76" i="6"/>
  <c r="BZ77" i="6"/>
  <c r="BZ78" i="6"/>
  <c r="BZ62" i="6"/>
  <c r="BZ63" i="6"/>
  <c r="BZ64" i="6"/>
  <c r="BZ65" i="6"/>
  <c r="BZ66" i="6"/>
  <c r="BZ67" i="6"/>
  <c r="BZ68" i="6"/>
  <c r="CA72" i="6"/>
  <c r="CA73" i="6"/>
  <c r="CA74" i="6"/>
  <c r="CA75" i="6"/>
  <c r="CA76" i="6"/>
  <c r="CA77" i="6"/>
  <c r="CA78" i="6"/>
  <c r="CA62" i="6"/>
  <c r="CA63" i="6"/>
  <c r="CA64" i="6"/>
  <c r="CA65" i="6"/>
  <c r="CA66" i="6"/>
  <c r="CA67" i="6"/>
  <c r="CA68" i="6"/>
  <c r="CB72" i="6"/>
  <c r="CB73" i="6"/>
  <c r="CB74" i="6"/>
  <c r="CB75" i="6"/>
  <c r="CB76" i="6"/>
  <c r="CB77" i="6"/>
  <c r="CB78" i="6"/>
  <c r="CB62" i="6"/>
  <c r="CB63" i="6"/>
  <c r="CB64" i="6"/>
  <c r="CB65" i="6"/>
  <c r="CB66" i="6"/>
  <c r="CB67" i="6"/>
  <c r="CB68" i="6"/>
  <c r="CC72" i="6"/>
  <c r="CC73" i="6"/>
  <c r="CC74" i="6"/>
  <c r="CC75" i="6"/>
  <c r="CC76" i="6"/>
  <c r="CC77" i="6"/>
  <c r="CC78" i="6"/>
  <c r="CC62" i="6"/>
  <c r="CC63" i="6"/>
  <c r="CC64" i="6"/>
  <c r="CC65" i="6"/>
  <c r="CC66" i="6"/>
  <c r="CC67" i="6"/>
  <c r="CC68" i="6"/>
  <c r="CD72" i="6"/>
  <c r="CD73" i="6"/>
  <c r="CD74" i="6"/>
  <c r="CD75" i="6"/>
  <c r="CD76" i="6"/>
  <c r="CD77" i="6"/>
  <c r="CD78" i="6"/>
  <c r="CD62" i="6"/>
  <c r="CD63" i="6"/>
  <c r="CD64" i="6"/>
  <c r="CD65" i="6"/>
  <c r="CD66" i="6"/>
  <c r="CD67" i="6"/>
  <c r="CD68" i="6"/>
  <c r="CE72" i="6"/>
  <c r="CE73" i="6"/>
  <c r="CE74" i="6"/>
  <c r="CE75" i="6"/>
  <c r="CE76" i="6"/>
  <c r="CE77" i="6"/>
  <c r="CE78" i="6"/>
  <c r="CE62" i="6"/>
  <c r="CE63" i="6"/>
  <c r="CE64" i="6"/>
  <c r="CE65" i="6"/>
  <c r="CE66" i="6"/>
  <c r="CE67" i="6"/>
  <c r="CE68" i="6"/>
  <c r="CF72" i="6"/>
  <c r="CF73" i="6"/>
  <c r="CF74" i="6"/>
  <c r="CF75" i="6"/>
  <c r="CF76" i="6"/>
  <c r="CF77" i="6"/>
  <c r="CF78" i="6"/>
  <c r="CF62" i="6"/>
  <c r="CF63" i="6"/>
  <c r="CF64" i="6"/>
  <c r="CF65" i="6"/>
  <c r="CF66" i="6"/>
  <c r="CF67" i="6"/>
  <c r="CF68" i="6"/>
  <c r="CG72" i="6"/>
  <c r="CG73" i="6"/>
  <c r="CG74" i="6"/>
  <c r="CG75" i="6"/>
  <c r="CG76" i="6"/>
  <c r="CG77" i="6"/>
  <c r="CG78" i="6"/>
  <c r="CG62" i="6"/>
  <c r="CG63" i="6"/>
  <c r="CG64" i="6"/>
  <c r="CG65" i="6"/>
  <c r="CG66" i="6"/>
  <c r="CG67" i="6"/>
  <c r="CG68" i="6"/>
  <c r="CH72" i="6"/>
  <c r="CH73" i="6"/>
  <c r="CH74" i="6"/>
  <c r="CH75" i="6"/>
  <c r="CH76" i="6"/>
  <c r="CH77" i="6"/>
  <c r="CH78" i="6"/>
  <c r="CH62" i="6"/>
  <c r="CH63" i="6"/>
  <c r="CH64" i="6"/>
  <c r="CH65" i="6"/>
  <c r="CH66" i="6"/>
  <c r="CH67" i="6"/>
  <c r="CH68" i="6"/>
  <c r="CI72" i="6"/>
  <c r="CI73" i="6"/>
  <c r="CI74" i="6"/>
  <c r="CI75" i="6"/>
  <c r="CI76" i="6"/>
  <c r="CI77" i="6"/>
  <c r="CI78" i="6"/>
  <c r="CI62" i="6"/>
  <c r="CI63" i="6"/>
  <c r="CI64" i="6"/>
  <c r="CI65" i="6"/>
  <c r="CI66" i="6"/>
  <c r="CI67" i="6"/>
  <c r="CI68" i="6"/>
  <c r="CP72" i="6"/>
  <c r="CP73" i="6"/>
  <c r="CP74" i="6"/>
  <c r="CP75" i="6"/>
  <c r="CP76" i="6"/>
  <c r="CP77" i="6"/>
  <c r="CP78" i="6"/>
  <c r="CP62" i="6"/>
  <c r="CP63" i="6"/>
  <c r="CP64" i="6"/>
  <c r="CP65" i="6"/>
  <c r="CP66" i="6"/>
  <c r="CP67" i="6"/>
  <c r="CP68" i="6"/>
  <c r="AK72" i="6"/>
  <c r="AK73" i="6"/>
  <c r="AK74" i="6"/>
  <c r="AK75" i="6"/>
  <c r="AK76" i="6"/>
  <c r="AK77" i="6"/>
  <c r="AK78" i="6"/>
  <c r="AK62" i="6"/>
  <c r="AK63" i="6"/>
  <c r="AK64" i="6"/>
  <c r="AK65" i="6"/>
  <c r="AK66" i="6"/>
  <c r="AK67" i="6"/>
  <c r="AK68" i="6"/>
  <c r="AU72" i="6"/>
  <c r="AU73" i="6"/>
  <c r="AU74" i="6"/>
  <c r="AU75" i="6"/>
  <c r="AU76" i="6"/>
  <c r="AU77" i="6"/>
  <c r="AU78" i="6"/>
  <c r="AU62" i="6"/>
  <c r="AU63" i="6"/>
  <c r="AU64" i="6"/>
  <c r="AU65" i="6"/>
  <c r="AU66" i="6"/>
  <c r="AU67" i="6"/>
  <c r="AU68" i="6"/>
  <c r="AV72" i="6"/>
  <c r="AV73" i="6"/>
  <c r="AV74" i="6"/>
  <c r="AV75" i="6"/>
  <c r="AV76" i="6"/>
  <c r="AV77" i="6"/>
  <c r="AV78" i="6"/>
  <c r="AV62" i="6"/>
  <c r="AV63" i="6"/>
  <c r="AV64" i="6"/>
  <c r="AV65" i="6"/>
  <c r="AV66" i="6"/>
  <c r="AV67" i="6"/>
  <c r="AV68" i="6"/>
  <c r="AW72" i="6"/>
  <c r="AW73" i="6"/>
  <c r="AW74" i="6"/>
  <c r="AW75" i="6"/>
  <c r="AW76" i="6"/>
  <c r="AW77" i="6"/>
  <c r="AW78" i="6"/>
  <c r="AW62" i="6"/>
  <c r="AW63" i="6"/>
  <c r="AW64" i="6"/>
  <c r="AW65" i="6"/>
  <c r="AW66" i="6"/>
  <c r="AW67" i="6"/>
  <c r="AW68" i="6"/>
  <c r="AZ72" i="6"/>
  <c r="AZ73" i="6"/>
  <c r="AZ74" i="6"/>
  <c r="AZ75" i="6"/>
  <c r="AZ76" i="6"/>
  <c r="AZ77" i="6"/>
  <c r="AZ78" i="6"/>
  <c r="AZ62" i="6"/>
  <c r="AZ63" i="6"/>
  <c r="AZ64" i="6"/>
  <c r="AZ65" i="6"/>
  <c r="AZ66" i="6"/>
  <c r="AZ67" i="6"/>
  <c r="AZ68" i="6"/>
  <c r="BC72" i="6"/>
  <c r="BC73" i="6"/>
  <c r="BC74" i="6"/>
  <c r="BC75" i="6"/>
  <c r="BC76" i="6"/>
  <c r="BC77" i="6"/>
  <c r="BC78" i="6"/>
  <c r="BC62" i="6"/>
  <c r="BC63" i="6"/>
  <c r="BC64" i="6"/>
  <c r="BC65" i="6"/>
  <c r="BC66" i="6"/>
  <c r="BC67" i="6"/>
  <c r="BC68" i="6"/>
  <c r="BD72" i="6"/>
  <c r="BD73" i="6"/>
  <c r="BD74" i="6"/>
  <c r="BD75" i="6"/>
  <c r="BD76" i="6"/>
  <c r="BD77" i="6"/>
  <c r="BD78" i="6"/>
  <c r="BD62" i="6"/>
  <c r="BD63" i="6"/>
  <c r="BD64" i="6"/>
  <c r="BD65" i="6"/>
  <c r="BD66" i="6"/>
  <c r="BD67" i="6"/>
  <c r="BD68" i="6"/>
  <c r="BG72" i="6"/>
  <c r="BG73" i="6"/>
  <c r="BG74" i="6"/>
  <c r="BG75" i="6"/>
  <c r="BG76" i="6"/>
  <c r="BG77" i="6"/>
  <c r="BG78" i="6"/>
  <c r="BG62" i="6"/>
  <c r="BG63" i="6"/>
  <c r="BG64" i="6"/>
  <c r="BG65" i="6"/>
  <c r="BG66" i="6"/>
  <c r="BG67" i="6"/>
  <c r="BG68" i="6"/>
  <c r="BH72" i="6"/>
  <c r="BH73" i="6"/>
  <c r="BH74" i="6"/>
  <c r="BH75" i="6"/>
  <c r="BH76" i="6"/>
  <c r="BH77" i="6"/>
  <c r="BH78" i="6"/>
  <c r="BH62" i="6"/>
  <c r="BH63" i="6"/>
  <c r="BH64" i="6"/>
  <c r="BH65" i="6"/>
  <c r="BH66" i="6"/>
  <c r="BH67" i="6"/>
  <c r="BH68" i="6"/>
  <c r="BK72" i="6"/>
  <c r="BK73" i="6"/>
  <c r="BK74" i="6"/>
  <c r="BK75" i="6"/>
  <c r="BK76" i="6"/>
  <c r="BK77" i="6"/>
  <c r="BK78" i="6"/>
  <c r="BK62" i="6"/>
  <c r="BK63" i="6"/>
  <c r="BK64" i="6"/>
  <c r="BK65" i="6"/>
  <c r="BK66" i="6"/>
  <c r="BK67" i="6"/>
  <c r="BK68" i="6"/>
  <c r="BL72" i="6"/>
  <c r="BL73" i="6"/>
  <c r="BL74" i="6"/>
  <c r="BL75" i="6"/>
  <c r="BL76" i="6"/>
  <c r="BL77" i="6"/>
  <c r="BL78" i="6"/>
  <c r="BL62" i="6"/>
  <c r="BL63" i="6"/>
  <c r="BL64" i="6"/>
  <c r="BL65" i="6"/>
  <c r="BL66" i="6"/>
  <c r="BL67" i="6"/>
  <c r="BL68" i="6"/>
  <c r="BM72" i="6"/>
  <c r="BM73" i="6"/>
  <c r="BM74" i="6"/>
  <c r="BM75" i="6"/>
  <c r="BM76" i="6"/>
  <c r="BM77" i="6"/>
  <c r="BM78" i="6"/>
  <c r="BM62" i="6"/>
  <c r="BM63" i="6"/>
  <c r="BM64" i="6"/>
  <c r="BM65" i="6"/>
  <c r="BM66" i="6"/>
  <c r="BM67" i="6"/>
  <c r="BM68" i="6"/>
  <c r="BN72" i="6"/>
  <c r="BN73" i="6"/>
  <c r="BN74" i="6"/>
  <c r="BN75" i="6"/>
  <c r="BN76" i="6"/>
  <c r="BN77" i="6"/>
  <c r="BN78" i="6"/>
  <c r="BN62" i="6"/>
  <c r="BN63" i="6"/>
  <c r="BN64" i="6"/>
  <c r="BN65" i="6"/>
  <c r="BN66" i="6"/>
  <c r="BN67" i="6"/>
  <c r="BN68" i="6"/>
  <c r="CJ72" i="6"/>
  <c r="CJ73" i="6"/>
  <c r="CJ74" i="6"/>
  <c r="CJ75" i="6"/>
  <c r="CJ76" i="6"/>
  <c r="CJ77" i="6"/>
  <c r="CJ78" i="6"/>
  <c r="CJ62" i="6"/>
  <c r="CJ63" i="6"/>
  <c r="CJ64" i="6"/>
  <c r="CJ65" i="6"/>
  <c r="CJ66" i="6"/>
  <c r="CJ67" i="6"/>
  <c r="CJ68" i="6"/>
  <c r="CK72" i="6"/>
  <c r="CK73" i="6"/>
  <c r="CK74" i="6"/>
  <c r="CK75" i="6"/>
  <c r="CK76" i="6"/>
  <c r="CK77" i="6"/>
  <c r="CK78" i="6"/>
  <c r="CK62" i="6"/>
  <c r="CK63" i="6"/>
  <c r="CK64" i="6"/>
  <c r="CK65" i="6"/>
  <c r="CK66" i="6"/>
  <c r="CK67" i="6"/>
  <c r="CK68" i="6"/>
  <c r="CL72" i="6"/>
  <c r="CL73" i="6"/>
  <c r="CL74" i="6"/>
  <c r="CL75" i="6"/>
  <c r="CL76" i="6"/>
  <c r="CL77" i="6"/>
  <c r="CL78" i="6"/>
  <c r="CL62" i="6"/>
  <c r="CL63" i="6"/>
  <c r="CL64" i="6"/>
  <c r="CL65" i="6"/>
  <c r="CL66" i="6"/>
  <c r="CL67" i="6"/>
  <c r="CL68" i="6"/>
  <c r="CM72" i="6"/>
  <c r="CM73" i="6"/>
  <c r="CM74" i="6"/>
  <c r="CM75" i="6"/>
  <c r="CM76" i="6"/>
  <c r="CM77" i="6"/>
  <c r="CM78" i="6"/>
  <c r="CM62" i="6"/>
  <c r="CM63" i="6"/>
  <c r="CM64" i="6"/>
  <c r="CM65" i="6"/>
  <c r="CM66" i="6"/>
  <c r="CM67" i="6"/>
  <c r="CM68" i="6"/>
  <c r="CN72" i="6"/>
  <c r="CN73" i="6"/>
  <c r="CN74" i="6"/>
  <c r="CN75" i="6"/>
  <c r="CN76" i="6"/>
  <c r="CN77" i="6"/>
  <c r="CN78" i="6"/>
  <c r="CN62" i="6"/>
  <c r="CN63" i="6"/>
  <c r="CN64" i="6"/>
  <c r="CN65" i="6"/>
  <c r="CN66" i="6"/>
  <c r="CN67" i="6"/>
  <c r="CN68" i="6"/>
  <c r="CO72" i="6"/>
  <c r="CO73" i="6"/>
  <c r="CO74" i="6"/>
  <c r="CO75" i="6"/>
  <c r="CO76" i="6"/>
  <c r="CO77" i="6"/>
  <c r="CO78" i="6"/>
  <c r="CO62" i="6"/>
  <c r="CO63" i="6"/>
  <c r="CO64" i="6"/>
  <c r="CO65" i="6"/>
  <c r="CO66" i="6"/>
  <c r="CO67" i="6"/>
  <c r="CO68" i="6"/>
  <c r="D47" i="6"/>
  <c r="C47" i="6"/>
  <c r="E47" i="6"/>
  <c r="F47" i="6"/>
  <c r="G47" i="6"/>
  <c r="H47" i="6"/>
  <c r="I47" i="6"/>
  <c r="J47" i="6"/>
  <c r="K47" i="6"/>
  <c r="L47" i="6"/>
  <c r="M47" i="6"/>
  <c r="N47" i="6"/>
  <c r="O47" i="6"/>
  <c r="P47" i="6"/>
  <c r="Q47" i="6"/>
  <c r="R47" i="6"/>
  <c r="S47" i="6"/>
  <c r="T47" i="6"/>
  <c r="U47" i="6"/>
  <c r="V47" i="6"/>
  <c r="W47" i="6"/>
  <c r="X47" i="6"/>
  <c r="Y47" i="6"/>
  <c r="Z47" i="6"/>
  <c r="AA47" i="6"/>
  <c r="AB47" i="6"/>
  <c r="D72" i="6"/>
  <c r="D48" i="6"/>
  <c r="C48" i="6"/>
  <c r="E48" i="6"/>
  <c r="F48" i="6"/>
  <c r="G48" i="6"/>
  <c r="H48" i="6"/>
  <c r="I48" i="6"/>
  <c r="J48" i="6"/>
  <c r="K48" i="6"/>
  <c r="L48" i="6"/>
  <c r="M48" i="6"/>
  <c r="N48" i="6"/>
  <c r="O48" i="6"/>
  <c r="P48" i="6"/>
  <c r="Q48" i="6"/>
  <c r="R48" i="6"/>
  <c r="S48" i="6"/>
  <c r="T48" i="6"/>
  <c r="U48" i="6"/>
  <c r="V48" i="6"/>
  <c r="W48" i="6"/>
  <c r="X48" i="6"/>
  <c r="Y48" i="6"/>
  <c r="Z48" i="6"/>
  <c r="AA48" i="6"/>
  <c r="AB48" i="6"/>
  <c r="D73" i="6"/>
  <c r="D49" i="6"/>
  <c r="C49" i="6"/>
  <c r="E49" i="6"/>
  <c r="F49" i="6"/>
  <c r="G49" i="6"/>
  <c r="H49" i="6"/>
  <c r="I49" i="6"/>
  <c r="J49" i="6"/>
  <c r="K49" i="6"/>
  <c r="L49" i="6"/>
  <c r="M49" i="6"/>
  <c r="N49" i="6"/>
  <c r="O49" i="6"/>
  <c r="P49" i="6"/>
  <c r="Q49" i="6"/>
  <c r="R49" i="6"/>
  <c r="S49" i="6"/>
  <c r="T49" i="6"/>
  <c r="U49" i="6"/>
  <c r="V49" i="6"/>
  <c r="W49" i="6"/>
  <c r="X49" i="6"/>
  <c r="Y49" i="6"/>
  <c r="Z49" i="6"/>
  <c r="AA49" i="6"/>
  <c r="AB49" i="6"/>
  <c r="D74" i="6"/>
  <c r="D50" i="6"/>
  <c r="C50" i="6"/>
  <c r="E50" i="6"/>
  <c r="F50" i="6"/>
  <c r="G50" i="6"/>
  <c r="H50" i="6"/>
  <c r="I50" i="6"/>
  <c r="J50" i="6"/>
  <c r="K50" i="6"/>
  <c r="L50" i="6"/>
  <c r="M50" i="6"/>
  <c r="N50" i="6"/>
  <c r="O50" i="6"/>
  <c r="P50" i="6"/>
  <c r="Q50" i="6"/>
  <c r="R50" i="6"/>
  <c r="S50" i="6"/>
  <c r="T50" i="6"/>
  <c r="U50" i="6"/>
  <c r="V50" i="6"/>
  <c r="W50" i="6"/>
  <c r="X50" i="6"/>
  <c r="Y50" i="6"/>
  <c r="Z50" i="6"/>
  <c r="AA50" i="6"/>
  <c r="AB50" i="6"/>
  <c r="D75" i="6"/>
  <c r="D51" i="6"/>
  <c r="C51" i="6"/>
  <c r="E51" i="6"/>
  <c r="F51" i="6"/>
  <c r="G51" i="6"/>
  <c r="H51" i="6"/>
  <c r="I51" i="6"/>
  <c r="J51" i="6"/>
  <c r="K51" i="6"/>
  <c r="L51" i="6"/>
  <c r="M51" i="6"/>
  <c r="N51" i="6"/>
  <c r="O51" i="6"/>
  <c r="P51" i="6"/>
  <c r="Q51" i="6"/>
  <c r="R51" i="6"/>
  <c r="S51" i="6"/>
  <c r="T51" i="6"/>
  <c r="U51" i="6"/>
  <c r="V51" i="6"/>
  <c r="W51" i="6"/>
  <c r="X51" i="6"/>
  <c r="Y51" i="6"/>
  <c r="Z51" i="6"/>
  <c r="AA51" i="6"/>
  <c r="AB51" i="6"/>
  <c r="D76" i="6"/>
  <c r="D52" i="6"/>
  <c r="C52" i="6"/>
  <c r="E52" i="6"/>
  <c r="F52" i="6"/>
  <c r="G52" i="6"/>
  <c r="H52" i="6"/>
  <c r="I52" i="6"/>
  <c r="J52" i="6"/>
  <c r="K52" i="6"/>
  <c r="L52" i="6"/>
  <c r="M52" i="6"/>
  <c r="N52" i="6"/>
  <c r="O52" i="6"/>
  <c r="P52" i="6"/>
  <c r="Q52" i="6"/>
  <c r="R52" i="6"/>
  <c r="S52" i="6"/>
  <c r="T52" i="6"/>
  <c r="U52" i="6"/>
  <c r="V52" i="6"/>
  <c r="W52" i="6"/>
  <c r="X52" i="6"/>
  <c r="Y52" i="6"/>
  <c r="Z52" i="6"/>
  <c r="AA52" i="6"/>
  <c r="AB52" i="6"/>
  <c r="D77" i="6"/>
  <c r="D78" i="6"/>
  <c r="D37" i="6"/>
  <c r="C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D62" i="6"/>
  <c r="D38" i="6"/>
  <c r="C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D63" i="6"/>
  <c r="D39" i="6"/>
  <c r="C39" i="6"/>
  <c r="E39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D64" i="6"/>
  <c r="D40" i="6"/>
  <c r="C40" i="6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D65" i="6"/>
  <c r="D41" i="6"/>
  <c r="C41" i="6"/>
  <c r="E41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D66" i="6"/>
  <c r="D42" i="6"/>
  <c r="C42" i="6"/>
  <c r="E42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D67" i="6"/>
  <c r="D68" i="6"/>
  <c r="E72" i="6"/>
  <c r="E73" i="6"/>
  <c r="E74" i="6"/>
  <c r="E75" i="6"/>
  <c r="E76" i="6"/>
  <c r="E77" i="6"/>
  <c r="E78" i="6"/>
  <c r="E62" i="6"/>
  <c r="E63" i="6"/>
  <c r="E64" i="6"/>
  <c r="E65" i="6"/>
  <c r="E66" i="6"/>
  <c r="E67" i="6"/>
  <c r="E68" i="6"/>
  <c r="F72" i="6"/>
  <c r="F73" i="6"/>
  <c r="F74" i="6"/>
  <c r="F75" i="6"/>
  <c r="F76" i="6"/>
  <c r="F77" i="6"/>
  <c r="F78" i="6"/>
  <c r="F62" i="6"/>
  <c r="F63" i="6"/>
  <c r="F64" i="6"/>
  <c r="F65" i="6"/>
  <c r="F66" i="6"/>
  <c r="F67" i="6"/>
  <c r="F68" i="6"/>
  <c r="G72" i="6"/>
  <c r="G73" i="6"/>
  <c r="G74" i="6"/>
  <c r="G75" i="6"/>
  <c r="G76" i="6"/>
  <c r="G77" i="6"/>
  <c r="G78" i="6"/>
  <c r="G62" i="6"/>
  <c r="G63" i="6"/>
  <c r="G64" i="6"/>
  <c r="G65" i="6"/>
  <c r="G66" i="6"/>
  <c r="G67" i="6"/>
  <c r="G68" i="6"/>
  <c r="H72" i="6"/>
  <c r="H73" i="6"/>
  <c r="H74" i="6"/>
  <c r="H75" i="6"/>
  <c r="H76" i="6"/>
  <c r="H77" i="6"/>
  <c r="H78" i="6"/>
  <c r="H62" i="6"/>
  <c r="H63" i="6"/>
  <c r="H64" i="6"/>
  <c r="H65" i="6"/>
  <c r="H66" i="6"/>
  <c r="H67" i="6"/>
  <c r="H68" i="6"/>
  <c r="J72" i="6"/>
  <c r="J73" i="6"/>
  <c r="J74" i="6"/>
  <c r="J75" i="6"/>
  <c r="J76" i="6"/>
  <c r="J77" i="6"/>
  <c r="J78" i="6"/>
  <c r="J62" i="6"/>
  <c r="J63" i="6"/>
  <c r="J64" i="6"/>
  <c r="J65" i="6"/>
  <c r="J66" i="6"/>
  <c r="J67" i="6"/>
  <c r="J68" i="6"/>
  <c r="K72" i="6"/>
  <c r="K73" i="6"/>
  <c r="K74" i="6"/>
  <c r="K75" i="6"/>
  <c r="K76" i="6"/>
  <c r="K77" i="6"/>
  <c r="K78" i="6"/>
  <c r="K62" i="6"/>
  <c r="K63" i="6"/>
  <c r="K64" i="6"/>
  <c r="K65" i="6"/>
  <c r="K66" i="6"/>
  <c r="K67" i="6"/>
  <c r="K68" i="6"/>
  <c r="L72" i="6"/>
  <c r="L73" i="6"/>
  <c r="L74" i="6"/>
  <c r="L75" i="6"/>
  <c r="L76" i="6"/>
  <c r="L77" i="6"/>
  <c r="L78" i="6"/>
  <c r="L62" i="6"/>
  <c r="L63" i="6"/>
  <c r="L64" i="6"/>
  <c r="L65" i="6"/>
  <c r="L66" i="6"/>
  <c r="L67" i="6"/>
  <c r="L68" i="6"/>
  <c r="M72" i="6"/>
  <c r="M73" i="6"/>
  <c r="M74" i="6"/>
  <c r="M75" i="6"/>
  <c r="M76" i="6"/>
  <c r="M77" i="6"/>
  <c r="M78" i="6"/>
  <c r="M62" i="6"/>
  <c r="M63" i="6"/>
  <c r="M64" i="6"/>
  <c r="M65" i="6"/>
  <c r="M66" i="6"/>
  <c r="M67" i="6"/>
  <c r="M68" i="6"/>
  <c r="N72" i="6"/>
  <c r="N73" i="6"/>
  <c r="N74" i="6"/>
  <c r="N75" i="6"/>
  <c r="N76" i="6"/>
  <c r="N77" i="6"/>
  <c r="N78" i="6"/>
  <c r="N62" i="6"/>
  <c r="N63" i="6"/>
  <c r="N64" i="6"/>
  <c r="N65" i="6"/>
  <c r="N66" i="6"/>
  <c r="N67" i="6"/>
  <c r="N68" i="6"/>
  <c r="O72" i="6"/>
  <c r="O73" i="6"/>
  <c r="O74" i="6"/>
  <c r="O75" i="6"/>
  <c r="O76" i="6"/>
  <c r="O77" i="6"/>
  <c r="O78" i="6"/>
  <c r="O62" i="6"/>
  <c r="O63" i="6"/>
  <c r="O64" i="6"/>
  <c r="O65" i="6"/>
  <c r="O66" i="6"/>
  <c r="O67" i="6"/>
  <c r="O68" i="6"/>
  <c r="R72" i="6"/>
  <c r="R73" i="6"/>
  <c r="R74" i="6"/>
  <c r="R75" i="6"/>
  <c r="R76" i="6"/>
  <c r="R77" i="6"/>
  <c r="R78" i="6"/>
  <c r="R62" i="6"/>
  <c r="R63" i="6"/>
  <c r="R64" i="6"/>
  <c r="R65" i="6"/>
  <c r="R66" i="6"/>
  <c r="R67" i="6"/>
  <c r="R68" i="6"/>
  <c r="S72" i="6"/>
  <c r="S73" i="6"/>
  <c r="S74" i="6"/>
  <c r="S75" i="6"/>
  <c r="S76" i="6"/>
  <c r="S77" i="6"/>
  <c r="S78" i="6"/>
  <c r="S62" i="6"/>
  <c r="S63" i="6"/>
  <c r="S64" i="6"/>
  <c r="S65" i="6"/>
  <c r="S66" i="6"/>
  <c r="S67" i="6"/>
  <c r="S68" i="6"/>
  <c r="T72" i="6"/>
  <c r="T73" i="6"/>
  <c r="T74" i="6"/>
  <c r="T75" i="6"/>
  <c r="T76" i="6"/>
  <c r="T77" i="6"/>
  <c r="T78" i="6"/>
  <c r="T62" i="6"/>
  <c r="T63" i="6"/>
  <c r="T64" i="6"/>
  <c r="T65" i="6"/>
  <c r="T66" i="6"/>
  <c r="T67" i="6"/>
  <c r="T68" i="6"/>
  <c r="U72" i="6"/>
  <c r="U73" i="6"/>
  <c r="U74" i="6"/>
  <c r="U75" i="6"/>
  <c r="U76" i="6"/>
  <c r="U77" i="6"/>
  <c r="U78" i="6"/>
  <c r="U62" i="6"/>
  <c r="U63" i="6"/>
  <c r="U64" i="6"/>
  <c r="U65" i="6"/>
  <c r="U66" i="6"/>
  <c r="U67" i="6"/>
  <c r="U68" i="6"/>
  <c r="V72" i="6"/>
  <c r="V73" i="6"/>
  <c r="V74" i="6"/>
  <c r="V75" i="6"/>
  <c r="V76" i="6"/>
  <c r="V77" i="6"/>
  <c r="V78" i="6"/>
  <c r="V62" i="6"/>
  <c r="V63" i="6"/>
  <c r="V64" i="6"/>
  <c r="V65" i="6"/>
  <c r="V66" i="6"/>
  <c r="V67" i="6"/>
  <c r="V68" i="6"/>
  <c r="W72" i="6"/>
  <c r="W73" i="6"/>
  <c r="W74" i="6"/>
  <c r="W75" i="6"/>
  <c r="W76" i="6"/>
  <c r="W77" i="6"/>
  <c r="W78" i="6"/>
  <c r="W62" i="6"/>
  <c r="W63" i="6"/>
  <c r="W64" i="6"/>
  <c r="W65" i="6"/>
  <c r="W66" i="6"/>
  <c r="W67" i="6"/>
  <c r="W68" i="6"/>
  <c r="X72" i="6"/>
  <c r="X73" i="6"/>
  <c r="X74" i="6"/>
  <c r="X75" i="6"/>
  <c r="X76" i="6"/>
  <c r="X77" i="6"/>
  <c r="X78" i="6"/>
  <c r="X62" i="6"/>
  <c r="X63" i="6"/>
  <c r="X64" i="6"/>
  <c r="X65" i="6"/>
  <c r="X66" i="6"/>
  <c r="X67" i="6"/>
  <c r="X68" i="6"/>
  <c r="Y72" i="6"/>
  <c r="Y73" i="6"/>
  <c r="Y74" i="6"/>
  <c r="Y75" i="6"/>
  <c r="Y76" i="6"/>
  <c r="Y77" i="6"/>
  <c r="Y78" i="6"/>
  <c r="Y62" i="6"/>
  <c r="Y63" i="6"/>
  <c r="Y64" i="6"/>
  <c r="Y65" i="6"/>
  <c r="Y66" i="6"/>
  <c r="Y67" i="6"/>
  <c r="Y68" i="6"/>
  <c r="Z72" i="6"/>
  <c r="Z73" i="6"/>
  <c r="Z74" i="6"/>
  <c r="Z75" i="6"/>
  <c r="Z76" i="6"/>
  <c r="Z77" i="6"/>
  <c r="Z78" i="6"/>
  <c r="Z62" i="6"/>
  <c r="Z63" i="6"/>
  <c r="Z64" i="6"/>
  <c r="Z65" i="6"/>
  <c r="Z66" i="6"/>
  <c r="Z67" i="6"/>
  <c r="Z68" i="6"/>
  <c r="C72" i="6"/>
  <c r="C73" i="6"/>
  <c r="C74" i="6"/>
  <c r="C75" i="6"/>
  <c r="C76" i="6"/>
  <c r="C77" i="6"/>
  <c r="C78" i="6"/>
  <c r="C62" i="6"/>
  <c r="C63" i="6"/>
  <c r="C64" i="6"/>
  <c r="C65" i="6"/>
  <c r="C66" i="6"/>
  <c r="C67" i="6"/>
  <c r="C68" i="6"/>
  <c r="I72" i="6"/>
  <c r="I73" i="6"/>
  <c r="I74" i="6"/>
  <c r="I75" i="6"/>
  <c r="I76" i="6"/>
  <c r="I77" i="6"/>
  <c r="I78" i="6"/>
  <c r="I62" i="6"/>
  <c r="I63" i="6"/>
  <c r="I64" i="6"/>
  <c r="I65" i="6"/>
  <c r="I66" i="6"/>
  <c r="I67" i="6"/>
  <c r="I68" i="6"/>
  <c r="P72" i="6"/>
  <c r="P73" i="6"/>
  <c r="P74" i="6"/>
  <c r="P75" i="6"/>
  <c r="P76" i="6"/>
  <c r="P77" i="6"/>
  <c r="P78" i="6"/>
  <c r="P62" i="6"/>
  <c r="P63" i="6"/>
  <c r="P64" i="6"/>
  <c r="P65" i="6"/>
  <c r="P66" i="6"/>
  <c r="P67" i="6"/>
  <c r="P68" i="6"/>
  <c r="Q72" i="6"/>
  <c r="Q73" i="6"/>
  <c r="Q74" i="6"/>
  <c r="Q75" i="6"/>
  <c r="Q76" i="6"/>
  <c r="Q77" i="6"/>
  <c r="Q78" i="6"/>
  <c r="Q62" i="6"/>
  <c r="Q63" i="6"/>
  <c r="Q64" i="6"/>
  <c r="Q65" i="6"/>
  <c r="Q66" i="6"/>
  <c r="Q67" i="6"/>
  <c r="Q68" i="6"/>
  <c r="AA72" i="6"/>
  <c r="AA73" i="6"/>
  <c r="AA74" i="6"/>
  <c r="AA75" i="6"/>
  <c r="AA76" i="6"/>
  <c r="AA77" i="6"/>
  <c r="AA78" i="6"/>
  <c r="AA62" i="6"/>
  <c r="AA63" i="6"/>
  <c r="AA64" i="6"/>
  <c r="AA65" i="6"/>
  <c r="AA66" i="6"/>
  <c r="AA67" i="6"/>
  <c r="AA68" i="6"/>
  <c r="C83" i="6"/>
  <c r="I83" i="6"/>
  <c r="P83" i="6"/>
  <c r="Q83" i="6"/>
  <c r="AA83" i="6"/>
  <c r="AK48" i="5"/>
  <c r="AC48" i="5"/>
  <c r="AD48" i="5"/>
  <c r="AE48" i="5"/>
  <c r="AF48" i="5"/>
  <c r="AG48" i="5"/>
  <c r="AH48" i="5"/>
  <c r="AI48" i="5"/>
  <c r="AJ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CD48" i="5"/>
  <c r="CE48" i="5"/>
  <c r="CF48" i="5"/>
  <c r="CG48" i="5"/>
  <c r="CH48" i="5"/>
  <c r="CI48" i="5"/>
  <c r="CJ48" i="5"/>
  <c r="CK48" i="5"/>
  <c r="CL48" i="5"/>
  <c r="CM48" i="5"/>
  <c r="CN48" i="5"/>
  <c r="CO48" i="5"/>
  <c r="CP48" i="5"/>
  <c r="CQ48" i="5"/>
  <c r="AK75" i="5"/>
  <c r="AK49" i="5"/>
  <c r="AC49" i="5"/>
  <c r="AD49" i="5"/>
  <c r="AE49" i="5"/>
  <c r="AF49" i="5"/>
  <c r="AG49" i="5"/>
  <c r="AH49" i="5"/>
  <c r="AI49" i="5"/>
  <c r="AJ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CD49" i="5"/>
  <c r="CE49" i="5"/>
  <c r="CF49" i="5"/>
  <c r="CG49" i="5"/>
  <c r="CH49" i="5"/>
  <c r="CI49" i="5"/>
  <c r="CJ49" i="5"/>
  <c r="CK49" i="5"/>
  <c r="CL49" i="5"/>
  <c r="CM49" i="5"/>
  <c r="CN49" i="5"/>
  <c r="CO49" i="5"/>
  <c r="CP49" i="5"/>
  <c r="CQ49" i="5"/>
  <c r="AK76" i="5"/>
  <c r="AK50" i="5"/>
  <c r="AC50" i="5"/>
  <c r="AD50" i="5"/>
  <c r="AE50" i="5"/>
  <c r="AF50" i="5"/>
  <c r="AG50" i="5"/>
  <c r="AH50" i="5"/>
  <c r="AI50" i="5"/>
  <c r="AJ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CD50" i="5"/>
  <c r="CE50" i="5"/>
  <c r="CF50" i="5"/>
  <c r="CG50" i="5"/>
  <c r="CH50" i="5"/>
  <c r="CI50" i="5"/>
  <c r="CJ50" i="5"/>
  <c r="CK50" i="5"/>
  <c r="CL50" i="5"/>
  <c r="CM50" i="5"/>
  <c r="CN50" i="5"/>
  <c r="CO50" i="5"/>
  <c r="CP50" i="5"/>
  <c r="CQ50" i="5"/>
  <c r="AK77" i="5"/>
  <c r="AK51" i="5"/>
  <c r="AC51" i="5"/>
  <c r="AD51" i="5"/>
  <c r="AE51" i="5"/>
  <c r="AF51" i="5"/>
  <c r="AG51" i="5"/>
  <c r="AH51" i="5"/>
  <c r="AI51" i="5"/>
  <c r="AJ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CD51" i="5"/>
  <c r="CE51" i="5"/>
  <c r="CF51" i="5"/>
  <c r="CG51" i="5"/>
  <c r="CH51" i="5"/>
  <c r="CI51" i="5"/>
  <c r="CJ51" i="5"/>
  <c r="CK51" i="5"/>
  <c r="CL51" i="5"/>
  <c r="CM51" i="5"/>
  <c r="CN51" i="5"/>
  <c r="CO51" i="5"/>
  <c r="CP51" i="5"/>
  <c r="CQ51" i="5"/>
  <c r="AK78" i="5"/>
  <c r="AK52" i="5"/>
  <c r="AC52" i="5"/>
  <c r="AD52" i="5"/>
  <c r="AE52" i="5"/>
  <c r="AF52" i="5"/>
  <c r="AG52" i="5"/>
  <c r="AH52" i="5"/>
  <c r="AI52" i="5"/>
  <c r="AJ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CD52" i="5"/>
  <c r="CE52" i="5"/>
  <c r="CF52" i="5"/>
  <c r="CG52" i="5"/>
  <c r="CH52" i="5"/>
  <c r="CI52" i="5"/>
  <c r="CJ52" i="5"/>
  <c r="CK52" i="5"/>
  <c r="CL52" i="5"/>
  <c r="CM52" i="5"/>
  <c r="CN52" i="5"/>
  <c r="CO52" i="5"/>
  <c r="CP52" i="5"/>
  <c r="CQ52" i="5"/>
  <c r="AK79" i="5"/>
  <c r="AK53" i="5"/>
  <c r="AC53" i="5"/>
  <c r="AD53" i="5"/>
  <c r="AE53" i="5"/>
  <c r="AF53" i="5"/>
  <c r="AG53" i="5"/>
  <c r="AH53" i="5"/>
  <c r="AI53" i="5"/>
  <c r="AJ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CD53" i="5"/>
  <c r="CE53" i="5"/>
  <c r="CF53" i="5"/>
  <c r="CG53" i="5"/>
  <c r="CH53" i="5"/>
  <c r="CI53" i="5"/>
  <c r="CJ53" i="5"/>
  <c r="CK53" i="5"/>
  <c r="CL53" i="5"/>
  <c r="CM53" i="5"/>
  <c r="CN53" i="5"/>
  <c r="CO53" i="5"/>
  <c r="CP53" i="5"/>
  <c r="CQ53" i="5"/>
  <c r="AK80" i="5"/>
  <c r="AK54" i="5"/>
  <c r="AC54" i="5"/>
  <c r="AD54" i="5"/>
  <c r="AE54" i="5"/>
  <c r="AF54" i="5"/>
  <c r="AG54" i="5"/>
  <c r="AH54" i="5"/>
  <c r="AI54" i="5"/>
  <c r="AJ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CD54" i="5"/>
  <c r="CE54" i="5"/>
  <c r="CF54" i="5"/>
  <c r="CG54" i="5"/>
  <c r="CH54" i="5"/>
  <c r="CI54" i="5"/>
  <c r="CJ54" i="5"/>
  <c r="CK54" i="5"/>
  <c r="CL54" i="5"/>
  <c r="CM54" i="5"/>
  <c r="CN54" i="5"/>
  <c r="CO54" i="5"/>
  <c r="CP54" i="5"/>
  <c r="CQ54" i="5"/>
  <c r="AK81" i="5"/>
  <c r="AK82" i="5"/>
  <c r="AK38" i="5"/>
  <c r="AC38" i="5"/>
  <c r="AD38" i="5"/>
  <c r="AE38" i="5"/>
  <c r="AF38" i="5"/>
  <c r="AG38" i="5"/>
  <c r="AH38" i="5"/>
  <c r="AI38" i="5"/>
  <c r="AJ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CD38" i="5"/>
  <c r="CE38" i="5"/>
  <c r="CF38" i="5"/>
  <c r="CG38" i="5"/>
  <c r="CH38" i="5"/>
  <c r="CI38" i="5"/>
  <c r="CJ38" i="5"/>
  <c r="CK38" i="5"/>
  <c r="CL38" i="5"/>
  <c r="CM38" i="5"/>
  <c r="CN38" i="5"/>
  <c r="CO38" i="5"/>
  <c r="CP38" i="5"/>
  <c r="CQ38" i="5"/>
  <c r="AK65" i="5"/>
  <c r="AK39" i="5"/>
  <c r="AC39" i="5"/>
  <c r="AD39" i="5"/>
  <c r="AE39" i="5"/>
  <c r="AF39" i="5"/>
  <c r="AG39" i="5"/>
  <c r="AH39" i="5"/>
  <c r="AI39" i="5"/>
  <c r="AJ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CD39" i="5"/>
  <c r="CE39" i="5"/>
  <c r="CF39" i="5"/>
  <c r="CG39" i="5"/>
  <c r="CH39" i="5"/>
  <c r="CI39" i="5"/>
  <c r="CJ39" i="5"/>
  <c r="CK39" i="5"/>
  <c r="CL39" i="5"/>
  <c r="CM39" i="5"/>
  <c r="CN39" i="5"/>
  <c r="CO39" i="5"/>
  <c r="CP39" i="5"/>
  <c r="CQ39" i="5"/>
  <c r="AK66" i="5"/>
  <c r="AK40" i="5"/>
  <c r="AC40" i="5"/>
  <c r="AD40" i="5"/>
  <c r="AE40" i="5"/>
  <c r="AF40" i="5"/>
  <c r="AG40" i="5"/>
  <c r="AH40" i="5"/>
  <c r="AI40" i="5"/>
  <c r="AJ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CD40" i="5"/>
  <c r="CE40" i="5"/>
  <c r="CF40" i="5"/>
  <c r="CG40" i="5"/>
  <c r="CH40" i="5"/>
  <c r="CI40" i="5"/>
  <c r="CJ40" i="5"/>
  <c r="CK40" i="5"/>
  <c r="CL40" i="5"/>
  <c r="CM40" i="5"/>
  <c r="CN40" i="5"/>
  <c r="CO40" i="5"/>
  <c r="CP40" i="5"/>
  <c r="CQ40" i="5"/>
  <c r="AK67" i="5"/>
  <c r="AK41" i="5"/>
  <c r="AC41" i="5"/>
  <c r="AD41" i="5"/>
  <c r="AE41" i="5"/>
  <c r="AF41" i="5"/>
  <c r="AG41" i="5"/>
  <c r="AH41" i="5"/>
  <c r="AI41" i="5"/>
  <c r="AJ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CD41" i="5"/>
  <c r="CE41" i="5"/>
  <c r="CF41" i="5"/>
  <c r="CG41" i="5"/>
  <c r="CH41" i="5"/>
  <c r="CI41" i="5"/>
  <c r="CJ41" i="5"/>
  <c r="CK41" i="5"/>
  <c r="CL41" i="5"/>
  <c r="CM41" i="5"/>
  <c r="CN41" i="5"/>
  <c r="CO41" i="5"/>
  <c r="CP41" i="5"/>
  <c r="CQ41" i="5"/>
  <c r="AK68" i="5"/>
  <c r="AK42" i="5"/>
  <c r="AC42" i="5"/>
  <c r="AD42" i="5"/>
  <c r="AE42" i="5"/>
  <c r="AF42" i="5"/>
  <c r="AG42" i="5"/>
  <c r="AH42" i="5"/>
  <c r="AI42" i="5"/>
  <c r="AJ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CD42" i="5"/>
  <c r="CE42" i="5"/>
  <c r="CF42" i="5"/>
  <c r="CG42" i="5"/>
  <c r="CH42" i="5"/>
  <c r="CI42" i="5"/>
  <c r="CJ42" i="5"/>
  <c r="CK42" i="5"/>
  <c r="CL42" i="5"/>
  <c r="CM42" i="5"/>
  <c r="CN42" i="5"/>
  <c r="CO42" i="5"/>
  <c r="CP42" i="5"/>
  <c r="CQ42" i="5"/>
  <c r="AK69" i="5"/>
  <c r="AK70" i="5"/>
  <c r="AK87" i="5"/>
  <c r="AU75" i="5"/>
  <c r="AU76" i="5"/>
  <c r="AU77" i="5"/>
  <c r="AU78" i="5"/>
  <c r="AU79" i="5"/>
  <c r="AU80" i="5"/>
  <c r="AU81" i="5"/>
  <c r="AU82" i="5"/>
  <c r="AU65" i="5"/>
  <c r="AU66" i="5"/>
  <c r="AU67" i="5"/>
  <c r="AU68" i="5"/>
  <c r="AU69" i="5"/>
  <c r="AU70" i="5"/>
  <c r="AU87" i="5"/>
  <c r="AV75" i="5"/>
  <c r="AV76" i="5"/>
  <c r="AV77" i="5"/>
  <c r="AV78" i="5"/>
  <c r="AV79" i="5"/>
  <c r="AV80" i="5"/>
  <c r="AV81" i="5"/>
  <c r="AV82" i="5"/>
  <c r="AV65" i="5"/>
  <c r="AV66" i="5"/>
  <c r="AV67" i="5"/>
  <c r="AV68" i="5"/>
  <c r="AV69" i="5"/>
  <c r="AV70" i="5"/>
  <c r="AV87" i="5"/>
  <c r="AW75" i="5"/>
  <c r="AW76" i="5"/>
  <c r="AW77" i="5"/>
  <c r="AW78" i="5"/>
  <c r="AW79" i="5"/>
  <c r="AW80" i="5"/>
  <c r="AW81" i="5"/>
  <c r="AW82" i="5"/>
  <c r="AW65" i="5"/>
  <c r="AW66" i="5"/>
  <c r="AW67" i="5"/>
  <c r="AW68" i="5"/>
  <c r="AW69" i="5"/>
  <c r="AW70" i="5"/>
  <c r="AW87" i="5"/>
  <c r="AZ75" i="5"/>
  <c r="AZ76" i="5"/>
  <c r="AZ77" i="5"/>
  <c r="AZ78" i="5"/>
  <c r="AZ79" i="5"/>
  <c r="AZ80" i="5"/>
  <c r="AZ81" i="5"/>
  <c r="AZ82" i="5"/>
  <c r="AZ65" i="5"/>
  <c r="AZ66" i="5"/>
  <c r="AZ67" i="5"/>
  <c r="AZ68" i="5"/>
  <c r="AZ69" i="5"/>
  <c r="AZ70" i="5"/>
  <c r="AZ87" i="5"/>
  <c r="BC75" i="5"/>
  <c r="BC76" i="5"/>
  <c r="BC77" i="5"/>
  <c r="BC78" i="5"/>
  <c r="BC79" i="5"/>
  <c r="BC80" i="5"/>
  <c r="BC81" i="5"/>
  <c r="BC82" i="5"/>
  <c r="BC65" i="5"/>
  <c r="BC66" i="5"/>
  <c r="BC67" i="5"/>
  <c r="BC68" i="5"/>
  <c r="BC69" i="5"/>
  <c r="BC70" i="5"/>
  <c r="BC87" i="5"/>
  <c r="BD75" i="5"/>
  <c r="BD76" i="5"/>
  <c r="BD77" i="5"/>
  <c r="BD78" i="5"/>
  <c r="BD79" i="5"/>
  <c r="BD80" i="5"/>
  <c r="BD81" i="5"/>
  <c r="BD82" i="5"/>
  <c r="BD65" i="5"/>
  <c r="BD66" i="5"/>
  <c r="BD67" i="5"/>
  <c r="BD68" i="5"/>
  <c r="BD69" i="5"/>
  <c r="BD70" i="5"/>
  <c r="BD87" i="5"/>
  <c r="BG75" i="5"/>
  <c r="BG76" i="5"/>
  <c r="BG77" i="5"/>
  <c r="BG78" i="5"/>
  <c r="BG79" i="5"/>
  <c r="BG80" i="5"/>
  <c r="BG81" i="5"/>
  <c r="BG82" i="5"/>
  <c r="BG65" i="5"/>
  <c r="BG66" i="5"/>
  <c r="BG67" i="5"/>
  <c r="BG68" i="5"/>
  <c r="BG69" i="5"/>
  <c r="BG70" i="5"/>
  <c r="BG87" i="5"/>
  <c r="BH75" i="5"/>
  <c r="BH76" i="5"/>
  <c r="BH77" i="5"/>
  <c r="BH78" i="5"/>
  <c r="BH79" i="5"/>
  <c r="BH80" i="5"/>
  <c r="BH81" i="5"/>
  <c r="BH82" i="5"/>
  <c r="BH65" i="5"/>
  <c r="BH66" i="5"/>
  <c r="BH67" i="5"/>
  <c r="BH68" i="5"/>
  <c r="BH69" i="5"/>
  <c r="BH70" i="5"/>
  <c r="BH87" i="5"/>
  <c r="BK75" i="5"/>
  <c r="BK76" i="5"/>
  <c r="BK77" i="5"/>
  <c r="BK78" i="5"/>
  <c r="BK79" i="5"/>
  <c r="BK80" i="5"/>
  <c r="BK81" i="5"/>
  <c r="BK82" i="5"/>
  <c r="BK65" i="5"/>
  <c r="BK66" i="5"/>
  <c r="BK67" i="5"/>
  <c r="BK68" i="5"/>
  <c r="BK69" i="5"/>
  <c r="BK70" i="5"/>
  <c r="BK87" i="5"/>
  <c r="BL75" i="5"/>
  <c r="BL76" i="5"/>
  <c r="BL77" i="5"/>
  <c r="BL78" i="5"/>
  <c r="BL79" i="5"/>
  <c r="BL80" i="5"/>
  <c r="BL81" i="5"/>
  <c r="BL82" i="5"/>
  <c r="BL65" i="5"/>
  <c r="BL66" i="5"/>
  <c r="BL67" i="5"/>
  <c r="BL68" i="5"/>
  <c r="BL69" i="5"/>
  <c r="BL70" i="5"/>
  <c r="BL87" i="5"/>
  <c r="BM75" i="5"/>
  <c r="BM76" i="5"/>
  <c r="BM77" i="5"/>
  <c r="BM78" i="5"/>
  <c r="BM79" i="5"/>
  <c r="BM80" i="5"/>
  <c r="BM81" i="5"/>
  <c r="BM82" i="5"/>
  <c r="BM65" i="5"/>
  <c r="BM66" i="5"/>
  <c r="BM67" i="5"/>
  <c r="BM68" i="5"/>
  <c r="BM69" i="5"/>
  <c r="BM70" i="5"/>
  <c r="BM87" i="5"/>
  <c r="BN75" i="5"/>
  <c r="BN76" i="5"/>
  <c r="BN77" i="5"/>
  <c r="BN78" i="5"/>
  <c r="BN79" i="5"/>
  <c r="BN80" i="5"/>
  <c r="BN81" i="5"/>
  <c r="BN82" i="5"/>
  <c r="BN65" i="5"/>
  <c r="BN66" i="5"/>
  <c r="BN67" i="5"/>
  <c r="BN68" i="5"/>
  <c r="BN69" i="5"/>
  <c r="BN70" i="5"/>
  <c r="BN87" i="5"/>
  <c r="CJ75" i="5"/>
  <c r="CJ76" i="5"/>
  <c r="CJ77" i="5"/>
  <c r="CJ78" i="5"/>
  <c r="CJ79" i="5"/>
  <c r="CJ80" i="5"/>
  <c r="CJ81" i="5"/>
  <c r="CJ82" i="5"/>
  <c r="CJ65" i="5"/>
  <c r="CJ66" i="5"/>
  <c r="CJ67" i="5"/>
  <c r="CJ68" i="5"/>
  <c r="CJ69" i="5"/>
  <c r="CJ70" i="5"/>
  <c r="CJ87" i="5"/>
  <c r="CK75" i="5"/>
  <c r="CK76" i="5"/>
  <c r="CK77" i="5"/>
  <c r="CK78" i="5"/>
  <c r="CK79" i="5"/>
  <c r="CK80" i="5"/>
  <c r="CK81" i="5"/>
  <c r="CK82" i="5"/>
  <c r="CK65" i="5"/>
  <c r="CK66" i="5"/>
  <c r="CK67" i="5"/>
  <c r="CK68" i="5"/>
  <c r="CK69" i="5"/>
  <c r="CK70" i="5"/>
  <c r="CK87" i="5"/>
  <c r="CL75" i="5"/>
  <c r="CL76" i="5"/>
  <c r="CL77" i="5"/>
  <c r="CL78" i="5"/>
  <c r="CL79" i="5"/>
  <c r="CL80" i="5"/>
  <c r="CL81" i="5"/>
  <c r="CL82" i="5"/>
  <c r="CL65" i="5"/>
  <c r="CL66" i="5"/>
  <c r="CL67" i="5"/>
  <c r="CL68" i="5"/>
  <c r="CL69" i="5"/>
  <c r="CL70" i="5"/>
  <c r="CL87" i="5"/>
  <c r="CM75" i="5"/>
  <c r="CM76" i="5"/>
  <c r="CM77" i="5"/>
  <c r="CM78" i="5"/>
  <c r="CM79" i="5"/>
  <c r="CM80" i="5"/>
  <c r="CM81" i="5"/>
  <c r="CM82" i="5"/>
  <c r="CM65" i="5"/>
  <c r="CM66" i="5"/>
  <c r="CM67" i="5"/>
  <c r="CM68" i="5"/>
  <c r="CM69" i="5"/>
  <c r="CM70" i="5"/>
  <c r="CM87" i="5"/>
  <c r="CN75" i="5"/>
  <c r="CN76" i="5"/>
  <c r="CN77" i="5"/>
  <c r="CN78" i="5"/>
  <c r="CN79" i="5"/>
  <c r="CN80" i="5"/>
  <c r="CN81" i="5"/>
  <c r="CN82" i="5"/>
  <c r="CN65" i="5"/>
  <c r="CN66" i="5"/>
  <c r="CN67" i="5"/>
  <c r="CN68" i="5"/>
  <c r="CN69" i="5"/>
  <c r="CN70" i="5"/>
  <c r="CN87" i="5"/>
  <c r="CO75" i="5"/>
  <c r="CO76" i="5"/>
  <c r="CO77" i="5"/>
  <c r="CO78" i="5"/>
  <c r="CO79" i="5"/>
  <c r="CO80" i="5"/>
  <c r="CO81" i="5"/>
  <c r="CO82" i="5"/>
  <c r="CO65" i="5"/>
  <c r="CO66" i="5"/>
  <c r="CO67" i="5"/>
  <c r="CO68" i="5"/>
  <c r="CO69" i="5"/>
  <c r="CO70" i="5"/>
  <c r="CO87" i="5"/>
  <c r="AC75" i="5"/>
  <c r="AC76" i="5"/>
  <c r="AC77" i="5"/>
  <c r="AC78" i="5"/>
  <c r="AC79" i="5"/>
  <c r="AC80" i="5"/>
  <c r="AC81" i="5"/>
  <c r="AC82" i="5"/>
  <c r="AC65" i="5"/>
  <c r="AC66" i="5"/>
  <c r="AC67" i="5"/>
  <c r="AC68" i="5"/>
  <c r="AC69" i="5"/>
  <c r="AC70" i="5"/>
  <c r="AC87" i="5"/>
  <c r="AD75" i="5"/>
  <c r="AD76" i="5"/>
  <c r="AD77" i="5"/>
  <c r="AD78" i="5"/>
  <c r="AD79" i="5"/>
  <c r="AD80" i="5"/>
  <c r="AD81" i="5"/>
  <c r="AD82" i="5"/>
  <c r="AD65" i="5"/>
  <c r="AD66" i="5"/>
  <c r="AD67" i="5"/>
  <c r="AD68" i="5"/>
  <c r="AD69" i="5"/>
  <c r="AD70" i="5"/>
  <c r="AD87" i="5"/>
  <c r="AE75" i="5"/>
  <c r="AE76" i="5"/>
  <c r="AE77" i="5"/>
  <c r="AE78" i="5"/>
  <c r="AE79" i="5"/>
  <c r="AE80" i="5"/>
  <c r="AE81" i="5"/>
  <c r="AE82" i="5"/>
  <c r="AE65" i="5"/>
  <c r="AE66" i="5"/>
  <c r="AE67" i="5"/>
  <c r="AE68" i="5"/>
  <c r="AE69" i="5"/>
  <c r="AE70" i="5"/>
  <c r="AE87" i="5"/>
  <c r="AF75" i="5"/>
  <c r="AF76" i="5"/>
  <c r="AF77" i="5"/>
  <c r="AF78" i="5"/>
  <c r="AF79" i="5"/>
  <c r="AF80" i="5"/>
  <c r="AF81" i="5"/>
  <c r="AF82" i="5"/>
  <c r="AF65" i="5"/>
  <c r="AF66" i="5"/>
  <c r="AF67" i="5"/>
  <c r="AF68" i="5"/>
  <c r="AF69" i="5"/>
  <c r="AF70" i="5"/>
  <c r="AF87" i="5"/>
  <c r="AG75" i="5"/>
  <c r="AG76" i="5"/>
  <c r="AG77" i="5"/>
  <c r="AG78" i="5"/>
  <c r="AG79" i="5"/>
  <c r="AG80" i="5"/>
  <c r="AG81" i="5"/>
  <c r="AG82" i="5"/>
  <c r="AG65" i="5"/>
  <c r="AG66" i="5"/>
  <c r="AG67" i="5"/>
  <c r="AG68" i="5"/>
  <c r="AG69" i="5"/>
  <c r="AG70" i="5"/>
  <c r="AG87" i="5"/>
  <c r="AH75" i="5"/>
  <c r="AH76" i="5"/>
  <c r="AH77" i="5"/>
  <c r="AH78" i="5"/>
  <c r="AH79" i="5"/>
  <c r="AH80" i="5"/>
  <c r="AH81" i="5"/>
  <c r="AH82" i="5"/>
  <c r="AH65" i="5"/>
  <c r="AH66" i="5"/>
  <c r="AH67" i="5"/>
  <c r="AH68" i="5"/>
  <c r="AH69" i="5"/>
  <c r="AH70" i="5"/>
  <c r="AH87" i="5"/>
  <c r="AI75" i="5"/>
  <c r="AI76" i="5"/>
  <c r="AI77" i="5"/>
  <c r="AI78" i="5"/>
  <c r="AI79" i="5"/>
  <c r="AI80" i="5"/>
  <c r="AI81" i="5"/>
  <c r="AI82" i="5"/>
  <c r="AI65" i="5"/>
  <c r="AI66" i="5"/>
  <c r="AI67" i="5"/>
  <c r="AI68" i="5"/>
  <c r="AI69" i="5"/>
  <c r="AI70" i="5"/>
  <c r="AI87" i="5"/>
  <c r="AJ75" i="5"/>
  <c r="AJ76" i="5"/>
  <c r="AJ77" i="5"/>
  <c r="AJ78" i="5"/>
  <c r="AJ79" i="5"/>
  <c r="AJ80" i="5"/>
  <c r="AJ81" i="5"/>
  <c r="AJ82" i="5"/>
  <c r="AJ65" i="5"/>
  <c r="AJ66" i="5"/>
  <c r="AJ67" i="5"/>
  <c r="AJ68" i="5"/>
  <c r="AJ69" i="5"/>
  <c r="AJ70" i="5"/>
  <c r="AJ87" i="5"/>
  <c r="AL75" i="5"/>
  <c r="AL76" i="5"/>
  <c r="AL77" i="5"/>
  <c r="AL78" i="5"/>
  <c r="AL79" i="5"/>
  <c r="AL80" i="5"/>
  <c r="AL81" i="5"/>
  <c r="AL82" i="5"/>
  <c r="AL65" i="5"/>
  <c r="AL66" i="5"/>
  <c r="AL67" i="5"/>
  <c r="AL68" i="5"/>
  <c r="AL69" i="5"/>
  <c r="AL70" i="5"/>
  <c r="AL87" i="5"/>
  <c r="AM75" i="5"/>
  <c r="AM76" i="5"/>
  <c r="AM77" i="5"/>
  <c r="AM78" i="5"/>
  <c r="AM79" i="5"/>
  <c r="AM80" i="5"/>
  <c r="AM81" i="5"/>
  <c r="AM82" i="5"/>
  <c r="AM65" i="5"/>
  <c r="AM66" i="5"/>
  <c r="AM67" i="5"/>
  <c r="AM68" i="5"/>
  <c r="AM69" i="5"/>
  <c r="AM70" i="5"/>
  <c r="AM87" i="5"/>
  <c r="AN75" i="5"/>
  <c r="AN76" i="5"/>
  <c r="AN77" i="5"/>
  <c r="AN78" i="5"/>
  <c r="AN79" i="5"/>
  <c r="AN80" i="5"/>
  <c r="AN81" i="5"/>
  <c r="AN82" i="5"/>
  <c r="AN65" i="5"/>
  <c r="AN66" i="5"/>
  <c r="AN67" i="5"/>
  <c r="AN68" i="5"/>
  <c r="AN69" i="5"/>
  <c r="AN70" i="5"/>
  <c r="AN87" i="5"/>
  <c r="AO75" i="5"/>
  <c r="AO76" i="5"/>
  <c r="AO77" i="5"/>
  <c r="AO78" i="5"/>
  <c r="AO79" i="5"/>
  <c r="AO80" i="5"/>
  <c r="AO81" i="5"/>
  <c r="AO82" i="5"/>
  <c r="AO65" i="5"/>
  <c r="AO66" i="5"/>
  <c r="AO67" i="5"/>
  <c r="AO68" i="5"/>
  <c r="AO69" i="5"/>
  <c r="AO70" i="5"/>
  <c r="AO87" i="5"/>
  <c r="AP75" i="5"/>
  <c r="AP76" i="5"/>
  <c r="AP77" i="5"/>
  <c r="AP78" i="5"/>
  <c r="AP79" i="5"/>
  <c r="AP80" i="5"/>
  <c r="AP81" i="5"/>
  <c r="AP82" i="5"/>
  <c r="AP65" i="5"/>
  <c r="AP66" i="5"/>
  <c r="AP67" i="5"/>
  <c r="AP68" i="5"/>
  <c r="AP69" i="5"/>
  <c r="AP70" i="5"/>
  <c r="AP87" i="5"/>
  <c r="AQ75" i="5"/>
  <c r="AQ76" i="5"/>
  <c r="AQ77" i="5"/>
  <c r="AQ78" i="5"/>
  <c r="AQ79" i="5"/>
  <c r="AQ80" i="5"/>
  <c r="AQ81" i="5"/>
  <c r="AQ82" i="5"/>
  <c r="AQ65" i="5"/>
  <c r="AQ66" i="5"/>
  <c r="AQ67" i="5"/>
  <c r="AQ68" i="5"/>
  <c r="AQ69" i="5"/>
  <c r="AQ70" i="5"/>
  <c r="AQ87" i="5"/>
  <c r="AS75" i="5"/>
  <c r="AS76" i="5"/>
  <c r="AS77" i="5"/>
  <c r="AS78" i="5"/>
  <c r="AS79" i="5"/>
  <c r="AS80" i="5"/>
  <c r="AS81" i="5"/>
  <c r="AS82" i="5"/>
  <c r="AS65" i="5"/>
  <c r="AS66" i="5"/>
  <c r="AS67" i="5"/>
  <c r="AS68" i="5"/>
  <c r="AS69" i="5"/>
  <c r="AS70" i="5"/>
  <c r="AS87" i="5"/>
  <c r="AT75" i="5"/>
  <c r="AT76" i="5"/>
  <c r="AT77" i="5"/>
  <c r="AT78" i="5"/>
  <c r="AT79" i="5"/>
  <c r="AT80" i="5"/>
  <c r="AT81" i="5"/>
  <c r="AT82" i="5"/>
  <c r="AT65" i="5"/>
  <c r="AT66" i="5"/>
  <c r="AT67" i="5"/>
  <c r="AT68" i="5"/>
  <c r="AT69" i="5"/>
  <c r="AT70" i="5"/>
  <c r="AT87" i="5"/>
  <c r="AX75" i="5"/>
  <c r="AX76" i="5"/>
  <c r="AX77" i="5"/>
  <c r="AX78" i="5"/>
  <c r="AX79" i="5"/>
  <c r="AX80" i="5"/>
  <c r="AX81" i="5"/>
  <c r="AX82" i="5"/>
  <c r="AX65" i="5"/>
  <c r="AX66" i="5"/>
  <c r="AX67" i="5"/>
  <c r="AX68" i="5"/>
  <c r="AX69" i="5"/>
  <c r="AX70" i="5"/>
  <c r="AX87" i="5"/>
  <c r="AY75" i="5"/>
  <c r="AY76" i="5"/>
  <c r="AY77" i="5"/>
  <c r="AY78" i="5"/>
  <c r="AY79" i="5"/>
  <c r="AY80" i="5"/>
  <c r="AY81" i="5"/>
  <c r="AY82" i="5"/>
  <c r="AY65" i="5"/>
  <c r="AY66" i="5"/>
  <c r="AY67" i="5"/>
  <c r="AY68" i="5"/>
  <c r="AY69" i="5"/>
  <c r="AY70" i="5"/>
  <c r="AY87" i="5"/>
  <c r="BA75" i="5"/>
  <c r="BA76" i="5"/>
  <c r="BA77" i="5"/>
  <c r="BA78" i="5"/>
  <c r="BA79" i="5"/>
  <c r="BA80" i="5"/>
  <c r="BA81" i="5"/>
  <c r="BA82" i="5"/>
  <c r="BA65" i="5"/>
  <c r="BA66" i="5"/>
  <c r="BA67" i="5"/>
  <c r="BA68" i="5"/>
  <c r="BA69" i="5"/>
  <c r="BA70" i="5"/>
  <c r="BA87" i="5"/>
  <c r="BB75" i="5"/>
  <c r="BB76" i="5"/>
  <c r="BB77" i="5"/>
  <c r="BB78" i="5"/>
  <c r="BB79" i="5"/>
  <c r="BB80" i="5"/>
  <c r="BB81" i="5"/>
  <c r="BB82" i="5"/>
  <c r="BB65" i="5"/>
  <c r="BB66" i="5"/>
  <c r="BB67" i="5"/>
  <c r="BB68" i="5"/>
  <c r="BB69" i="5"/>
  <c r="BB70" i="5"/>
  <c r="BB87" i="5"/>
  <c r="BE75" i="5"/>
  <c r="BE76" i="5"/>
  <c r="BE77" i="5"/>
  <c r="BE78" i="5"/>
  <c r="BE79" i="5"/>
  <c r="BE80" i="5"/>
  <c r="BE81" i="5"/>
  <c r="BE82" i="5"/>
  <c r="BE65" i="5"/>
  <c r="BE66" i="5"/>
  <c r="BE67" i="5"/>
  <c r="BE68" i="5"/>
  <c r="BE69" i="5"/>
  <c r="BE70" i="5"/>
  <c r="BE87" i="5"/>
  <c r="BF75" i="5"/>
  <c r="BF76" i="5"/>
  <c r="BF77" i="5"/>
  <c r="BF78" i="5"/>
  <c r="BF79" i="5"/>
  <c r="BF80" i="5"/>
  <c r="BF81" i="5"/>
  <c r="BF82" i="5"/>
  <c r="BF65" i="5"/>
  <c r="BF66" i="5"/>
  <c r="BF67" i="5"/>
  <c r="BF68" i="5"/>
  <c r="BF69" i="5"/>
  <c r="BF70" i="5"/>
  <c r="BF87" i="5"/>
  <c r="BI75" i="5"/>
  <c r="BI76" i="5"/>
  <c r="BI77" i="5"/>
  <c r="BI78" i="5"/>
  <c r="BI79" i="5"/>
  <c r="BI80" i="5"/>
  <c r="BI81" i="5"/>
  <c r="BI82" i="5"/>
  <c r="BI65" i="5"/>
  <c r="BI66" i="5"/>
  <c r="BI67" i="5"/>
  <c r="BI68" i="5"/>
  <c r="BI69" i="5"/>
  <c r="BI70" i="5"/>
  <c r="BI87" i="5"/>
  <c r="BJ75" i="5"/>
  <c r="BJ76" i="5"/>
  <c r="BJ77" i="5"/>
  <c r="BJ78" i="5"/>
  <c r="BJ79" i="5"/>
  <c r="BJ80" i="5"/>
  <c r="BJ81" i="5"/>
  <c r="BJ82" i="5"/>
  <c r="BJ65" i="5"/>
  <c r="BJ66" i="5"/>
  <c r="BJ67" i="5"/>
  <c r="BJ68" i="5"/>
  <c r="BJ69" i="5"/>
  <c r="BJ70" i="5"/>
  <c r="BJ87" i="5"/>
  <c r="BO75" i="5"/>
  <c r="BO76" i="5"/>
  <c r="BO77" i="5"/>
  <c r="BO78" i="5"/>
  <c r="BO79" i="5"/>
  <c r="BO80" i="5"/>
  <c r="BO81" i="5"/>
  <c r="BO82" i="5"/>
  <c r="BO65" i="5"/>
  <c r="BO66" i="5"/>
  <c r="BO67" i="5"/>
  <c r="BO68" i="5"/>
  <c r="BO69" i="5"/>
  <c r="BO70" i="5"/>
  <c r="BO87" i="5"/>
  <c r="BP75" i="5"/>
  <c r="BP76" i="5"/>
  <c r="BP77" i="5"/>
  <c r="BP78" i="5"/>
  <c r="BP79" i="5"/>
  <c r="BP80" i="5"/>
  <c r="BP81" i="5"/>
  <c r="BP82" i="5"/>
  <c r="BP65" i="5"/>
  <c r="BP66" i="5"/>
  <c r="BP67" i="5"/>
  <c r="BP68" i="5"/>
  <c r="BP69" i="5"/>
  <c r="BP70" i="5"/>
  <c r="BP87" i="5"/>
  <c r="BQ75" i="5"/>
  <c r="BQ76" i="5"/>
  <c r="BQ77" i="5"/>
  <c r="BQ78" i="5"/>
  <c r="BQ79" i="5"/>
  <c r="BQ80" i="5"/>
  <c r="BQ81" i="5"/>
  <c r="BQ82" i="5"/>
  <c r="BQ65" i="5"/>
  <c r="BQ66" i="5"/>
  <c r="BQ67" i="5"/>
  <c r="BQ68" i="5"/>
  <c r="BQ69" i="5"/>
  <c r="BQ70" i="5"/>
  <c r="BQ87" i="5"/>
  <c r="BR75" i="5"/>
  <c r="BR76" i="5"/>
  <c r="BR77" i="5"/>
  <c r="BR78" i="5"/>
  <c r="BR79" i="5"/>
  <c r="BR80" i="5"/>
  <c r="BR81" i="5"/>
  <c r="BR82" i="5"/>
  <c r="BR65" i="5"/>
  <c r="BR66" i="5"/>
  <c r="BR67" i="5"/>
  <c r="BR68" i="5"/>
  <c r="BR69" i="5"/>
  <c r="BR70" i="5"/>
  <c r="BR87" i="5"/>
  <c r="BS75" i="5"/>
  <c r="BS76" i="5"/>
  <c r="BS77" i="5"/>
  <c r="BS78" i="5"/>
  <c r="BS79" i="5"/>
  <c r="BS80" i="5"/>
  <c r="BS81" i="5"/>
  <c r="BS82" i="5"/>
  <c r="BS65" i="5"/>
  <c r="BS66" i="5"/>
  <c r="BS67" i="5"/>
  <c r="BS68" i="5"/>
  <c r="BS69" i="5"/>
  <c r="BS70" i="5"/>
  <c r="BS87" i="5"/>
  <c r="BT75" i="5"/>
  <c r="BT76" i="5"/>
  <c r="BT77" i="5"/>
  <c r="BT78" i="5"/>
  <c r="BT79" i="5"/>
  <c r="BT80" i="5"/>
  <c r="BT81" i="5"/>
  <c r="BT82" i="5"/>
  <c r="BT65" i="5"/>
  <c r="BT66" i="5"/>
  <c r="BT67" i="5"/>
  <c r="BT68" i="5"/>
  <c r="BT69" i="5"/>
  <c r="BT70" i="5"/>
  <c r="BT87" i="5"/>
  <c r="BU75" i="5"/>
  <c r="BU76" i="5"/>
  <c r="BU77" i="5"/>
  <c r="BU78" i="5"/>
  <c r="BU79" i="5"/>
  <c r="BU80" i="5"/>
  <c r="BU81" i="5"/>
  <c r="BU82" i="5"/>
  <c r="BU65" i="5"/>
  <c r="BU66" i="5"/>
  <c r="BU67" i="5"/>
  <c r="BU68" i="5"/>
  <c r="BU69" i="5"/>
  <c r="BU70" i="5"/>
  <c r="BU87" i="5"/>
  <c r="BV75" i="5"/>
  <c r="BV76" i="5"/>
  <c r="BV77" i="5"/>
  <c r="BV78" i="5"/>
  <c r="BV79" i="5"/>
  <c r="BV80" i="5"/>
  <c r="BV81" i="5"/>
  <c r="BV82" i="5"/>
  <c r="BV65" i="5"/>
  <c r="BV66" i="5"/>
  <c r="BV67" i="5"/>
  <c r="BV68" i="5"/>
  <c r="BV69" i="5"/>
  <c r="BV70" i="5"/>
  <c r="BV87" i="5"/>
  <c r="BW75" i="5"/>
  <c r="BW76" i="5"/>
  <c r="BW77" i="5"/>
  <c r="BW78" i="5"/>
  <c r="BW79" i="5"/>
  <c r="BW80" i="5"/>
  <c r="BW81" i="5"/>
  <c r="BW82" i="5"/>
  <c r="BW65" i="5"/>
  <c r="BW66" i="5"/>
  <c r="BW67" i="5"/>
  <c r="BW68" i="5"/>
  <c r="BW69" i="5"/>
  <c r="BW70" i="5"/>
  <c r="BW87" i="5"/>
  <c r="BX75" i="5"/>
  <c r="BX76" i="5"/>
  <c r="BX77" i="5"/>
  <c r="BX78" i="5"/>
  <c r="BX79" i="5"/>
  <c r="BX80" i="5"/>
  <c r="BX81" i="5"/>
  <c r="BX82" i="5"/>
  <c r="BX65" i="5"/>
  <c r="BX66" i="5"/>
  <c r="BX67" i="5"/>
  <c r="BX68" i="5"/>
  <c r="BX69" i="5"/>
  <c r="BX70" i="5"/>
  <c r="BX87" i="5"/>
  <c r="BY75" i="5"/>
  <c r="BY76" i="5"/>
  <c r="BY77" i="5"/>
  <c r="BY78" i="5"/>
  <c r="BY79" i="5"/>
  <c r="BY80" i="5"/>
  <c r="BY81" i="5"/>
  <c r="BY82" i="5"/>
  <c r="BY65" i="5"/>
  <c r="BY66" i="5"/>
  <c r="BY67" i="5"/>
  <c r="BY68" i="5"/>
  <c r="BY69" i="5"/>
  <c r="BY70" i="5"/>
  <c r="BY87" i="5"/>
  <c r="BZ75" i="5"/>
  <c r="BZ76" i="5"/>
  <c r="BZ77" i="5"/>
  <c r="BZ78" i="5"/>
  <c r="BZ79" i="5"/>
  <c r="BZ80" i="5"/>
  <c r="BZ81" i="5"/>
  <c r="BZ82" i="5"/>
  <c r="BZ65" i="5"/>
  <c r="BZ66" i="5"/>
  <c r="BZ67" i="5"/>
  <c r="BZ68" i="5"/>
  <c r="BZ69" i="5"/>
  <c r="BZ70" i="5"/>
  <c r="BZ87" i="5"/>
  <c r="CA75" i="5"/>
  <c r="CA76" i="5"/>
  <c r="CA77" i="5"/>
  <c r="CA78" i="5"/>
  <c r="CA79" i="5"/>
  <c r="CA80" i="5"/>
  <c r="CA81" i="5"/>
  <c r="CA82" i="5"/>
  <c r="CA65" i="5"/>
  <c r="CA66" i="5"/>
  <c r="CA67" i="5"/>
  <c r="CA68" i="5"/>
  <c r="CA69" i="5"/>
  <c r="CA70" i="5"/>
  <c r="CA87" i="5"/>
  <c r="CB75" i="5"/>
  <c r="CB76" i="5"/>
  <c r="CB77" i="5"/>
  <c r="CB78" i="5"/>
  <c r="CB79" i="5"/>
  <c r="CB80" i="5"/>
  <c r="CB81" i="5"/>
  <c r="CB82" i="5"/>
  <c r="CB65" i="5"/>
  <c r="CB66" i="5"/>
  <c r="CB67" i="5"/>
  <c r="CB68" i="5"/>
  <c r="CB69" i="5"/>
  <c r="CB70" i="5"/>
  <c r="CB87" i="5"/>
  <c r="CC75" i="5"/>
  <c r="CC76" i="5"/>
  <c r="CC77" i="5"/>
  <c r="CC78" i="5"/>
  <c r="CC79" i="5"/>
  <c r="CC80" i="5"/>
  <c r="CC81" i="5"/>
  <c r="CC82" i="5"/>
  <c r="CC65" i="5"/>
  <c r="CC66" i="5"/>
  <c r="CC67" i="5"/>
  <c r="CC68" i="5"/>
  <c r="CC69" i="5"/>
  <c r="CC70" i="5"/>
  <c r="CC87" i="5"/>
  <c r="CD75" i="5"/>
  <c r="CD76" i="5"/>
  <c r="CD77" i="5"/>
  <c r="CD78" i="5"/>
  <c r="CD79" i="5"/>
  <c r="CD80" i="5"/>
  <c r="CD81" i="5"/>
  <c r="CD82" i="5"/>
  <c r="CD65" i="5"/>
  <c r="CD66" i="5"/>
  <c r="CD67" i="5"/>
  <c r="CD68" i="5"/>
  <c r="CD69" i="5"/>
  <c r="CD70" i="5"/>
  <c r="CD87" i="5"/>
  <c r="CE75" i="5"/>
  <c r="CE76" i="5"/>
  <c r="CE77" i="5"/>
  <c r="CE78" i="5"/>
  <c r="CE79" i="5"/>
  <c r="CE80" i="5"/>
  <c r="CE81" i="5"/>
  <c r="CE82" i="5"/>
  <c r="CE65" i="5"/>
  <c r="CE66" i="5"/>
  <c r="CE67" i="5"/>
  <c r="CE68" i="5"/>
  <c r="CE69" i="5"/>
  <c r="CE70" i="5"/>
  <c r="CE87" i="5"/>
  <c r="CF75" i="5"/>
  <c r="CF76" i="5"/>
  <c r="CF77" i="5"/>
  <c r="CF78" i="5"/>
  <c r="CF79" i="5"/>
  <c r="CF80" i="5"/>
  <c r="CF81" i="5"/>
  <c r="CF82" i="5"/>
  <c r="CF65" i="5"/>
  <c r="CF66" i="5"/>
  <c r="CF67" i="5"/>
  <c r="CF68" i="5"/>
  <c r="CF69" i="5"/>
  <c r="CF70" i="5"/>
  <c r="CF87" i="5"/>
  <c r="CG75" i="5"/>
  <c r="CG76" i="5"/>
  <c r="CG77" i="5"/>
  <c r="CG78" i="5"/>
  <c r="CG79" i="5"/>
  <c r="CG80" i="5"/>
  <c r="CG81" i="5"/>
  <c r="CG82" i="5"/>
  <c r="CG65" i="5"/>
  <c r="CG66" i="5"/>
  <c r="CG67" i="5"/>
  <c r="CG68" i="5"/>
  <c r="CG69" i="5"/>
  <c r="CG70" i="5"/>
  <c r="CG87" i="5"/>
  <c r="CH75" i="5"/>
  <c r="CH76" i="5"/>
  <c r="CH77" i="5"/>
  <c r="CH78" i="5"/>
  <c r="CH79" i="5"/>
  <c r="CH80" i="5"/>
  <c r="CH81" i="5"/>
  <c r="CH82" i="5"/>
  <c r="CH65" i="5"/>
  <c r="CH66" i="5"/>
  <c r="CH67" i="5"/>
  <c r="CH68" i="5"/>
  <c r="CH69" i="5"/>
  <c r="CH70" i="5"/>
  <c r="CH87" i="5"/>
  <c r="CI75" i="5"/>
  <c r="CI76" i="5"/>
  <c r="CI77" i="5"/>
  <c r="CI78" i="5"/>
  <c r="CI79" i="5"/>
  <c r="CI80" i="5"/>
  <c r="CI81" i="5"/>
  <c r="CI82" i="5"/>
  <c r="CI65" i="5"/>
  <c r="CI66" i="5"/>
  <c r="CI67" i="5"/>
  <c r="CI68" i="5"/>
  <c r="CI69" i="5"/>
  <c r="CI70" i="5"/>
  <c r="CI87" i="5"/>
  <c r="CP75" i="5"/>
  <c r="CP76" i="5"/>
  <c r="CP77" i="5"/>
  <c r="CP78" i="5"/>
  <c r="CP79" i="5"/>
  <c r="CP80" i="5"/>
  <c r="CP81" i="5"/>
  <c r="CP82" i="5"/>
  <c r="CP65" i="5"/>
  <c r="CP66" i="5"/>
  <c r="CP67" i="5"/>
  <c r="CP68" i="5"/>
  <c r="CP69" i="5"/>
  <c r="CP70" i="5"/>
  <c r="CP87" i="5"/>
  <c r="I48" i="5"/>
  <c r="C48" i="5"/>
  <c r="D48" i="5"/>
  <c r="E48" i="5"/>
  <c r="F48" i="5"/>
  <c r="G48" i="5"/>
  <c r="H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I75" i="5"/>
  <c r="I49" i="5"/>
  <c r="C49" i="5"/>
  <c r="D49" i="5"/>
  <c r="E49" i="5"/>
  <c r="F49" i="5"/>
  <c r="G49" i="5"/>
  <c r="H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I76" i="5"/>
  <c r="I50" i="5"/>
  <c r="C50" i="5"/>
  <c r="D50" i="5"/>
  <c r="E50" i="5"/>
  <c r="F50" i="5"/>
  <c r="G50" i="5"/>
  <c r="H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I77" i="5"/>
  <c r="I51" i="5"/>
  <c r="C51" i="5"/>
  <c r="D51" i="5"/>
  <c r="E51" i="5"/>
  <c r="F51" i="5"/>
  <c r="G51" i="5"/>
  <c r="H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I78" i="5"/>
  <c r="I52" i="5"/>
  <c r="C52" i="5"/>
  <c r="D52" i="5"/>
  <c r="E52" i="5"/>
  <c r="F52" i="5"/>
  <c r="G52" i="5"/>
  <c r="H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I79" i="5"/>
  <c r="I53" i="5"/>
  <c r="C53" i="5"/>
  <c r="D53" i="5"/>
  <c r="E53" i="5"/>
  <c r="F53" i="5"/>
  <c r="G53" i="5"/>
  <c r="H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I80" i="5"/>
  <c r="I54" i="5"/>
  <c r="C54" i="5"/>
  <c r="D54" i="5"/>
  <c r="E54" i="5"/>
  <c r="F54" i="5"/>
  <c r="G54" i="5"/>
  <c r="H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I81" i="5"/>
  <c r="I82" i="5"/>
  <c r="I38" i="5"/>
  <c r="C38" i="5"/>
  <c r="D38" i="5"/>
  <c r="E38" i="5"/>
  <c r="F38" i="5"/>
  <c r="G38" i="5"/>
  <c r="H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I65" i="5"/>
  <c r="I39" i="5"/>
  <c r="C39" i="5"/>
  <c r="D39" i="5"/>
  <c r="E39" i="5"/>
  <c r="F39" i="5"/>
  <c r="G39" i="5"/>
  <c r="H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I66" i="5"/>
  <c r="I40" i="5"/>
  <c r="C40" i="5"/>
  <c r="D40" i="5"/>
  <c r="E40" i="5"/>
  <c r="F40" i="5"/>
  <c r="G40" i="5"/>
  <c r="H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I67" i="5"/>
  <c r="I41" i="5"/>
  <c r="C41" i="5"/>
  <c r="D41" i="5"/>
  <c r="E41" i="5"/>
  <c r="F41" i="5"/>
  <c r="G41" i="5"/>
  <c r="H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I68" i="5"/>
  <c r="I42" i="5"/>
  <c r="C42" i="5"/>
  <c r="D42" i="5"/>
  <c r="E42" i="5"/>
  <c r="F42" i="5"/>
  <c r="G42" i="5"/>
  <c r="H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I69" i="5"/>
  <c r="I70" i="5"/>
  <c r="I87" i="5"/>
  <c r="P75" i="5"/>
  <c r="P76" i="5"/>
  <c r="P77" i="5"/>
  <c r="P78" i="5"/>
  <c r="P79" i="5"/>
  <c r="P80" i="5"/>
  <c r="P81" i="5"/>
  <c r="P82" i="5"/>
  <c r="P65" i="5"/>
  <c r="P66" i="5"/>
  <c r="P67" i="5"/>
  <c r="P68" i="5"/>
  <c r="P69" i="5"/>
  <c r="P70" i="5"/>
  <c r="P87" i="5"/>
  <c r="Q75" i="5"/>
  <c r="Q76" i="5"/>
  <c r="Q77" i="5"/>
  <c r="Q78" i="5"/>
  <c r="Q79" i="5"/>
  <c r="Q80" i="5"/>
  <c r="Q81" i="5"/>
  <c r="Q82" i="5"/>
  <c r="Q65" i="5"/>
  <c r="Q66" i="5"/>
  <c r="Q67" i="5"/>
  <c r="Q68" i="5"/>
  <c r="Q69" i="5"/>
  <c r="Q70" i="5"/>
  <c r="Q87" i="5"/>
  <c r="AA75" i="5"/>
  <c r="AA76" i="5"/>
  <c r="AA77" i="5"/>
  <c r="AA78" i="5"/>
  <c r="AA79" i="5"/>
  <c r="AA80" i="5"/>
  <c r="AA81" i="5"/>
  <c r="AA82" i="5"/>
  <c r="AA65" i="5"/>
  <c r="AA66" i="5"/>
  <c r="AA67" i="5"/>
  <c r="AA68" i="5"/>
  <c r="AA69" i="5"/>
  <c r="AA70" i="5"/>
  <c r="AA87" i="5"/>
  <c r="C75" i="5"/>
  <c r="C76" i="5"/>
  <c r="C77" i="5"/>
  <c r="C78" i="5"/>
  <c r="C79" i="5"/>
  <c r="C80" i="5"/>
  <c r="C81" i="5"/>
  <c r="C82" i="5"/>
  <c r="C65" i="5"/>
  <c r="C66" i="5"/>
  <c r="C67" i="5"/>
  <c r="C68" i="5"/>
  <c r="C69" i="5"/>
  <c r="C70" i="5"/>
  <c r="C87" i="5"/>
  <c r="D75" i="5"/>
  <c r="D76" i="5"/>
  <c r="D77" i="5"/>
  <c r="D78" i="5"/>
  <c r="D79" i="5"/>
  <c r="D80" i="5"/>
  <c r="D81" i="5"/>
  <c r="D82" i="5"/>
  <c r="D65" i="5"/>
  <c r="D66" i="5"/>
  <c r="D67" i="5"/>
  <c r="D68" i="5"/>
  <c r="D69" i="5"/>
  <c r="D70" i="5"/>
  <c r="D87" i="5"/>
  <c r="E75" i="5"/>
  <c r="E76" i="5"/>
  <c r="E77" i="5"/>
  <c r="E78" i="5"/>
  <c r="E79" i="5"/>
  <c r="E80" i="5"/>
  <c r="E81" i="5"/>
  <c r="E82" i="5"/>
  <c r="E65" i="5"/>
  <c r="E66" i="5"/>
  <c r="E67" i="5"/>
  <c r="E68" i="5"/>
  <c r="E69" i="5"/>
  <c r="E70" i="5"/>
  <c r="E87" i="5"/>
  <c r="F75" i="5"/>
  <c r="F76" i="5"/>
  <c r="F77" i="5"/>
  <c r="F78" i="5"/>
  <c r="F79" i="5"/>
  <c r="F80" i="5"/>
  <c r="F81" i="5"/>
  <c r="F82" i="5"/>
  <c r="F65" i="5"/>
  <c r="F66" i="5"/>
  <c r="F67" i="5"/>
  <c r="F68" i="5"/>
  <c r="F69" i="5"/>
  <c r="F70" i="5"/>
  <c r="F87" i="5"/>
  <c r="G75" i="5"/>
  <c r="G76" i="5"/>
  <c r="G77" i="5"/>
  <c r="G78" i="5"/>
  <c r="G79" i="5"/>
  <c r="G80" i="5"/>
  <c r="G81" i="5"/>
  <c r="G82" i="5"/>
  <c r="G65" i="5"/>
  <c r="G66" i="5"/>
  <c r="G67" i="5"/>
  <c r="G68" i="5"/>
  <c r="G69" i="5"/>
  <c r="G70" i="5"/>
  <c r="G87" i="5"/>
  <c r="H75" i="5"/>
  <c r="H76" i="5"/>
  <c r="H77" i="5"/>
  <c r="H78" i="5"/>
  <c r="H79" i="5"/>
  <c r="H80" i="5"/>
  <c r="H81" i="5"/>
  <c r="H82" i="5"/>
  <c r="H65" i="5"/>
  <c r="H66" i="5"/>
  <c r="H67" i="5"/>
  <c r="H68" i="5"/>
  <c r="H69" i="5"/>
  <c r="H70" i="5"/>
  <c r="H87" i="5"/>
  <c r="J75" i="5"/>
  <c r="J76" i="5"/>
  <c r="J77" i="5"/>
  <c r="J78" i="5"/>
  <c r="J79" i="5"/>
  <c r="J80" i="5"/>
  <c r="J81" i="5"/>
  <c r="J82" i="5"/>
  <c r="J65" i="5"/>
  <c r="J66" i="5"/>
  <c r="J67" i="5"/>
  <c r="J68" i="5"/>
  <c r="J69" i="5"/>
  <c r="J70" i="5"/>
  <c r="J87" i="5"/>
  <c r="K75" i="5"/>
  <c r="K76" i="5"/>
  <c r="K77" i="5"/>
  <c r="K78" i="5"/>
  <c r="K79" i="5"/>
  <c r="K80" i="5"/>
  <c r="K81" i="5"/>
  <c r="K82" i="5"/>
  <c r="K65" i="5"/>
  <c r="K66" i="5"/>
  <c r="K67" i="5"/>
  <c r="K68" i="5"/>
  <c r="K69" i="5"/>
  <c r="K70" i="5"/>
  <c r="K87" i="5"/>
  <c r="L75" i="5"/>
  <c r="L76" i="5"/>
  <c r="L77" i="5"/>
  <c r="L78" i="5"/>
  <c r="L79" i="5"/>
  <c r="L80" i="5"/>
  <c r="L81" i="5"/>
  <c r="L82" i="5"/>
  <c r="L65" i="5"/>
  <c r="L66" i="5"/>
  <c r="L67" i="5"/>
  <c r="L68" i="5"/>
  <c r="L69" i="5"/>
  <c r="L70" i="5"/>
  <c r="L87" i="5"/>
  <c r="M75" i="5"/>
  <c r="M76" i="5"/>
  <c r="M77" i="5"/>
  <c r="M78" i="5"/>
  <c r="M79" i="5"/>
  <c r="M80" i="5"/>
  <c r="M81" i="5"/>
  <c r="M82" i="5"/>
  <c r="M65" i="5"/>
  <c r="M66" i="5"/>
  <c r="M67" i="5"/>
  <c r="M68" i="5"/>
  <c r="M69" i="5"/>
  <c r="M70" i="5"/>
  <c r="M87" i="5"/>
  <c r="N75" i="5"/>
  <c r="N76" i="5"/>
  <c r="N77" i="5"/>
  <c r="N78" i="5"/>
  <c r="N79" i="5"/>
  <c r="N80" i="5"/>
  <c r="N81" i="5"/>
  <c r="N82" i="5"/>
  <c r="N65" i="5"/>
  <c r="N66" i="5"/>
  <c r="N67" i="5"/>
  <c r="N68" i="5"/>
  <c r="N69" i="5"/>
  <c r="N70" i="5"/>
  <c r="N87" i="5"/>
  <c r="O75" i="5"/>
  <c r="O76" i="5"/>
  <c r="O77" i="5"/>
  <c r="O78" i="5"/>
  <c r="O79" i="5"/>
  <c r="O80" i="5"/>
  <c r="O81" i="5"/>
  <c r="O82" i="5"/>
  <c r="O65" i="5"/>
  <c r="O66" i="5"/>
  <c r="O67" i="5"/>
  <c r="O68" i="5"/>
  <c r="O69" i="5"/>
  <c r="O70" i="5"/>
  <c r="O87" i="5"/>
  <c r="R75" i="5"/>
  <c r="R76" i="5"/>
  <c r="R77" i="5"/>
  <c r="R78" i="5"/>
  <c r="R79" i="5"/>
  <c r="R80" i="5"/>
  <c r="R81" i="5"/>
  <c r="R82" i="5"/>
  <c r="R65" i="5"/>
  <c r="R66" i="5"/>
  <c r="R67" i="5"/>
  <c r="R68" i="5"/>
  <c r="R69" i="5"/>
  <c r="R70" i="5"/>
  <c r="R87" i="5"/>
  <c r="S75" i="5"/>
  <c r="S76" i="5"/>
  <c r="S77" i="5"/>
  <c r="S78" i="5"/>
  <c r="S79" i="5"/>
  <c r="S80" i="5"/>
  <c r="S81" i="5"/>
  <c r="S82" i="5"/>
  <c r="S65" i="5"/>
  <c r="S66" i="5"/>
  <c r="S67" i="5"/>
  <c r="S68" i="5"/>
  <c r="S69" i="5"/>
  <c r="S70" i="5"/>
  <c r="S87" i="5"/>
  <c r="T75" i="5"/>
  <c r="T76" i="5"/>
  <c r="T77" i="5"/>
  <c r="T78" i="5"/>
  <c r="T79" i="5"/>
  <c r="T80" i="5"/>
  <c r="T81" i="5"/>
  <c r="T82" i="5"/>
  <c r="T65" i="5"/>
  <c r="T66" i="5"/>
  <c r="T67" i="5"/>
  <c r="T68" i="5"/>
  <c r="T69" i="5"/>
  <c r="T70" i="5"/>
  <c r="T87" i="5"/>
  <c r="U75" i="5"/>
  <c r="U76" i="5"/>
  <c r="U77" i="5"/>
  <c r="U78" i="5"/>
  <c r="U79" i="5"/>
  <c r="U80" i="5"/>
  <c r="U81" i="5"/>
  <c r="U82" i="5"/>
  <c r="U65" i="5"/>
  <c r="U66" i="5"/>
  <c r="U67" i="5"/>
  <c r="U68" i="5"/>
  <c r="U69" i="5"/>
  <c r="U70" i="5"/>
  <c r="U87" i="5"/>
  <c r="V75" i="5"/>
  <c r="V76" i="5"/>
  <c r="V77" i="5"/>
  <c r="V78" i="5"/>
  <c r="V79" i="5"/>
  <c r="V80" i="5"/>
  <c r="V81" i="5"/>
  <c r="V82" i="5"/>
  <c r="V65" i="5"/>
  <c r="V66" i="5"/>
  <c r="V67" i="5"/>
  <c r="V68" i="5"/>
  <c r="V69" i="5"/>
  <c r="V70" i="5"/>
  <c r="V87" i="5"/>
  <c r="W75" i="5"/>
  <c r="W76" i="5"/>
  <c r="W77" i="5"/>
  <c r="W78" i="5"/>
  <c r="W79" i="5"/>
  <c r="W80" i="5"/>
  <c r="W81" i="5"/>
  <c r="W82" i="5"/>
  <c r="W65" i="5"/>
  <c r="W66" i="5"/>
  <c r="W67" i="5"/>
  <c r="W68" i="5"/>
  <c r="W69" i="5"/>
  <c r="W70" i="5"/>
  <c r="W87" i="5"/>
  <c r="X75" i="5"/>
  <c r="X76" i="5"/>
  <c r="X77" i="5"/>
  <c r="X78" i="5"/>
  <c r="X79" i="5"/>
  <c r="X80" i="5"/>
  <c r="X81" i="5"/>
  <c r="X82" i="5"/>
  <c r="X65" i="5"/>
  <c r="X66" i="5"/>
  <c r="X67" i="5"/>
  <c r="X68" i="5"/>
  <c r="X69" i="5"/>
  <c r="X70" i="5"/>
  <c r="X87" i="5"/>
  <c r="Y75" i="5"/>
  <c r="Y76" i="5"/>
  <c r="Y77" i="5"/>
  <c r="Y78" i="5"/>
  <c r="Y79" i="5"/>
  <c r="Y80" i="5"/>
  <c r="Y81" i="5"/>
  <c r="Y82" i="5"/>
  <c r="Y65" i="5"/>
  <c r="Y66" i="5"/>
  <c r="Y67" i="5"/>
  <c r="Y68" i="5"/>
  <c r="Y69" i="5"/>
  <c r="Y70" i="5"/>
  <c r="Y87" i="5"/>
  <c r="Z75" i="5"/>
  <c r="Z76" i="5"/>
  <c r="Z77" i="5"/>
  <c r="Z78" i="5"/>
  <c r="Z79" i="5"/>
  <c r="Z80" i="5"/>
  <c r="Z81" i="5"/>
  <c r="Z82" i="5"/>
  <c r="Z65" i="5"/>
  <c r="Z66" i="5"/>
  <c r="Z67" i="5"/>
  <c r="Z68" i="5"/>
  <c r="Z69" i="5"/>
  <c r="Z70" i="5"/>
  <c r="Z87" i="5"/>
  <c r="D83" i="6"/>
  <c r="E83" i="6"/>
  <c r="F83" i="6"/>
  <c r="G83" i="6"/>
  <c r="H83" i="6"/>
  <c r="J83" i="6"/>
  <c r="K83" i="6"/>
  <c r="L83" i="6"/>
  <c r="M83" i="6"/>
  <c r="N83" i="6"/>
  <c r="O83" i="6"/>
  <c r="R83" i="6"/>
  <c r="S83" i="6"/>
  <c r="T83" i="6"/>
  <c r="U83" i="6"/>
  <c r="V83" i="6"/>
  <c r="W83" i="6"/>
  <c r="X83" i="6"/>
  <c r="Y83" i="6"/>
  <c r="Z83" i="6"/>
  <c r="AC83" i="6"/>
  <c r="AD83" i="6"/>
  <c r="AE83" i="6"/>
  <c r="AF83" i="6"/>
  <c r="AG83" i="6"/>
  <c r="AH83" i="6"/>
  <c r="AI83" i="6"/>
  <c r="AJ83" i="6"/>
  <c r="AK83" i="6"/>
  <c r="AL83" i="6"/>
  <c r="AM83" i="6"/>
  <c r="AN83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BL83" i="6"/>
  <c r="BM83" i="6"/>
  <c r="BN83" i="6"/>
  <c r="BO83" i="6"/>
  <c r="BP83" i="6"/>
  <c r="BQ83" i="6"/>
  <c r="BR83" i="6"/>
  <c r="BS83" i="6"/>
  <c r="BT83" i="6"/>
  <c r="BU83" i="6"/>
  <c r="BV83" i="6"/>
  <c r="BW83" i="6"/>
  <c r="BX83" i="6"/>
  <c r="BY83" i="6"/>
  <c r="BZ83" i="6"/>
  <c r="CA83" i="6"/>
  <c r="CB83" i="6"/>
  <c r="CC83" i="6"/>
  <c r="CD83" i="6"/>
  <c r="CE83" i="6"/>
  <c r="CF83" i="6"/>
  <c r="CG83" i="6"/>
  <c r="CH83" i="6"/>
  <c r="CI83" i="6"/>
  <c r="CJ83" i="6"/>
  <c r="CK83" i="6"/>
  <c r="CL83" i="6"/>
  <c r="CM83" i="6"/>
  <c r="CN83" i="6"/>
  <c r="CO83" i="6"/>
  <c r="CP83" i="6"/>
  <c r="D82" i="6"/>
  <c r="E82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W82" i="6"/>
  <c r="X82" i="6"/>
  <c r="Y82" i="6"/>
  <c r="Z82" i="6"/>
  <c r="AA82" i="6"/>
  <c r="AC82" i="6"/>
  <c r="AD82" i="6"/>
  <c r="AE82" i="6"/>
  <c r="AF82" i="6"/>
  <c r="AG82" i="6"/>
  <c r="AH82" i="6"/>
  <c r="AI82" i="6"/>
  <c r="AJ82" i="6"/>
  <c r="AK82" i="6"/>
  <c r="AL82" i="6"/>
  <c r="AM82" i="6"/>
  <c r="AN82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BL82" i="6"/>
  <c r="BM82" i="6"/>
  <c r="BN82" i="6"/>
  <c r="BO82" i="6"/>
  <c r="BP82" i="6"/>
  <c r="BQ82" i="6"/>
  <c r="BR82" i="6"/>
  <c r="BS82" i="6"/>
  <c r="BT82" i="6"/>
  <c r="BU82" i="6"/>
  <c r="BV82" i="6"/>
  <c r="BW82" i="6"/>
  <c r="BX82" i="6"/>
  <c r="BY82" i="6"/>
  <c r="BZ82" i="6"/>
  <c r="CA82" i="6"/>
  <c r="CB82" i="6"/>
  <c r="CC82" i="6"/>
  <c r="CD82" i="6"/>
  <c r="CE82" i="6"/>
  <c r="CF82" i="6"/>
  <c r="CG82" i="6"/>
  <c r="CH82" i="6"/>
  <c r="CI82" i="6"/>
  <c r="CJ82" i="6"/>
  <c r="CK82" i="6"/>
  <c r="CL82" i="6"/>
  <c r="CM82" i="6"/>
  <c r="CN82" i="6"/>
  <c r="CO82" i="6"/>
  <c r="CP82" i="6"/>
  <c r="C82" i="6"/>
  <c r="AD79" i="6"/>
  <c r="AE79" i="6"/>
  <c r="AF79" i="6"/>
  <c r="AG79" i="6"/>
  <c r="AH79" i="6"/>
  <c r="AI79" i="6"/>
  <c r="AJ79" i="6"/>
  <c r="AK79" i="6"/>
  <c r="AL79" i="6"/>
  <c r="AM79" i="6"/>
  <c r="AN79" i="6"/>
  <c r="AO79" i="6"/>
  <c r="AP79" i="6"/>
  <c r="AQ79" i="6"/>
  <c r="AR79" i="6"/>
  <c r="AS79" i="6"/>
  <c r="AT79" i="6"/>
  <c r="AU79" i="6"/>
  <c r="AV79" i="6"/>
  <c r="AW79" i="6"/>
  <c r="AX79" i="6"/>
  <c r="AY79" i="6"/>
  <c r="AZ79" i="6"/>
  <c r="BA79" i="6"/>
  <c r="BB79" i="6"/>
  <c r="BC79" i="6"/>
  <c r="BD79" i="6"/>
  <c r="BE79" i="6"/>
  <c r="BF79" i="6"/>
  <c r="BG79" i="6"/>
  <c r="BH79" i="6"/>
  <c r="BI79" i="6"/>
  <c r="BJ79" i="6"/>
  <c r="BK79" i="6"/>
  <c r="BL79" i="6"/>
  <c r="BM79" i="6"/>
  <c r="BN79" i="6"/>
  <c r="BO79" i="6"/>
  <c r="BP79" i="6"/>
  <c r="BQ79" i="6"/>
  <c r="BR79" i="6"/>
  <c r="BS79" i="6"/>
  <c r="BT79" i="6"/>
  <c r="BU79" i="6"/>
  <c r="BV79" i="6"/>
  <c r="BW79" i="6"/>
  <c r="BX79" i="6"/>
  <c r="BY79" i="6"/>
  <c r="BZ79" i="6"/>
  <c r="CA79" i="6"/>
  <c r="CB79" i="6"/>
  <c r="CC79" i="6"/>
  <c r="CD79" i="6"/>
  <c r="CE79" i="6"/>
  <c r="CF79" i="6"/>
  <c r="CG79" i="6"/>
  <c r="CH79" i="6"/>
  <c r="CI79" i="6"/>
  <c r="CJ79" i="6"/>
  <c r="CK79" i="6"/>
  <c r="CL79" i="6"/>
  <c r="CM79" i="6"/>
  <c r="CN79" i="6"/>
  <c r="CO79" i="6"/>
  <c r="CP79" i="6"/>
  <c r="AD69" i="6"/>
  <c r="AE69" i="6"/>
  <c r="AF69" i="6"/>
  <c r="AG69" i="6"/>
  <c r="AH69" i="6"/>
  <c r="AI69" i="6"/>
  <c r="AJ69" i="6"/>
  <c r="AK69" i="6"/>
  <c r="AL69" i="6"/>
  <c r="AM69" i="6"/>
  <c r="AN69" i="6"/>
  <c r="AO69" i="6"/>
  <c r="AP69" i="6"/>
  <c r="AQ69" i="6"/>
  <c r="AR69" i="6"/>
  <c r="AS69" i="6"/>
  <c r="AT69" i="6"/>
  <c r="AU69" i="6"/>
  <c r="AV69" i="6"/>
  <c r="AW69" i="6"/>
  <c r="AX69" i="6"/>
  <c r="AY69" i="6"/>
  <c r="AZ69" i="6"/>
  <c r="BA69" i="6"/>
  <c r="BB69" i="6"/>
  <c r="BC69" i="6"/>
  <c r="BD69" i="6"/>
  <c r="BE69" i="6"/>
  <c r="BF69" i="6"/>
  <c r="BG69" i="6"/>
  <c r="BH69" i="6"/>
  <c r="BI69" i="6"/>
  <c r="BJ69" i="6"/>
  <c r="BK69" i="6"/>
  <c r="BL69" i="6"/>
  <c r="BM69" i="6"/>
  <c r="BN69" i="6"/>
  <c r="BO69" i="6"/>
  <c r="BP69" i="6"/>
  <c r="BQ69" i="6"/>
  <c r="BR69" i="6"/>
  <c r="BS69" i="6"/>
  <c r="BT69" i="6"/>
  <c r="BU69" i="6"/>
  <c r="BV69" i="6"/>
  <c r="BW69" i="6"/>
  <c r="BX69" i="6"/>
  <c r="BY69" i="6"/>
  <c r="BZ69" i="6"/>
  <c r="CA69" i="6"/>
  <c r="CB69" i="6"/>
  <c r="CC69" i="6"/>
  <c r="CD69" i="6"/>
  <c r="CE69" i="6"/>
  <c r="CF69" i="6"/>
  <c r="CG69" i="6"/>
  <c r="CH69" i="6"/>
  <c r="CI69" i="6"/>
  <c r="CJ69" i="6"/>
  <c r="CK69" i="6"/>
  <c r="CL69" i="6"/>
  <c r="CM69" i="6"/>
  <c r="CN69" i="6"/>
  <c r="CO69" i="6"/>
  <c r="CP69" i="6"/>
  <c r="AC79" i="6"/>
  <c r="AC69" i="6"/>
  <c r="D79" i="6"/>
  <c r="E79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W79" i="6"/>
  <c r="X79" i="6"/>
  <c r="Y79" i="6"/>
  <c r="Z79" i="6"/>
  <c r="AA79" i="6"/>
  <c r="D69" i="6"/>
  <c r="E69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W69" i="6"/>
  <c r="X69" i="6"/>
  <c r="Y69" i="6"/>
  <c r="Z69" i="6"/>
  <c r="AA69" i="6"/>
  <c r="C79" i="6"/>
  <c r="C69" i="6"/>
  <c r="AB87" i="5"/>
  <c r="AR75" i="5"/>
  <c r="AR76" i="5"/>
  <c r="AR77" i="5"/>
  <c r="AR78" i="5"/>
  <c r="AR79" i="5"/>
  <c r="AR80" i="5"/>
  <c r="AR81" i="5"/>
  <c r="AR82" i="5"/>
  <c r="AR65" i="5"/>
  <c r="AR66" i="5"/>
  <c r="AR67" i="5"/>
  <c r="AR68" i="5"/>
  <c r="AR69" i="5"/>
  <c r="AR70" i="5"/>
  <c r="AR87" i="5"/>
  <c r="AD37" i="5"/>
  <c r="AC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CD37" i="5"/>
  <c r="CE37" i="5"/>
  <c r="CF37" i="5"/>
  <c r="CG37" i="5"/>
  <c r="CH37" i="5"/>
  <c r="CI37" i="5"/>
  <c r="CJ37" i="5"/>
  <c r="CK37" i="5"/>
  <c r="CL37" i="5"/>
  <c r="CM37" i="5"/>
  <c r="CN37" i="5"/>
  <c r="CO37" i="5"/>
  <c r="CP37" i="5"/>
  <c r="CQ37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CD64" i="5"/>
  <c r="CE64" i="5"/>
  <c r="CF64" i="5"/>
  <c r="CG64" i="5"/>
  <c r="CH64" i="5"/>
  <c r="CI64" i="5"/>
  <c r="CJ64" i="5"/>
  <c r="CK64" i="5"/>
  <c r="CL64" i="5"/>
  <c r="CM64" i="5"/>
  <c r="CN64" i="5"/>
  <c r="CO64" i="5"/>
  <c r="CP64" i="5"/>
  <c r="AC64" i="5"/>
  <c r="D37" i="5"/>
  <c r="C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C64" i="5"/>
  <c r="CQ6" i="5"/>
  <c r="CQ17" i="5"/>
  <c r="CQ7" i="5"/>
  <c r="CQ8" i="5"/>
  <c r="CQ9" i="5"/>
  <c r="CQ10" i="5"/>
  <c r="CQ11" i="5"/>
  <c r="CQ18" i="5"/>
  <c r="CQ19" i="5"/>
  <c r="CQ20" i="5"/>
  <c r="CQ21" i="5"/>
  <c r="CQ22" i="5"/>
  <c r="CQ23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CD57" i="5"/>
  <c r="CE57" i="5"/>
  <c r="CF57" i="5"/>
  <c r="CG57" i="5"/>
  <c r="CH57" i="5"/>
  <c r="CI57" i="5"/>
  <c r="CJ57" i="5"/>
  <c r="CK57" i="5"/>
  <c r="CL57" i="5"/>
  <c r="CM57" i="5"/>
  <c r="CN57" i="5"/>
  <c r="CO57" i="5"/>
  <c r="CP57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AQ83" i="5"/>
  <c r="AR83" i="5"/>
  <c r="AS83" i="5"/>
  <c r="AT83" i="5"/>
  <c r="AU83" i="5"/>
  <c r="AV83" i="5"/>
  <c r="AW83" i="5"/>
  <c r="AX83" i="5"/>
  <c r="AY83" i="5"/>
  <c r="AZ83" i="5"/>
  <c r="BA83" i="5"/>
  <c r="BB83" i="5"/>
  <c r="BC83" i="5"/>
  <c r="BD83" i="5"/>
  <c r="BE83" i="5"/>
  <c r="BF83" i="5"/>
  <c r="BG83" i="5"/>
  <c r="BH83" i="5"/>
  <c r="BI83" i="5"/>
  <c r="BJ83" i="5"/>
  <c r="BK83" i="5"/>
  <c r="BL83" i="5"/>
  <c r="BM83" i="5"/>
  <c r="BN83" i="5"/>
  <c r="BO83" i="5"/>
  <c r="BP83" i="5"/>
  <c r="BQ83" i="5"/>
  <c r="BR83" i="5"/>
  <c r="BS83" i="5"/>
  <c r="BT83" i="5"/>
  <c r="BU83" i="5"/>
  <c r="BV83" i="5"/>
  <c r="BW83" i="5"/>
  <c r="BX83" i="5"/>
  <c r="BY83" i="5"/>
  <c r="BZ83" i="5"/>
  <c r="CA83" i="5"/>
  <c r="CB83" i="5"/>
  <c r="CC83" i="5"/>
  <c r="CD83" i="5"/>
  <c r="CE83" i="5"/>
  <c r="CF83" i="5"/>
  <c r="CG83" i="5"/>
  <c r="CH83" i="5"/>
  <c r="CI83" i="5"/>
  <c r="CJ83" i="5"/>
  <c r="CK83" i="5"/>
  <c r="CL83" i="5"/>
  <c r="CM83" i="5"/>
  <c r="CN83" i="5"/>
  <c r="CO83" i="5"/>
  <c r="CP83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CD71" i="5"/>
  <c r="CE71" i="5"/>
  <c r="CF71" i="5"/>
  <c r="CG71" i="5"/>
  <c r="CH71" i="5"/>
  <c r="CI71" i="5"/>
  <c r="CJ71" i="5"/>
  <c r="CK71" i="5"/>
  <c r="CL71" i="5"/>
  <c r="CM71" i="5"/>
  <c r="CN71" i="5"/>
  <c r="CO71" i="5"/>
  <c r="CP71" i="5"/>
  <c r="C57" i="5"/>
  <c r="C83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CD55" i="5"/>
  <c r="CE55" i="5"/>
  <c r="CF55" i="5"/>
  <c r="CG55" i="5"/>
  <c r="CH55" i="5"/>
  <c r="CI55" i="5"/>
  <c r="CJ55" i="5"/>
  <c r="CK55" i="5"/>
  <c r="CL55" i="5"/>
  <c r="CM55" i="5"/>
  <c r="CN55" i="5"/>
  <c r="CO55" i="5"/>
  <c r="CP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CD56" i="5"/>
  <c r="CE56" i="5"/>
  <c r="CF56" i="5"/>
  <c r="CG56" i="5"/>
  <c r="CH56" i="5"/>
  <c r="CI56" i="5"/>
  <c r="CJ56" i="5"/>
  <c r="CK56" i="5"/>
  <c r="CL56" i="5"/>
  <c r="CM56" i="5"/>
  <c r="CN56" i="5"/>
  <c r="CO56" i="5"/>
  <c r="CP56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CD43" i="5"/>
  <c r="CE43" i="5"/>
  <c r="CF43" i="5"/>
  <c r="CG43" i="5"/>
  <c r="CH43" i="5"/>
  <c r="CI43" i="5"/>
  <c r="CJ43" i="5"/>
  <c r="CK43" i="5"/>
  <c r="CL43" i="5"/>
  <c r="CM43" i="5"/>
  <c r="CN43" i="5"/>
  <c r="CO43" i="5"/>
  <c r="CP43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D43" i="5"/>
  <c r="D44" i="5"/>
  <c r="C56" i="5"/>
  <c r="C5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CD26" i="5"/>
  <c r="CE26" i="5"/>
  <c r="CF26" i="5"/>
  <c r="CG26" i="5"/>
  <c r="CH26" i="5"/>
  <c r="CI26" i="5"/>
  <c r="CJ26" i="5"/>
  <c r="CK26" i="5"/>
  <c r="CL26" i="5"/>
  <c r="CM26" i="5"/>
  <c r="CN26" i="5"/>
  <c r="CO26" i="5"/>
  <c r="CP26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I14" i="5"/>
  <c r="CJ14" i="5"/>
  <c r="CK14" i="5"/>
  <c r="CL14" i="5"/>
  <c r="CM14" i="5"/>
  <c r="CN14" i="5"/>
  <c r="CO14" i="5"/>
  <c r="CP14" i="5"/>
  <c r="C26" i="5"/>
  <c r="C14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CD28" i="5"/>
  <c r="CE28" i="5"/>
  <c r="CF28" i="5"/>
  <c r="CG28" i="5"/>
  <c r="CH28" i="5"/>
  <c r="CI28" i="5"/>
  <c r="CJ28" i="5"/>
  <c r="CK28" i="5"/>
  <c r="CL28" i="5"/>
  <c r="CM28" i="5"/>
  <c r="CN28" i="5"/>
  <c r="CO28" i="5"/>
  <c r="CP28" i="5"/>
  <c r="C28" i="5"/>
  <c r="D54" i="6"/>
  <c r="E54" i="6"/>
  <c r="F54" i="6"/>
  <c r="G54" i="6"/>
  <c r="H54" i="6"/>
  <c r="I54" i="6"/>
  <c r="J54" i="6"/>
  <c r="K54" i="6"/>
  <c r="L54" i="6"/>
  <c r="M54" i="6"/>
  <c r="N54" i="6"/>
  <c r="O54" i="6"/>
  <c r="P54" i="6"/>
  <c r="Q54" i="6"/>
  <c r="R54" i="6"/>
  <c r="S54" i="6"/>
  <c r="T54" i="6"/>
  <c r="U54" i="6"/>
  <c r="V54" i="6"/>
  <c r="W54" i="6"/>
  <c r="X54" i="6"/>
  <c r="Y54" i="6"/>
  <c r="Z54" i="6"/>
  <c r="AA54" i="6"/>
  <c r="AC54" i="6"/>
  <c r="AD54" i="6"/>
  <c r="AE54" i="6"/>
  <c r="AF54" i="6"/>
  <c r="AG54" i="6"/>
  <c r="AH54" i="6"/>
  <c r="AI54" i="6"/>
  <c r="AJ54" i="6"/>
  <c r="AK54" i="6"/>
  <c r="AL54" i="6"/>
  <c r="AM54" i="6"/>
  <c r="AN54" i="6"/>
  <c r="AO54" i="6"/>
  <c r="AP54" i="6"/>
  <c r="AQ54" i="6"/>
  <c r="AR54" i="6"/>
  <c r="AS54" i="6"/>
  <c r="AT54" i="6"/>
  <c r="AU54" i="6"/>
  <c r="AV54" i="6"/>
  <c r="AW54" i="6"/>
  <c r="AX54" i="6"/>
  <c r="AY54" i="6"/>
  <c r="AZ54" i="6"/>
  <c r="BA54" i="6"/>
  <c r="BB54" i="6"/>
  <c r="BC54" i="6"/>
  <c r="BD54" i="6"/>
  <c r="BE54" i="6"/>
  <c r="BF54" i="6"/>
  <c r="BG54" i="6"/>
  <c r="BH54" i="6"/>
  <c r="BI54" i="6"/>
  <c r="BJ54" i="6"/>
  <c r="BK54" i="6"/>
  <c r="BL54" i="6"/>
  <c r="BM54" i="6"/>
  <c r="BN54" i="6"/>
  <c r="BO54" i="6"/>
  <c r="BP54" i="6"/>
  <c r="BQ54" i="6"/>
  <c r="BR54" i="6"/>
  <c r="BS54" i="6"/>
  <c r="BT54" i="6"/>
  <c r="BU54" i="6"/>
  <c r="BV54" i="6"/>
  <c r="BW54" i="6"/>
  <c r="BX54" i="6"/>
  <c r="BY54" i="6"/>
  <c r="BZ54" i="6"/>
  <c r="CA54" i="6"/>
  <c r="CB54" i="6"/>
  <c r="CC54" i="6"/>
  <c r="CD54" i="6"/>
  <c r="CE54" i="6"/>
  <c r="CF54" i="6"/>
  <c r="CG54" i="6"/>
  <c r="CH54" i="6"/>
  <c r="CI54" i="6"/>
  <c r="CJ54" i="6"/>
  <c r="CK54" i="6"/>
  <c r="CL54" i="6"/>
  <c r="CM54" i="6"/>
  <c r="CN54" i="6"/>
  <c r="CO54" i="6"/>
  <c r="CP54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Q53" i="6"/>
  <c r="R53" i="6"/>
  <c r="S53" i="6"/>
  <c r="T53" i="6"/>
  <c r="U53" i="6"/>
  <c r="V53" i="6"/>
  <c r="W53" i="6"/>
  <c r="X53" i="6"/>
  <c r="Y53" i="6"/>
  <c r="Z53" i="6"/>
  <c r="AA53" i="6"/>
  <c r="AC53" i="6"/>
  <c r="AD53" i="6"/>
  <c r="AE53" i="6"/>
  <c r="AF53" i="6"/>
  <c r="AG53" i="6"/>
  <c r="AH53" i="6"/>
  <c r="AI53" i="6"/>
  <c r="AJ53" i="6"/>
  <c r="AK53" i="6"/>
  <c r="AL53" i="6"/>
  <c r="AM53" i="6"/>
  <c r="AN53" i="6"/>
  <c r="AO53" i="6"/>
  <c r="AP53" i="6"/>
  <c r="AQ53" i="6"/>
  <c r="AR53" i="6"/>
  <c r="AS53" i="6"/>
  <c r="AT53" i="6"/>
  <c r="AU53" i="6"/>
  <c r="AV53" i="6"/>
  <c r="AW53" i="6"/>
  <c r="AX53" i="6"/>
  <c r="AY53" i="6"/>
  <c r="AZ53" i="6"/>
  <c r="BA53" i="6"/>
  <c r="BB53" i="6"/>
  <c r="BC53" i="6"/>
  <c r="BD53" i="6"/>
  <c r="BE53" i="6"/>
  <c r="BF53" i="6"/>
  <c r="BG53" i="6"/>
  <c r="BH53" i="6"/>
  <c r="BI53" i="6"/>
  <c r="BJ53" i="6"/>
  <c r="BK53" i="6"/>
  <c r="BL53" i="6"/>
  <c r="BM53" i="6"/>
  <c r="BN53" i="6"/>
  <c r="BO53" i="6"/>
  <c r="BP53" i="6"/>
  <c r="BQ53" i="6"/>
  <c r="BR53" i="6"/>
  <c r="BS53" i="6"/>
  <c r="BT53" i="6"/>
  <c r="BU53" i="6"/>
  <c r="BV53" i="6"/>
  <c r="BW53" i="6"/>
  <c r="BX53" i="6"/>
  <c r="BY53" i="6"/>
  <c r="BZ53" i="6"/>
  <c r="CA53" i="6"/>
  <c r="CB53" i="6"/>
  <c r="CC53" i="6"/>
  <c r="CD53" i="6"/>
  <c r="CE53" i="6"/>
  <c r="CF53" i="6"/>
  <c r="CG53" i="6"/>
  <c r="CH53" i="6"/>
  <c r="CI53" i="6"/>
  <c r="CJ53" i="6"/>
  <c r="CK53" i="6"/>
  <c r="CL53" i="6"/>
  <c r="CM53" i="6"/>
  <c r="CN53" i="6"/>
  <c r="CO53" i="6"/>
  <c r="CP53" i="6"/>
  <c r="D44" i="6"/>
  <c r="E44" i="6"/>
  <c r="F44" i="6"/>
  <c r="G44" i="6"/>
  <c r="H44" i="6"/>
  <c r="I44" i="6"/>
  <c r="J44" i="6"/>
  <c r="K44" i="6"/>
  <c r="L44" i="6"/>
  <c r="M44" i="6"/>
  <c r="N44" i="6"/>
  <c r="O44" i="6"/>
  <c r="P44" i="6"/>
  <c r="Q44" i="6"/>
  <c r="R44" i="6"/>
  <c r="S44" i="6"/>
  <c r="T44" i="6"/>
  <c r="U44" i="6"/>
  <c r="V44" i="6"/>
  <c r="W44" i="6"/>
  <c r="X44" i="6"/>
  <c r="Y44" i="6"/>
  <c r="Z44" i="6"/>
  <c r="AA44" i="6"/>
  <c r="AC44" i="6"/>
  <c r="AD44" i="6"/>
  <c r="AE44" i="6"/>
  <c r="AF44" i="6"/>
  <c r="AG44" i="6"/>
  <c r="AH44" i="6"/>
  <c r="AI44" i="6"/>
  <c r="AJ44" i="6"/>
  <c r="AK44" i="6"/>
  <c r="AL44" i="6"/>
  <c r="AM44" i="6"/>
  <c r="AN44" i="6"/>
  <c r="AO44" i="6"/>
  <c r="AP44" i="6"/>
  <c r="AQ44" i="6"/>
  <c r="AR44" i="6"/>
  <c r="AS44" i="6"/>
  <c r="AT44" i="6"/>
  <c r="AU44" i="6"/>
  <c r="AV44" i="6"/>
  <c r="AW44" i="6"/>
  <c r="AX44" i="6"/>
  <c r="AY44" i="6"/>
  <c r="AZ44" i="6"/>
  <c r="BA44" i="6"/>
  <c r="BB44" i="6"/>
  <c r="BC44" i="6"/>
  <c r="BD44" i="6"/>
  <c r="BE44" i="6"/>
  <c r="BF44" i="6"/>
  <c r="BG44" i="6"/>
  <c r="BH44" i="6"/>
  <c r="BI44" i="6"/>
  <c r="BJ44" i="6"/>
  <c r="BK44" i="6"/>
  <c r="BL44" i="6"/>
  <c r="BM44" i="6"/>
  <c r="BN44" i="6"/>
  <c r="BO44" i="6"/>
  <c r="BP44" i="6"/>
  <c r="BQ44" i="6"/>
  <c r="BR44" i="6"/>
  <c r="BS44" i="6"/>
  <c r="BT44" i="6"/>
  <c r="BU44" i="6"/>
  <c r="BV44" i="6"/>
  <c r="BW44" i="6"/>
  <c r="BX44" i="6"/>
  <c r="BY44" i="6"/>
  <c r="BZ44" i="6"/>
  <c r="CA44" i="6"/>
  <c r="CB44" i="6"/>
  <c r="CC44" i="6"/>
  <c r="CD44" i="6"/>
  <c r="CE44" i="6"/>
  <c r="CF44" i="6"/>
  <c r="CG44" i="6"/>
  <c r="CH44" i="6"/>
  <c r="CI44" i="6"/>
  <c r="CJ44" i="6"/>
  <c r="CK44" i="6"/>
  <c r="CL44" i="6"/>
  <c r="CM44" i="6"/>
  <c r="CN44" i="6"/>
  <c r="CO44" i="6"/>
  <c r="CP44" i="6"/>
  <c r="D43" i="6"/>
  <c r="E43" i="6"/>
  <c r="F43" i="6"/>
  <c r="G43" i="6"/>
  <c r="H43" i="6"/>
  <c r="I43" i="6"/>
  <c r="J43" i="6"/>
  <c r="K43" i="6"/>
  <c r="L43" i="6"/>
  <c r="M43" i="6"/>
  <c r="N43" i="6"/>
  <c r="O43" i="6"/>
  <c r="P43" i="6"/>
  <c r="Q43" i="6"/>
  <c r="R43" i="6"/>
  <c r="S43" i="6"/>
  <c r="T43" i="6"/>
  <c r="U43" i="6"/>
  <c r="V43" i="6"/>
  <c r="W43" i="6"/>
  <c r="X43" i="6"/>
  <c r="Y43" i="6"/>
  <c r="Z43" i="6"/>
  <c r="AA43" i="6"/>
  <c r="AC43" i="6"/>
  <c r="AD43" i="6"/>
  <c r="AE43" i="6"/>
  <c r="AF43" i="6"/>
  <c r="AG43" i="6"/>
  <c r="AH43" i="6"/>
  <c r="AI43" i="6"/>
  <c r="AJ43" i="6"/>
  <c r="AK43" i="6"/>
  <c r="AL43" i="6"/>
  <c r="AM43" i="6"/>
  <c r="AN43" i="6"/>
  <c r="AO43" i="6"/>
  <c r="AP43" i="6"/>
  <c r="AQ43" i="6"/>
  <c r="AR43" i="6"/>
  <c r="AS43" i="6"/>
  <c r="AT43" i="6"/>
  <c r="AU43" i="6"/>
  <c r="AV43" i="6"/>
  <c r="AW43" i="6"/>
  <c r="AX43" i="6"/>
  <c r="AY43" i="6"/>
  <c r="AZ43" i="6"/>
  <c r="BA43" i="6"/>
  <c r="BB43" i="6"/>
  <c r="BC43" i="6"/>
  <c r="BD43" i="6"/>
  <c r="BE43" i="6"/>
  <c r="BF43" i="6"/>
  <c r="BG43" i="6"/>
  <c r="BH43" i="6"/>
  <c r="BI43" i="6"/>
  <c r="BJ43" i="6"/>
  <c r="BK43" i="6"/>
  <c r="BL43" i="6"/>
  <c r="BM43" i="6"/>
  <c r="BN43" i="6"/>
  <c r="BO43" i="6"/>
  <c r="BP43" i="6"/>
  <c r="BQ43" i="6"/>
  <c r="BR43" i="6"/>
  <c r="BS43" i="6"/>
  <c r="BT43" i="6"/>
  <c r="BU43" i="6"/>
  <c r="BV43" i="6"/>
  <c r="BW43" i="6"/>
  <c r="BX43" i="6"/>
  <c r="BY43" i="6"/>
  <c r="BZ43" i="6"/>
  <c r="CA43" i="6"/>
  <c r="CB43" i="6"/>
  <c r="CC43" i="6"/>
  <c r="CD43" i="6"/>
  <c r="CE43" i="6"/>
  <c r="CF43" i="6"/>
  <c r="CG43" i="6"/>
  <c r="CH43" i="6"/>
  <c r="CI43" i="6"/>
  <c r="CJ43" i="6"/>
  <c r="CK43" i="6"/>
  <c r="CL43" i="6"/>
  <c r="CM43" i="6"/>
  <c r="CN43" i="6"/>
  <c r="CO43" i="6"/>
  <c r="CP43" i="6"/>
  <c r="C54" i="6"/>
  <c r="C53" i="6"/>
  <c r="C44" i="6"/>
  <c r="C43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D24" i="6"/>
  <c r="CE24" i="6"/>
  <c r="CF24" i="6"/>
  <c r="CG24" i="6"/>
  <c r="CH24" i="6"/>
  <c r="CI24" i="6"/>
  <c r="CJ24" i="6"/>
  <c r="CK24" i="6"/>
  <c r="CL24" i="6"/>
  <c r="CM24" i="6"/>
  <c r="CN24" i="6"/>
  <c r="CO24" i="6"/>
  <c r="CP24" i="6"/>
  <c r="C2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14" i="6"/>
  <c r="CP26" i="6"/>
  <c r="CO26" i="6"/>
  <c r="CN26" i="6"/>
  <c r="CM26" i="6"/>
  <c r="CL26" i="6"/>
  <c r="CK26" i="6"/>
  <c r="CJ26" i="6"/>
  <c r="CI26" i="6"/>
  <c r="CH26" i="6"/>
  <c r="CG26" i="6"/>
  <c r="CF26" i="6"/>
  <c r="CE26" i="6"/>
  <c r="CD26" i="6"/>
  <c r="CC26" i="6"/>
  <c r="CB26" i="6"/>
  <c r="CA26" i="6"/>
  <c r="BZ26" i="6"/>
  <c r="BY26" i="6"/>
  <c r="BX26" i="6"/>
  <c r="BW26" i="6"/>
  <c r="BV26" i="6"/>
  <c r="BU26" i="6"/>
  <c r="BT26" i="6"/>
  <c r="BS26" i="6"/>
  <c r="BR26" i="6"/>
  <c r="BQ26" i="6"/>
  <c r="BP26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CP13" i="6"/>
  <c r="CO13" i="6"/>
  <c r="CN13" i="6"/>
  <c r="CM13" i="6"/>
  <c r="CL13" i="6"/>
  <c r="CK13" i="6"/>
  <c r="CJ13" i="6"/>
  <c r="CI13" i="6"/>
  <c r="CH13" i="6"/>
  <c r="CG13" i="6"/>
  <c r="CF13" i="6"/>
  <c r="CE13" i="6"/>
  <c r="CD13" i="6"/>
  <c r="CC13" i="6"/>
  <c r="CB13" i="6"/>
  <c r="CA13" i="6"/>
  <c r="BZ13" i="6"/>
  <c r="BY13" i="6"/>
  <c r="BX13" i="6"/>
  <c r="BW13" i="6"/>
  <c r="BV13" i="6"/>
  <c r="BU13" i="6"/>
  <c r="BT13" i="6"/>
  <c r="BS13" i="6"/>
  <c r="BR13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CP12" i="6"/>
  <c r="CO12" i="6"/>
  <c r="CN12" i="6"/>
  <c r="CM12" i="6"/>
  <c r="CL12" i="6"/>
  <c r="CK12" i="6"/>
  <c r="CJ12" i="6"/>
  <c r="CI12" i="6"/>
  <c r="CH12" i="6"/>
  <c r="CG12" i="6"/>
  <c r="CF12" i="6"/>
  <c r="CE12" i="6"/>
  <c r="CD12" i="6"/>
  <c r="CC12" i="6"/>
  <c r="CB12" i="6"/>
  <c r="CA12" i="6"/>
  <c r="BZ12" i="6"/>
  <c r="BY12" i="6"/>
  <c r="BX12" i="6"/>
  <c r="BW12" i="6"/>
  <c r="BV12" i="6"/>
  <c r="BU12" i="6"/>
  <c r="BT12" i="6"/>
  <c r="BS12" i="6"/>
  <c r="BR12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Q86" i="5"/>
  <c r="BP86" i="5"/>
  <c r="BO86" i="5"/>
  <c r="BN86" i="5"/>
  <c r="BM86" i="5"/>
  <c r="BL86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P86" i="5"/>
  <c r="CO86" i="5"/>
  <c r="CN86" i="5"/>
  <c r="CM86" i="5"/>
  <c r="CL86" i="5"/>
  <c r="CK86" i="5"/>
  <c r="CJ86" i="5"/>
  <c r="CI86" i="5"/>
  <c r="CH86" i="5"/>
  <c r="CG86" i="5"/>
  <c r="CF86" i="5"/>
  <c r="CE86" i="5"/>
  <c r="CD86" i="5"/>
  <c r="CC86" i="5"/>
  <c r="CB86" i="5"/>
  <c r="CA86" i="5"/>
  <c r="BZ86" i="5"/>
  <c r="BY86" i="5"/>
  <c r="BX86" i="5"/>
  <c r="BW86" i="5"/>
  <c r="BV86" i="5"/>
  <c r="BU86" i="5"/>
  <c r="BT86" i="5"/>
  <c r="BS86" i="5"/>
  <c r="BR86" i="5"/>
  <c r="C45" i="5"/>
  <c r="C71" i="5"/>
  <c r="C44" i="5"/>
  <c r="C43" i="5"/>
  <c r="C86" i="5"/>
  <c r="AQ86" i="5"/>
</calcChain>
</file>

<file path=xl/sharedStrings.xml><?xml version="1.0" encoding="utf-8"?>
<sst xmlns="http://schemas.openxmlformats.org/spreadsheetml/2006/main" count="831" uniqueCount="167">
  <si>
    <t>Name</t>
  </si>
  <si>
    <t>Group</t>
  </si>
  <si>
    <t>DAG(15_0/15_0)</t>
  </si>
  <si>
    <t xml:space="preserve">DAG(16_0/16_1) </t>
  </si>
  <si>
    <t xml:space="preserve">DAG(16_0/18_1) </t>
  </si>
  <si>
    <t xml:space="preserve">DAG(16_0/18_2) </t>
  </si>
  <si>
    <t xml:space="preserve">DAG(16_0/19_2) </t>
  </si>
  <si>
    <t xml:space="preserve">DAG(16_0/20_0) </t>
  </si>
  <si>
    <t xml:space="preserve">DAG(16_0/20_3) </t>
  </si>
  <si>
    <t xml:space="preserve">DAG(16_1/14_0) </t>
  </si>
  <si>
    <t xml:space="preserve">DAG(16_1/14_1)/IS </t>
  </si>
  <si>
    <t xml:space="preserve">DAG(16_1/16_1) </t>
  </si>
  <si>
    <t xml:space="preserve">DAG(16_1/17_0) </t>
  </si>
  <si>
    <t xml:space="preserve">DAG(16_1/17_1) </t>
  </si>
  <si>
    <t xml:space="preserve">DAG(16_1/18_0) </t>
  </si>
  <si>
    <t xml:space="preserve">DAG(16_1/18_2) </t>
  </si>
  <si>
    <t xml:space="preserve">DAG(16_1/18_3) </t>
  </si>
  <si>
    <t xml:space="preserve">DAG(18_0/12_0) </t>
  </si>
  <si>
    <t xml:space="preserve">DAG(18_0/14_0) </t>
  </si>
  <si>
    <t xml:space="preserve">DAG(18_0/16_0) </t>
  </si>
  <si>
    <t xml:space="preserve">DAG(18_0/16_1) </t>
  </si>
  <si>
    <t xml:space="preserve">DAG(18_0/18_1) </t>
  </si>
  <si>
    <t xml:space="preserve">DAG(18_0/18_2) </t>
  </si>
  <si>
    <t xml:space="preserve">DAG(18_1/14_0) </t>
  </si>
  <si>
    <t xml:space="preserve">DAG(18_1/16_1) </t>
  </si>
  <si>
    <t>DAG(18_1/18_1)</t>
  </si>
  <si>
    <t xml:space="preserve">DAG(20_5/18_0) </t>
  </si>
  <si>
    <t xml:space="preserve">TAG(16_0/14_1/14_0) </t>
  </si>
  <si>
    <t xml:space="preserve">TAG(16_0/16_0/14_1) </t>
  </si>
  <si>
    <t xml:space="preserve">TAG(16_0/16_0/16_1) </t>
  </si>
  <si>
    <t xml:space="preserve">TAG(16_0/16_1/14_1) </t>
  </si>
  <si>
    <t xml:space="preserve">TAG(16_0/16_1/16_1) </t>
  </si>
  <si>
    <t xml:space="preserve">TAG(16_0/18_1/16_0) </t>
  </si>
  <si>
    <t xml:space="preserve">TAG(16_0/18_1/16_1) </t>
  </si>
  <si>
    <t xml:space="preserve">TAG(16_0/18_1/18_1) </t>
  </si>
  <si>
    <t xml:space="preserve">TAG(16_0/18_1/20_5) </t>
  </si>
  <si>
    <t xml:space="preserve">TAG(16_1/14_0/14_0) </t>
  </si>
  <si>
    <t xml:space="preserve">TAG(16_1/14_1/14_0) </t>
  </si>
  <si>
    <t xml:space="preserve">TAG(16_1/14_1/14_1) </t>
  </si>
  <si>
    <t xml:space="preserve">TAG(16_1/15_0/14_0) </t>
  </si>
  <si>
    <t xml:space="preserve">TAG(16_1/15_1/14_0) </t>
  </si>
  <si>
    <t xml:space="preserve">TAG(16_1/16_0/14_1) </t>
  </si>
  <si>
    <t xml:space="preserve">TAG(16_1/16_0/16_1) </t>
  </si>
  <si>
    <t xml:space="preserve">TAG(16_1/16_1/14_1) </t>
  </si>
  <si>
    <t xml:space="preserve">TAG(16_1/16_1/16_1) </t>
  </si>
  <si>
    <t xml:space="preserve">TAG(16_1/16_2/14_1) </t>
  </si>
  <si>
    <t xml:space="preserve">TAG(16_1/16_2/16_1) </t>
  </si>
  <si>
    <t xml:space="preserve">TAG(16_1/16_2/16_2) </t>
  </si>
  <si>
    <t xml:space="preserve">TAG(16_1/17_0/14_1) </t>
  </si>
  <si>
    <t xml:space="preserve">TAG(16_1/17_0/16_1) </t>
  </si>
  <si>
    <t xml:space="preserve">TAG(16_1/17_0/16_2) </t>
  </si>
  <si>
    <t xml:space="preserve">TAG(16_1/17_1/14_1) </t>
  </si>
  <si>
    <t xml:space="preserve">TAG(16_1/18_0/16_0) </t>
  </si>
  <si>
    <t xml:space="preserve">TAG(16_1/18_0/18_1) </t>
  </si>
  <si>
    <t xml:space="preserve">TAG(16_1/18_0/20_5) </t>
  </si>
  <si>
    <t xml:space="preserve">TAG(16_1/18_1/16_0) </t>
  </si>
  <si>
    <t xml:space="preserve">TAG(16_1/18_1/16_1) </t>
  </si>
  <si>
    <t xml:space="preserve">TAG(16_1/18_1/16_2) </t>
  </si>
  <si>
    <t xml:space="preserve">TAG(16_1/18_1/16_3) </t>
  </si>
  <si>
    <t xml:space="preserve">TAG(16_1/18_1/18_1) </t>
  </si>
  <si>
    <t xml:space="preserve">TAG(16_1/18_1/20_1) </t>
  </si>
  <si>
    <t xml:space="preserve">TAG(16_1/18_1/20_5) </t>
  </si>
  <si>
    <t xml:space="preserve">TAG(16_1/18_2/16_2) </t>
  </si>
  <si>
    <t xml:space="preserve">TAG(16_1/18_2/18_1) </t>
  </si>
  <si>
    <t xml:space="preserve">TAG(16_1/18_2/18_2) </t>
  </si>
  <si>
    <t xml:space="preserve">TAG(17_0/17_0/17_0)/IS </t>
  </si>
  <si>
    <t xml:space="preserve">TAG(18_0/14_1/14_1) </t>
  </si>
  <si>
    <t xml:space="preserve">TAG(18_0/16_0/16_0) </t>
  </si>
  <si>
    <t xml:space="preserve">TAG(18_0/16_1/14_0) </t>
  </si>
  <si>
    <t xml:space="preserve">TAG(18_0/16_1/14_1) </t>
  </si>
  <si>
    <t xml:space="preserve">TAG(18_0/16_1/16_0) </t>
  </si>
  <si>
    <t xml:space="preserve">TAG(18_0/16_1/16_1) </t>
  </si>
  <si>
    <t xml:space="preserve">TAG(18_0/18_0/16_0) </t>
  </si>
  <si>
    <t xml:space="preserve">TAG(18_0/18_0/16_1) </t>
  </si>
  <si>
    <t xml:space="preserve">TAG(18_0/18_1/16_1) </t>
  </si>
  <si>
    <t xml:space="preserve">TAG(18_1/14_1/14_0) </t>
  </si>
  <si>
    <t xml:space="preserve">TAG(18_1/16_0/14_0) </t>
  </si>
  <si>
    <t xml:space="preserve">TAG(18_1/16_0/16_0) </t>
  </si>
  <si>
    <t xml:space="preserve">TAG(18_1/16_1/14_0) </t>
  </si>
  <si>
    <t xml:space="preserve">TAG(18_1/16_1/14_1) </t>
  </si>
  <si>
    <t xml:space="preserve">TAG(18_1/16_1/16_0) </t>
  </si>
  <si>
    <t xml:space="preserve">TAG(18_1/16_1/16_1) </t>
  </si>
  <si>
    <t xml:space="preserve">TAG(18_1/18_0/16_0) </t>
  </si>
  <si>
    <t xml:space="preserve">TAG(18_1/18_1/16_0) </t>
  </si>
  <si>
    <t xml:space="preserve">TAG(18_1/18_1/16_1) </t>
  </si>
  <si>
    <t xml:space="preserve">TAG(18_1/18_1/18_1)/IS </t>
  </si>
  <si>
    <t xml:space="preserve">TAG(20_5/16_1/20_1) </t>
  </si>
  <si>
    <t xml:space="preserve">TAG(20_5/16_1/20_2) </t>
  </si>
  <si>
    <t xml:space="preserve">TAG(20_5/18_0/18_0) </t>
  </si>
  <si>
    <t xml:space="preserve">TAG(20_5/18_1/16_0) </t>
  </si>
  <si>
    <t xml:space="preserve">TAG(20_5/18_1/18_0) </t>
  </si>
  <si>
    <t xml:space="preserve">TAG(20_5/18_1/18_1) </t>
  </si>
  <si>
    <t xml:space="preserve">TAG(22_1/18_1/18_0) </t>
  </si>
  <si>
    <t>Norm_Oil_Arm</t>
  </si>
  <si>
    <t>Norm_Oil_Leg</t>
  </si>
  <si>
    <t>LE_Oil_Arm</t>
  </si>
  <si>
    <t>LE_Oil_Leg</t>
  </si>
  <si>
    <t>Mean (n=6)</t>
  </si>
  <si>
    <t>SD (n=6)</t>
  </si>
  <si>
    <t>(NORMAL  Oil versus LYMPHOEDEMA Oil)</t>
  </si>
  <si>
    <t>(NORMAL Fat versus LYMPHOEDEMA Fat)</t>
  </si>
  <si>
    <t>LYMPHOEDEMA AT - OIL (n=7)</t>
  </si>
  <si>
    <t>NORMAL AT - OIL (n=6)</t>
  </si>
  <si>
    <t>RAW DATA (Area under curve)</t>
  </si>
  <si>
    <t>Median</t>
  </si>
  <si>
    <t>Mean (n=7)</t>
  </si>
  <si>
    <t>SD (n=7)</t>
  </si>
  <si>
    <r>
      <t>2014</t>
    </r>
    <r>
      <rPr>
        <sz val="12"/>
        <color rgb="FF4FAA4C"/>
        <rFont val="Calibri"/>
        <scheme val="minor"/>
      </rPr>
      <t>_005N_Normal_OIl</t>
    </r>
    <r>
      <rPr>
        <sz val="12"/>
        <color rgb="FF000000"/>
        <rFont val="Calibri"/>
        <family val="2"/>
        <scheme val="minor"/>
      </rPr>
      <t>_FAT OIL</t>
    </r>
  </si>
  <si>
    <r>
      <t>2014</t>
    </r>
    <r>
      <rPr>
        <sz val="12"/>
        <color rgb="FF4FAA4C"/>
        <rFont val="Calibri"/>
        <scheme val="minor"/>
      </rPr>
      <t>_006N_Normal_OIl</t>
    </r>
    <r>
      <rPr>
        <sz val="12"/>
        <color rgb="FF000000"/>
        <rFont val="Calibri"/>
        <family val="2"/>
        <scheme val="minor"/>
      </rPr>
      <t>_FAT OIL</t>
    </r>
  </si>
  <si>
    <t>Mean (n=5)</t>
  </si>
  <si>
    <t>SD (n=5)</t>
  </si>
  <si>
    <t>T-Test (2-tailed, unparied)</t>
  </si>
  <si>
    <t>TAGs &amp; DAGs data - ADIPOSE TISSUE FAT</t>
  </si>
  <si>
    <t>TAGs &amp; DAGs data - ADIPOSE TISSUE OIL</t>
  </si>
  <si>
    <r>
      <t>20</t>
    </r>
    <r>
      <rPr>
        <sz val="12"/>
        <color theme="1"/>
        <rFont val="Calibri"/>
        <family val="2"/>
        <scheme val="minor"/>
      </rPr>
      <t>13</t>
    </r>
    <r>
      <rPr>
        <sz val="12"/>
        <color rgb="FFF79646"/>
        <rFont val="Calibri"/>
        <scheme val="minor"/>
      </rPr>
      <t>_005_LE_Oil</t>
    </r>
    <r>
      <rPr>
        <sz val="12"/>
        <color rgb="FF000000"/>
        <rFont val="Calibri"/>
        <family val="2"/>
        <scheme val="minor"/>
      </rPr>
      <t>_FAT_OIL</t>
    </r>
  </si>
  <si>
    <r>
      <t>2013</t>
    </r>
    <r>
      <rPr>
        <sz val="12"/>
        <color rgb="FFF79646"/>
        <rFont val="Calibri"/>
        <scheme val="minor"/>
      </rPr>
      <t>_008_LE_Oil</t>
    </r>
    <r>
      <rPr>
        <sz val="12"/>
        <color rgb="FF000000"/>
        <rFont val="Calibri"/>
        <family val="2"/>
        <scheme val="minor"/>
      </rPr>
      <t>_FAT_OIL</t>
    </r>
  </si>
  <si>
    <r>
      <t>2014</t>
    </r>
    <r>
      <rPr>
        <sz val="12"/>
        <color rgb="FF3366FF"/>
        <rFont val="Calibri"/>
        <scheme val="minor"/>
      </rPr>
      <t>_003N_Normal_AT Fat</t>
    </r>
  </si>
  <si>
    <r>
      <t>2014</t>
    </r>
    <r>
      <rPr>
        <sz val="12"/>
        <color rgb="FF3366FF"/>
        <rFont val="Calibri"/>
        <scheme val="minor"/>
      </rPr>
      <t>_006N_Normal_AT Fat</t>
    </r>
  </si>
  <si>
    <r>
      <t>2014</t>
    </r>
    <r>
      <rPr>
        <sz val="12"/>
        <color rgb="FF3366FF"/>
        <rFont val="Calibri"/>
        <scheme val="minor"/>
      </rPr>
      <t>_007N_Normal_AT Fat</t>
    </r>
  </si>
  <si>
    <r>
      <t>2014</t>
    </r>
    <r>
      <rPr>
        <sz val="12"/>
        <color rgb="FF3366FF"/>
        <rFont val="Calibri"/>
        <scheme val="minor"/>
      </rPr>
      <t>_001N_Normal_AT Fat</t>
    </r>
  </si>
  <si>
    <r>
      <t>2014</t>
    </r>
    <r>
      <rPr>
        <sz val="12"/>
        <color rgb="FF3366FF"/>
        <rFont val="Calibri"/>
        <scheme val="minor"/>
      </rPr>
      <t>_002N_Normal_AT Fat</t>
    </r>
  </si>
  <si>
    <r>
      <t>2013</t>
    </r>
    <r>
      <rPr>
        <sz val="12"/>
        <color rgb="FF7A0DDD"/>
        <rFont val="Calibri"/>
        <scheme val="minor"/>
      </rPr>
      <t>_004_LE_AT Fat</t>
    </r>
  </si>
  <si>
    <r>
      <t>2013</t>
    </r>
    <r>
      <rPr>
        <sz val="12"/>
        <color rgb="FF7A0DDD"/>
        <rFont val="Calibri"/>
        <scheme val="minor"/>
      </rPr>
      <t>_007_LE_AT Fat</t>
    </r>
  </si>
  <si>
    <r>
      <t>2013</t>
    </r>
    <r>
      <rPr>
        <sz val="12"/>
        <color rgb="FF7A0DDD"/>
        <rFont val="Calibri"/>
        <scheme val="minor"/>
      </rPr>
      <t>_008_LE_AT Fat</t>
    </r>
  </si>
  <si>
    <r>
      <t>2013</t>
    </r>
    <r>
      <rPr>
        <sz val="12"/>
        <color rgb="FF7A0DDD"/>
        <rFont val="Calibri"/>
        <scheme val="minor"/>
      </rPr>
      <t>_009_LE_AT Fat</t>
    </r>
  </si>
  <si>
    <r>
      <t>2014</t>
    </r>
    <r>
      <rPr>
        <sz val="12"/>
        <color rgb="FF7A0DDD"/>
        <rFont val="Calibri"/>
        <scheme val="minor"/>
      </rPr>
      <t>_013_LE_AT Fat</t>
    </r>
  </si>
  <si>
    <r>
      <t>2013</t>
    </r>
    <r>
      <rPr>
        <sz val="12"/>
        <color rgb="FF7A0DDD"/>
        <rFont val="Calibri"/>
        <scheme val="minor"/>
      </rPr>
      <t>_011_LE_AT Fat</t>
    </r>
  </si>
  <si>
    <t>Arm liposuction</t>
  </si>
  <si>
    <t>Leg Liposuction</t>
  </si>
  <si>
    <r>
      <t>2014</t>
    </r>
    <r>
      <rPr>
        <sz val="12"/>
        <color rgb="FF3366FF"/>
        <rFont val="Calibri"/>
        <scheme val="minor"/>
      </rPr>
      <t>_005N_Normal_AT Fat</t>
    </r>
  </si>
  <si>
    <t>LE_Arm liposuction</t>
  </si>
  <si>
    <t>LE_Leg liposuction</t>
  </si>
  <si>
    <t>Tissue sample</t>
  </si>
  <si>
    <t>Sample Name</t>
  </si>
  <si>
    <t>T-Test(2-tailed, unparied, no assumptions)</t>
  </si>
  <si>
    <t>Diacylglycerides</t>
  </si>
  <si>
    <t>Triacylglycerides</t>
  </si>
  <si>
    <t xml:space="preserve"> </t>
  </si>
  <si>
    <t>Median/within sample</t>
  </si>
  <si>
    <t>Median (Within Chort)</t>
  </si>
  <si>
    <t>DAG MEDIAN</t>
  </si>
  <si>
    <t>TAG MEDIAN</t>
  </si>
  <si>
    <t>T-Test+TTEST(unpaired, 2-tailed, no assumptions)</t>
  </si>
  <si>
    <t>LOG DATA &amp; MEDIAN (per lipid class)</t>
  </si>
  <si>
    <t xml:space="preserve">MEDIAN_NORMALIZED LOG DATA </t>
  </si>
  <si>
    <t>é</t>
  </si>
  <si>
    <t>ê</t>
  </si>
  <si>
    <t>Graphed results</t>
  </si>
  <si>
    <t>Ratio LE/Normal (Increase/Decrease)</t>
  </si>
  <si>
    <t>Graphed DATA 2015</t>
  </si>
  <si>
    <t>Log transformation &amp; Median Calculation data</t>
  </si>
  <si>
    <t>Median DAGs</t>
  </si>
  <si>
    <t>MEDIAN TAGs</t>
  </si>
  <si>
    <t>T-Test (2-tailed, unparied, no assumptions)</t>
  </si>
  <si>
    <r>
      <t>2013</t>
    </r>
    <r>
      <rPr>
        <sz val="12"/>
        <color rgb="FFF79646"/>
        <rFont val="Calibri"/>
        <scheme val="minor"/>
      </rPr>
      <t>_004_LE_Oil</t>
    </r>
    <r>
      <rPr>
        <sz val="12"/>
        <color rgb="FF000000"/>
        <rFont val="Calibri"/>
        <family val="2"/>
        <scheme val="minor"/>
      </rPr>
      <t>_FAT_OIL</t>
    </r>
  </si>
  <si>
    <r>
      <t>2013</t>
    </r>
    <r>
      <rPr>
        <sz val="12"/>
        <color rgb="FFF79646"/>
        <rFont val="Calibri"/>
        <scheme val="minor"/>
      </rPr>
      <t>_009_LE_Oil</t>
    </r>
    <r>
      <rPr>
        <sz val="12"/>
        <color rgb="FF000000"/>
        <rFont val="Calibri"/>
        <family val="2"/>
        <scheme val="minor"/>
      </rPr>
      <t>_FAT_OIL</t>
    </r>
  </si>
  <si>
    <r>
      <t>2013</t>
    </r>
    <r>
      <rPr>
        <sz val="12"/>
        <color rgb="FFF79646"/>
        <rFont val="Calibri"/>
        <scheme val="minor"/>
      </rPr>
      <t>_011_LE_Oil</t>
    </r>
    <r>
      <rPr>
        <sz val="12"/>
        <color rgb="FF000000"/>
        <rFont val="Calibri"/>
        <family val="2"/>
        <scheme val="minor"/>
      </rPr>
      <t>_FAT_OIL</t>
    </r>
  </si>
  <si>
    <r>
      <t>2014</t>
    </r>
    <r>
      <rPr>
        <sz val="12"/>
        <color rgb="FFF79646"/>
        <rFont val="Calibri"/>
        <scheme val="minor"/>
      </rPr>
      <t>_013_LE_Oil</t>
    </r>
    <r>
      <rPr>
        <sz val="12"/>
        <color rgb="FF000000"/>
        <rFont val="Calibri"/>
        <family val="2"/>
        <scheme val="minor"/>
      </rPr>
      <t>_LEG_OIL</t>
    </r>
  </si>
  <si>
    <r>
      <t>2013</t>
    </r>
    <r>
      <rPr>
        <sz val="12"/>
        <color rgb="FFF79646"/>
        <rFont val="Calibri"/>
        <scheme val="minor"/>
      </rPr>
      <t>_003_LE_Oil</t>
    </r>
    <r>
      <rPr>
        <sz val="12"/>
        <color rgb="FF000000"/>
        <rFont val="Calibri"/>
        <family val="2"/>
        <scheme val="minor"/>
      </rPr>
      <t>_</t>
    </r>
    <r>
      <rPr>
        <sz val="12"/>
        <rFont val="Calibri"/>
        <scheme val="minor"/>
      </rPr>
      <t>FAT_OIL</t>
    </r>
  </si>
  <si>
    <r>
      <t>2014</t>
    </r>
    <r>
      <rPr>
        <sz val="12"/>
        <color rgb="FF4FAA4C"/>
        <rFont val="Calibri"/>
        <scheme val="minor"/>
      </rPr>
      <t>_002N_Normal_OIl</t>
    </r>
    <r>
      <rPr>
        <sz val="12"/>
        <color rgb="FF000000"/>
        <rFont val="Calibri"/>
        <family val="2"/>
        <scheme val="minor"/>
      </rPr>
      <t xml:space="preserve">_FAT OIL </t>
    </r>
  </si>
  <si>
    <r>
      <t>2014</t>
    </r>
    <r>
      <rPr>
        <sz val="12"/>
        <color rgb="FF4FAA4C"/>
        <rFont val="Calibri"/>
        <scheme val="minor"/>
      </rPr>
      <t>_001N_Normal_OIl</t>
    </r>
    <r>
      <rPr>
        <sz val="12"/>
        <color rgb="FF000000"/>
        <rFont val="Calibri"/>
        <family val="2"/>
        <scheme val="minor"/>
      </rPr>
      <t xml:space="preserve">_FAT OIL </t>
    </r>
  </si>
  <si>
    <r>
      <t>2014</t>
    </r>
    <r>
      <rPr>
        <sz val="12"/>
        <color rgb="FF4FAA4C"/>
        <rFont val="Calibri"/>
        <scheme val="minor"/>
      </rPr>
      <t>_007N_Normal_OIl</t>
    </r>
    <r>
      <rPr>
        <sz val="12"/>
        <color rgb="FF000000"/>
        <rFont val="Calibri"/>
        <family val="2"/>
        <scheme val="minor"/>
      </rPr>
      <t xml:space="preserve">_FAT OIL </t>
    </r>
  </si>
  <si>
    <r>
      <t>2014</t>
    </r>
    <r>
      <rPr>
        <sz val="12"/>
        <color rgb="FF4FAA4C"/>
        <rFont val="Calibri"/>
        <scheme val="minor"/>
      </rPr>
      <t>_003N_Normal_OIL</t>
    </r>
    <r>
      <rPr>
        <sz val="12"/>
        <color rgb="FF000000"/>
        <rFont val="Calibri"/>
        <family val="2"/>
        <scheme val="minor"/>
      </rPr>
      <t xml:space="preserve">_FAT OIL </t>
    </r>
  </si>
  <si>
    <r>
      <t>2014</t>
    </r>
    <r>
      <rPr>
        <sz val="12"/>
        <color rgb="FF4FAA4C"/>
        <rFont val="Calibri"/>
        <scheme val="minor"/>
      </rPr>
      <t>_001N_Normal_OIl</t>
    </r>
    <r>
      <rPr>
        <sz val="12"/>
        <color rgb="FF000000"/>
        <rFont val="Calibri"/>
        <family val="2"/>
        <scheme val="minor"/>
      </rPr>
      <t>_FAT OIL</t>
    </r>
  </si>
  <si>
    <t>LYMPHOEDEMA AT - OIL (n=6)</t>
  </si>
  <si>
    <t>Ratio (Difference LE / Non-LE)</t>
  </si>
  <si>
    <r>
      <t>2014</t>
    </r>
    <r>
      <rPr>
        <sz val="12"/>
        <color rgb="FFF79646"/>
        <rFont val="Calibri"/>
        <scheme val="minor"/>
      </rPr>
      <t>_013_LE_Oil</t>
    </r>
    <r>
      <rPr>
        <sz val="12"/>
        <color rgb="FF000000"/>
        <rFont val="Calibri"/>
        <family val="2"/>
        <scheme val="minor"/>
      </rPr>
      <t>_FAT_OIL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</si>
</sst>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;[Red]0.00"/>
    <numFmt numFmtId="165" formatCode="0.0000;[Red]0.0000"/>
    <numFmt numFmtId="166" formatCode="0.0000"/>
  </numFmts>
  <fonts count="3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6"/>
      <color rgb="FF000000"/>
      <name val="Calibri"/>
      <scheme val="minor"/>
    </font>
    <font>
      <sz val="12"/>
      <color rgb="FF4FAA4C"/>
      <name val="Calibri"/>
      <scheme val="minor"/>
    </font>
    <font>
      <sz val="12"/>
      <color rgb="FFF79646"/>
      <name val="Calibri"/>
      <scheme val="minor"/>
    </font>
    <font>
      <sz val="12"/>
      <color rgb="FF4FAA4C"/>
      <name val="Calibri"/>
    </font>
    <font>
      <sz val="12"/>
      <color rgb="FF000000"/>
      <name val="Calibri"/>
    </font>
    <font>
      <sz val="12"/>
      <color rgb="FFF79646"/>
      <name val="Calibri"/>
    </font>
    <font>
      <sz val="12"/>
      <color theme="1"/>
      <name val="Calibri"/>
    </font>
    <font>
      <sz val="12"/>
      <color rgb="FFFF0000"/>
      <name val="Calibri"/>
    </font>
    <font>
      <sz val="12"/>
      <name val="Calibri"/>
      <scheme val="minor"/>
    </font>
    <font>
      <b/>
      <sz val="16"/>
      <color theme="0"/>
      <name val="Arial"/>
    </font>
    <font>
      <b/>
      <sz val="16"/>
      <color theme="0"/>
      <name val="Calibri"/>
      <scheme val="minor"/>
    </font>
    <font>
      <b/>
      <sz val="20"/>
      <color rgb="FF000000"/>
      <name val="Calibri"/>
      <scheme val="minor"/>
    </font>
    <font>
      <b/>
      <sz val="16"/>
      <color rgb="FFFFFFFF"/>
      <name val="Calibri"/>
      <scheme val="minor"/>
    </font>
    <font>
      <sz val="12"/>
      <color rgb="FF3366FF"/>
      <name val="Calibri"/>
      <scheme val="minor"/>
    </font>
    <font>
      <sz val="12"/>
      <color rgb="FF7A0DDD"/>
      <name val="Calibri"/>
      <scheme val="minor"/>
    </font>
    <font>
      <sz val="12"/>
      <color rgb="FFFF9846"/>
      <name val="Calibri"/>
      <scheme val="minor"/>
    </font>
    <font>
      <b/>
      <sz val="22"/>
      <color rgb="FFFF0000"/>
      <name val="Calibri"/>
      <scheme val="minor"/>
    </font>
    <font>
      <sz val="12"/>
      <color rgb="FFFF0000"/>
      <name val="Wingdings"/>
      <family val="2"/>
    </font>
    <font>
      <b/>
      <sz val="12"/>
      <color theme="1"/>
      <name val="Calibri"/>
      <family val="2"/>
      <scheme val="minor"/>
    </font>
    <font>
      <b/>
      <sz val="12"/>
      <color rgb="FF008000"/>
      <name val="Calibri"/>
      <scheme val="minor"/>
    </font>
    <font>
      <b/>
      <sz val="12"/>
      <color rgb="FF000000"/>
      <name val="Calibri"/>
    </font>
    <font>
      <b/>
      <sz val="12"/>
      <name val="Calibri"/>
    </font>
    <font>
      <b/>
      <sz val="12"/>
      <color rgb="FFFF0000"/>
      <name val="Calibri"/>
      <scheme val="minor"/>
    </font>
    <font>
      <sz val="12"/>
      <color theme="1"/>
      <name val="Wingdings"/>
    </font>
    <font>
      <sz val="12"/>
      <color rgb="FF000000"/>
      <name val="Wingdings"/>
    </font>
    <font>
      <sz val="12"/>
      <name val="Wingdings"/>
      <family val="2"/>
    </font>
    <font>
      <sz val="12"/>
      <color rgb="FFFFFF00"/>
      <name val="Calibri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0"/>
      <name val="Calibri"/>
      <scheme val="minor"/>
    </font>
    <font>
      <b/>
      <sz val="10"/>
      <color theme="0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BBB5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8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 applyFill="1"/>
    <xf numFmtId="0" fontId="4" fillId="0" borderId="1" xfId="0" applyFont="1" applyBorder="1"/>
    <xf numFmtId="0" fontId="4" fillId="0" borderId="2" xfId="0" applyFont="1" applyBorder="1"/>
    <xf numFmtId="165" fontId="3" fillId="0" borderId="1" xfId="0" applyNumberFormat="1" applyFont="1" applyBorder="1"/>
    <xf numFmtId="0" fontId="6" fillId="0" borderId="0" xfId="0" applyFont="1"/>
    <xf numFmtId="0" fontId="5" fillId="3" borderId="1" xfId="0" applyFont="1" applyFill="1" applyBorder="1"/>
    <xf numFmtId="0" fontId="6" fillId="0" borderId="1" xfId="0" applyFont="1" applyBorder="1"/>
    <xf numFmtId="166" fontId="0" fillId="0" borderId="0" xfId="0" applyNumberFormat="1"/>
    <xf numFmtId="0" fontId="3" fillId="0" borderId="0" xfId="0" applyFont="1"/>
    <xf numFmtId="0" fontId="0" fillId="0" borderId="0" xfId="0" applyFont="1"/>
    <xf numFmtId="0" fontId="6" fillId="0" borderId="2" xfId="0" applyFont="1" applyBorder="1"/>
    <xf numFmtId="0" fontId="12" fillId="0" borderId="0" xfId="0" applyFont="1"/>
    <xf numFmtId="164" fontId="12" fillId="0" borderId="0" xfId="0" applyNumberFormat="1" applyFont="1"/>
    <xf numFmtId="2" fontId="12" fillId="0" borderId="0" xfId="0" applyNumberFormat="1" applyFont="1"/>
    <xf numFmtId="0" fontId="14" fillId="0" borderId="0" xfId="0" applyFont="1"/>
    <xf numFmtId="165" fontId="12" fillId="0" borderId="0" xfId="0" applyNumberFormat="1" applyFont="1"/>
    <xf numFmtId="165" fontId="15" fillId="0" borderId="1" xfId="0" applyNumberFormat="1" applyFont="1" applyBorder="1"/>
    <xf numFmtId="0" fontId="6" fillId="0" borderId="3" xfId="0" applyFont="1" applyBorder="1"/>
    <xf numFmtId="0" fontId="0" fillId="4" borderId="0" xfId="0" applyFont="1" applyFill="1"/>
    <xf numFmtId="0" fontId="9" fillId="0" borderId="1" xfId="0" applyFont="1" applyBorder="1"/>
    <xf numFmtId="0" fontId="4" fillId="0" borderId="5" xfId="0" applyFont="1" applyBorder="1"/>
    <xf numFmtId="0" fontId="11" fillId="0" borderId="0" xfId="0" applyFont="1" applyBorder="1"/>
    <xf numFmtId="0" fontId="13" fillId="0" borderId="0" xfId="0" applyFont="1" applyBorder="1"/>
    <xf numFmtId="0" fontId="6" fillId="0" borderId="7" xfId="0" applyFont="1" applyBorder="1"/>
    <xf numFmtId="0" fontId="7" fillId="2" borderId="8" xfId="0" applyFont="1" applyFill="1" applyBorder="1"/>
    <xf numFmtId="0" fontId="6" fillId="0" borderId="8" xfId="0" applyFont="1" applyBorder="1"/>
    <xf numFmtId="0" fontId="16" fillId="0" borderId="1" xfId="0" applyFont="1" applyFill="1" applyBorder="1"/>
    <xf numFmtId="0" fontId="10" fillId="0" borderId="1" xfId="0" applyFont="1" applyBorder="1"/>
    <xf numFmtId="0" fontId="17" fillId="4" borderId="0" xfId="0" applyFont="1" applyFill="1"/>
    <xf numFmtId="0" fontId="18" fillId="4" borderId="0" xfId="0" applyFont="1" applyFill="1" applyAlignment="1">
      <alignment horizontal="left" vertical="top"/>
    </xf>
    <xf numFmtId="0" fontId="6" fillId="4" borderId="0" xfId="0" applyFont="1" applyFill="1"/>
    <xf numFmtId="0" fontId="19" fillId="0" borderId="0" xfId="0" applyFont="1" applyAlignment="1">
      <alignment horizontal="left" vertical="top"/>
    </xf>
    <xf numFmtId="0" fontId="16" fillId="0" borderId="1" xfId="0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0" fontId="6" fillId="0" borderId="0" xfId="0" applyFont="1" applyBorder="1"/>
    <xf numFmtId="165" fontId="15" fillId="0" borderId="0" xfId="0" applyNumberFormat="1" applyFont="1" applyBorder="1"/>
    <xf numFmtId="0" fontId="20" fillId="6" borderId="0" xfId="0" applyFont="1" applyFill="1" applyAlignment="1">
      <alignment horizontal="left" vertical="top"/>
    </xf>
    <xf numFmtId="0" fontId="6" fillId="6" borderId="0" xfId="0" applyFont="1" applyFill="1"/>
    <xf numFmtId="0" fontId="0" fillId="0" borderId="1" xfId="0" applyFont="1" applyFill="1" applyBorder="1"/>
    <xf numFmtId="0" fontId="21" fillId="0" borderId="1" xfId="0" applyFont="1" applyFill="1" applyBorder="1"/>
    <xf numFmtId="164" fontId="0" fillId="0" borderId="0" xfId="0" applyNumberFormat="1" applyFont="1"/>
    <xf numFmtId="0" fontId="22" fillId="0" borderId="1" xfId="0" applyFont="1" applyFill="1" applyBorder="1"/>
    <xf numFmtId="0" fontId="3" fillId="0" borderId="1" xfId="0" applyFont="1" applyFill="1" applyBorder="1" applyAlignment="1">
      <alignment horizontal="right"/>
    </xf>
    <xf numFmtId="165" fontId="0" fillId="0" borderId="1" xfId="0" applyNumberFormat="1" applyFont="1" applyBorder="1"/>
    <xf numFmtId="0" fontId="22" fillId="0" borderId="0" xfId="0" applyFont="1" applyFill="1" applyBorder="1"/>
    <xf numFmtId="0" fontId="22" fillId="0" borderId="0" xfId="0" applyFont="1" applyBorder="1"/>
    <xf numFmtId="0" fontId="21" fillId="0" borderId="0" xfId="0" applyFont="1" applyFill="1" applyBorder="1"/>
    <xf numFmtId="165" fontId="12" fillId="0" borderId="1" xfId="0" applyNumberFormat="1" applyFont="1" applyBorder="1"/>
    <xf numFmtId="0" fontId="4" fillId="0" borderId="10" xfId="0" applyFont="1" applyBorder="1"/>
    <xf numFmtId="0" fontId="11" fillId="0" borderId="9" xfId="0" applyFont="1" applyBorder="1"/>
    <xf numFmtId="164" fontId="12" fillId="0" borderId="9" xfId="0" applyNumberFormat="1" applyFont="1" applyBorder="1"/>
    <xf numFmtId="2" fontId="12" fillId="0" borderId="9" xfId="0" applyNumberFormat="1" applyFont="1" applyBorder="1"/>
    <xf numFmtId="0" fontId="12" fillId="0" borderId="9" xfId="0" applyFont="1" applyBorder="1"/>
    <xf numFmtId="0" fontId="13" fillId="0" borderId="9" xfId="0" applyFont="1" applyBorder="1"/>
    <xf numFmtId="2" fontId="12" fillId="0" borderId="3" xfId="0" applyNumberFormat="1" applyFont="1" applyBorder="1"/>
    <xf numFmtId="0" fontId="19" fillId="7" borderId="7" xfId="0" applyFont="1" applyFill="1" applyBorder="1" applyAlignment="1">
      <alignment horizontal="left" vertical="top"/>
    </xf>
    <xf numFmtId="0" fontId="6" fillId="7" borderId="2" xfId="0" applyFont="1" applyFill="1" applyBorder="1"/>
    <xf numFmtId="0" fontId="22" fillId="0" borderId="1" xfId="0" applyFont="1" applyBorder="1"/>
    <xf numFmtId="0" fontId="0" fillId="0" borderId="0" xfId="0" applyAlignment="1">
      <alignment textRotation="45"/>
    </xf>
    <xf numFmtId="0" fontId="6" fillId="0" borderId="6" xfId="0" applyFont="1" applyBorder="1"/>
    <xf numFmtId="0" fontId="23" fillId="0" borderId="1" xfId="0" applyFont="1" applyBorder="1"/>
    <xf numFmtId="166" fontId="12" fillId="0" borderId="9" xfId="0" applyNumberFormat="1" applyFont="1" applyBorder="1"/>
    <xf numFmtId="166" fontId="12" fillId="0" borderId="3" xfId="0" applyNumberFormat="1" applyFont="1" applyBorder="1"/>
    <xf numFmtId="0" fontId="6" fillId="0" borderId="7" xfId="0" applyFont="1" applyBorder="1" applyAlignment="1">
      <alignment textRotation="90"/>
    </xf>
    <xf numFmtId="0" fontId="4" fillId="0" borderId="1" xfId="0" applyFont="1" applyBorder="1" applyAlignment="1">
      <alignment textRotation="90"/>
    </xf>
    <xf numFmtId="0" fontId="4" fillId="0" borderId="2" xfId="0" applyFont="1" applyBorder="1" applyAlignment="1">
      <alignment textRotation="90"/>
    </xf>
    <xf numFmtId="0" fontId="6" fillId="0" borderId="0" xfId="0" applyFont="1" applyAlignment="1">
      <alignment textRotation="90"/>
    </xf>
    <xf numFmtId="0" fontId="0" fillId="0" borderId="0" xfId="0" applyAlignment="1">
      <alignment textRotation="90"/>
    </xf>
    <xf numFmtId="0" fontId="24" fillId="0" borderId="0" xfId="0" applyFont="1"/>
    <xf numFmtId="0" fontId="6" fillId="0" borderId="7" xfId="0" applyFont="1" applyBorder="1" applyAlignment="1"/>
    <xf numFmtId="0" fontId="4" fillId="0" borderId="1" xfId="0" applyFont="1" applyBorder="1" applyAlignment="1"/>
    <xf numFmtId="165" fontId="0" fillId="0" borderId="0" xfId="0" applyNumberFormat="1"/>
    <xf numFmtId="0" fontId="4" fillId="0" borderId="5" xfId="0" applyFont="1" applyFill="1" applyBorder="1" applyAlignment="1">
      <alignment textRotation="90"/>
    </xf>
    <xf numFmtId="0" fontId="26" fillId="0" borderId="0" xfId="0" applyFont="1"/>
    <xf numFmtId="0" fontId="27" fillId="0" borderId="0" xfId="0" applyFont="1" applyAlignment="1">
      <alignment textRotation="90"/>
    </xf>
    <xf numFmtId="0" fontId="28" fillId="0" borderId="0" xfId="0" applyFont="1"/>
    <xf numFmtId="0" fontId="29" fillId="0" borderId="9" xfId="0" applyFont="1" applyFill="1" applyBorder="1"/>
    <xf numFmtId="0" fontId="9" fillId="0" borderId="0" xfId="0" applyFont="1"/>
    <xf numFmtId="0" fontId="10" fillId="0" borderId="0" xfId="0" applyFont="1"/>
    <xf numFmtId="0" fontId="7" fillId="0" borderId="1" xfId="0" applyFont="1" applyFill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0" xfId="0" applyBorder="1"/>
    <xf numFmtId="166" fontId="26" fillId="0" borderId="0" xfId="0" applyNumberFormat="1" applyFont="1"/>
    <xf numFmtId="166" fontId="30" fillId="0" borderId="0" xfId="0" applyNumberFormat="1" applyFont="1"/>
    <xf numFmtId="0" fontId="7" fillId="0" borderId="9" xfId="0" applyFont="1" applyFill="1" applyBorder="1"/>
    <xf numFmtId="166" fontId="26" fillId="0" borderId="11" xfId="0" applyNumberFormat="1" applyFont="1" applyBorder="1"/>
    <xf numFmtId="0" fontId="6" fillId="0" borderId="10" xfId="0" applyFont="1" applyBorder="1"/>
    <xf numFmtId="0" fontId="9" fillId="0" borderId="9" xfId="0" applyFont="1" applyBorder="1"/>
    <xf numFmtId="0" fontId="4" fillId="0" borderId="11" xfId="0" applyFont="1" applyBorder="1"/>
    <xf numFmtId="0" fontId="9" fillId="0" borderId="14" xfId="0" applyFont="1" applyBorder="1"/>
    <xf numFmtId="166" fontId="12" fillId="0" borderId="14" xfId="0" applyNumberFormat="1" applyFont="1" applyBorder="1"/>
    <xf numFmtId="0" fontId="12" fillId="0" borderId="14" xfId="0" applyFont="1" applyBorder="1"/>
    <xf numFmtId="0" fontId="13" fillId="0" borderId="14" xfId="0" applyFont="1" applyBorder="1"/>
    <xf numFmtId="166" fontId="12" fillId="0" borderId="8" xfId="0" applyNumberFormat="1" applyFont="1" applyBorder="1"/>
    <xf numFmtId="0" fontId="4" fillId="0" borderId="13" xfId="0" applyFont="1" applyBorder="1"/>
    <xf numFmtId="0" fontId="9" fillId="0" borderId="5" xfId="0" applyFont="1" applyBorder="1"/>
    <xf numFmtId="166" fontId="12" fillId="0" borderId="5" xfId="0" applyNumberFormat="1" applyFont="1" applyBorder="1"/>
    <xf numFmtId="0" fontId="12" fillId="0" borderId="5" xfId="0" applyFont="1" applyBorder="1"/>
    <xf numFmtId="0" fontId="13" fillId="0" borderId="5" xfId="0" applyFont="1" applyBorder="1"/>
    <xf numFmtId="166" fontId="12" fillId="0" borderId="4" xfId="0" applyNumberFormat="1" applyFont="1" applyBorder="1"/>
    <xf numFmtId="0" fontId="4" fillId="0" borderId="13" xfId="0" applyFont="1" applyBorder="1" applyAlignment="1">
      <alignment textRotation="90"/>
    </xf>
    <xf numFmtId="166" fontId="30" fillId="0" borderId="11" xfId="0" applyNumberFormat="1" applyFont="1" applyBorder="1"/>
    <xf numFmtId="166" fontId="5" fillId="0" borderId="0" xfId="0" applyNumberFormat="1" applyFont="1"/>
    <xf numFmtId="0" fontId="0" fillId="0" borderId="0" xfId="0" applyAlignment="1">
      <alignment horizontal="right"/>
    </xf>
    <xf numFmtId="0" fontId="25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166" fontId="5" fillId="0" borderId="11" xfId="0" applyNumberFormat="1" applyFont="1" applyBorder="1"/>
    <xf numFmtId="0" fontId="33" fillId="0" borderId="0" xfId="0" applyFont="1" applyAlignment="1">
      <alignment horizontal="right"/>
    </xf>
    <xf numFmtId="0" fontId="0" fillId="7" borderId="0" xfId="0" applyFill="1"/>
    <xf numFmtId="0" fontId="34" fillId="4" borderId="0" xfId="0" applyFont="1" applyFill="1"/>
    <xf numFmtId="0" fontId="0" fillId="0" borderId="8" xfId="0" applyBorder="1"/>
    <xf numFmtId="0" fontId="0" fillId="0" borderId="15" xfId="0" applyBorder="1"/>
    <xf numFmtId="0" fontId="0" fillId="0" borderId="0" xfId="0" applyFill="1" applyBorder="1"/>
    <xf numFmtId="0" fontId="26" fillId="0" borderId="0" xfId="0" applyFont="1" applyFill="1" applyBorder="1"/>
    <xf numFmtId="0" fontId="6" fillId="0" borderId="1" xfId="0" applyFont="1" applyBorder="1" applyAlignment="1">
      <alignment textRotation="90"/>
    </xf>
    <xf numFmtId="0" fontId="26" fillId="0" borderId="0" xfId="0" applyFont="1" applyAlignment="1">
      <alignment textRotation="90"/>
    </xf>
    <xf numFmtId="0" fontId="0" fillId="0" borderId="14" xfId="0" applyFill="1" applyBorder="1"/>
    <xf numFmtId="0" fontId="4" fillId="0" borderId="0" xfId="0" applyFont="1" applyBorder="1" applyAlignment="1">
      <alignment textRotation="90"/>
    </xf>
    <xf numFmtId="0" fontId="31" fillId="0" borderId="0" xfId="0" applyFont="1"/>
    <xf numFmtId="165" fontId="3" fillId="0" borderId="0" xfId="0" applyNumberFormat="1" applyFont="1"/>
    <xf numFmtId="165" fontId="0" fillId="0" borderId="12" xfId="0" applyNumberFormat="1" applyBorder="1"/>
    <xf numFmtId="165" fontId="3" fillId="0" borderId="12" xfId="0" applyNumberFormat="1" applyFont="1" applyBorder="1"/>
    <xf numFmtId="165" fontId="3" fillId="5" borderId="12" xfId="0" applyNumberFormat="1" applyFont="1" applyFill="1" applyBorder="1"/>
    <xf numFmtId="0" fontId="37" fillId="4" borderId="2" xfId="0" applyFont="1" applyFill="1" applyBorder="1" applyAlignment="1">
      <alignment textRotation="90"/>
    </xf>
    <xf numFmtId="0" fontId="35" fillId="4" borderId="0" xfId="0" applyFont="1" applyFill="1" applyAlignment="1">
      <alignment textRotation="90"/>
    </xf>
    <xf numFmtId="0" fontId="8" fillId="7" borderId="0" xfId="0" applyFont="1" applyFill="1" applyBorder="1"/>
    <xf numFmtId="0" fontId="14" fillId="7" borderId="0" xfId="0" applyFont="1" applyFill="1"/>
    <xf numFmtId="0" fontId="38" fillId="4" borderId="1" xfId="0" applyFont="1" applyFill="1" applyBorder="1" applyAlignment="1">
      <alignment textRotation="90"/>
    </xf>
    <xf numFmtId="0" fontId="35" fillId="4" borderId="1" xfId="0" applyFont="1" applyFill="1" applyBorder="1" applyAlignment="1">
      <alignment textRotation="90"/>
    </xf>
    <xf numFmtId="0" fontId="5" fillId="8" borderId="1" xfId="0" applyFont="1" applyFill="1" applyBorder="1"/>
    <xf numFmtId="0" fontId="0" fillId="9" borderId="0" xfId="0" applyFont="1" applyFill="1"/>
    <xf numFmtId="0" fontId="7" fillId="10" borderId="8" xfId="0" applyFont="1" applyFill="1" applyBorder="1"/>
    <xf numFmtId="0" fontId="0" fillId="11" borderId="0" xfId="0" applyFill="1"/>
    <xf numFmtId="0" fontId="26" fillId="11" borderId="0" xfId="0" applyFont="1" applyFill="1"/>
    <xf numFmtId="0" fontId="18" fillId="7" borderId="0" xfId="0" applyFont="1" applyFill="1" applyBorder="1"/>
    <xf numFmtId="0" fontId="36" fillId="7" borderId="0" xfId="0" applyFont="1" applyFill="1"/>
    <xf numFmtId="0" fontId="0" fillId="0" borderId="0" xfId="0" applyFont="1" applyFill="1" applyBorder="1"/>
    <xf numFmtId="0" fontId="6" fillId="7" borderId="1" xfId="0" applyFont="1" applyFill="1" applyBorder="1"/>
  </cellXfs>
  <cellStyles count="8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25"/>
  <sheetViews>
    <sheetView tabSelected="1" topLeftCell="BY78" workbookViewId="0">
      <selection activeCell="CR85" sqref="CR85"/>
    </sheetView>
  </sheetViews>
  <sheetFormatPr baseColWidth="10" defaultRowHeight="15" x14ac:dyDescent="0"/>
  <cols>
    <col min="1" max="1" width="47.33203125" customWidth="1"/>
    <col min="2" max="2" width="26.1640625" customWidth="1"/>
  </cols>
  <sheetData>
    <row r="1" spans="1:96" ht="25">
      <c r="A1" s="32" t="s">
        <v>113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</row>
    <row r="2" spans="1:96" ht="25">
      <c r="A2" s="3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 spans="1:96" ht="20">
      <c r="A3" s="30" t="s">
        <v>103</v>
      </c>
      <c r="B3" s="31"/>
      <c r="C3" s="7"/>
      <c r="D3" s="24" t="s">
        <v>135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C3" s="11"/>
      <c r="AD3" s="24" t="s">
        <v>136</v>
      </c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  <c r="BM3" s="60"/>
      <c r="BN3" s="60"/>
      <c r="BO3" s="60"/>
      <c r="BP3" s="60"/>
      <c r="BQ3" s="60"/>
      <c r="BR3" s="60"/>
      <c r="BS3" s="60"/>
      <c r="BT3" s="60"/>
      <c r="BU3" s="60"/>
      <c r="BV3" s="60"/>
      <c r="BW3" s="60"/>
      <c r="BX3" s="60"/>
      <c r="BY3" s="60"/>
      <c r="BZ3" s="60"/>
      <c r="CA3" s="60"/>
      <c r="CB3" s="60"/>
      <c r="CC3" s="60"/>
      <c r="CD3" s="60"/>
      <c r="CE3" s="60"/>
      <c r="CF3" s="60"/>
      <c r="CG3" s="60"/>
      <c r="CH3" s="60"/>
      <c r="CI3" s="60"/>
      <c r="CJ3" s="60"/>
      <c r="CK3" s="60"/>
      <c r="CL3" s="60"/>
      <c r="CM3" s="60"/>
      <c r="CN3" s="60"/>
      <c r="CO3" s="60"/>
      <c r="CP3" s="60"/>
      <c r="CQ3" s="11"/>
    </row>
    <row r="4" spans="1:96" s="59" customFormat="1" ht="79" customHeight="1">
      <c r="A4" s="70" t="s">
        <v>0</v>
      </c>
      <c r="B4" s="71" t="s">
        <v>1</v>
      </c>
      <c r="C4" s="66" t="s">
        <v>2</v>
      </c>
      <c r="D4" s="66" t="s">
        <v>3</v>
      </c>
      <c r="E4" s="66" t="s">
        <v>4</v>
      </c>
      <c r="F4" s="66" t="s">
        <v>5</v>
      </c>
      <c r="G4" s="66" t="s">
        <v>6</v>
      </c>
      <c r="H4" s="66" t="s">
        <v>7</v>
      </c>
      <c r="I4" s="66" t="s">
        <v>8</v>
      </c>
      <c r="J4" s="66" t="s">
        <v>9</v>
      </c>
      <c r="K4" s="66" t="s">
        <v>10</v>
      </c>
      <c r="L4" s="66" t="s">
        <v>11</v>
      </c>
      <c r="M4" s="66" t="s">
        <v>12</v>
      </c>
      <c r="N4" s="66" t="s">
        <v>13</v>
      </c>
      <c r="O4" s="66" t="s">
        <v>14</v>
      </c>
      <c r="P4" s="66" t="s">
        <v>15</v>
      </c>
      <c r="Q4" s="66" t="s">
        <v>16</v>
      </c>
      <c r="R4" s="66" t="s">
        <v>17</v>
      </c>
      <c r="S4" s="66" t="s">
        <v>18</v>
      </c>
      <c r="T4" s="66" t="s">
        <v>19</v>
      </c>
      <c r="U4" s="66" t="s">
        <v>20</v>
      </c>
      <c r="V4" s="66" t="s">
        <v>21</v>
      </c>
      <c r="W4" s="66" t="s">
        <v>22</v>
      </c>
      <c r="X4" s="66" t="s">
        <v>23</v>
      </c>
      <c r="Y4" s="66" t="s">
        <v>24</v>
      </c>
      <c r="Z4" s="66" t="s">
        <v>25</v>
      </c>
      <c r="AA4" s="66" t="s">
        <v>26</v>
      </c>
      <c r="AC4" s="66" t="s">
        <v>27</v>
      </c>
      <c r="AD4" s="66" t="s">
        <v>28</v>
      </c>
      <c r="AE4" s="66" t="s">
        <v>29</v>
      </c>
      <c r="AF4" s="66" t="s">
        <v>30</v>
      </c>
      <c r="AG4" s="66" t="s">
        <v>31</v>
      </c>
      <c r="AH4" s="66" t="s">
        <v>32</v>
      </c>
      <c r="AI4" s="66" t="s">
        <v>33</v>
      </c>
      <c r="AJ4" s="66" t="s">
        <v>34</v>
      </c>
      <c r="AK4" s="66" t="s">
        <v>35</v>
      </c>
      <c r="AL4" s="66" t="s">
        <v>36</v>
      </c>
      <c r="AM4" s="66" t="s">
        <v>37</v>
      </c>
      <c r="AN4" s="66" t="s">
        <v>38</v>
      </c>
      <c r="AO4" s="66" t="s">
        <v>39</v>
      </c>
      <c r="AP4" s="66" t="s">
        <v>40</v>
      </c>
      <c r="AQ4" s="66" t="s">
        <v>41</v>
      </c>
      <c r="AR4" s="66" t="s">
        <v>42</v>
      </c>
      <c r="AS4" s="66" t="s">
        <v>43</v>
      </c>
      <c r="AT4" s="66" t="s">
        <v>44</v>
      </c>
      <c r="AU4" s="66" t="s">
        <v>45</v>
      </c>
      <c r="AV4" s="66" t="s">
        <v>46</v>
      </c>
      <c r="AW4" s="66" t="s">
        <v>47</v>
      </c>
      <c r="AX4" s="66" t="s">
        <v>48</v>
      </c>
      <c r="AY4" s="66" t="s">
        <v>49</v>
      </c>
      <c r="AZ4" s="66" t="s">
        <v>50</v>
      </c>
      <c r="BA4" s="66" t="s">
        <v>51</v>
      </c>
      <c r="BB4" s="66" t="s">
        <v>52</v>
      </c>
      <c r="BC4" s="66" t="s">
        <v>53</v>
      </c>
      <c r="BD4" s="66" t="s">
        <v>54</v>
      </c>
      <c r="BE4" s="66" t="s">
        <v>55</v>
      </c>
      <c r="BF4" s="66" t="s">
        <v>56</v>
      </c>
      <c r="BG4" s="66" t="s">
        <v>57</v>
      </c>
      <c r="BH4" s="66" t="s">
        <v>58</v>
      </c>
      <c r="BI4" s="66" t="s">
        <v>59</v>
      </c>
      <c r="BJ4" s="66" t="s">
        <v>60</v>
      </c>
      <c r="BK4" s="66" t="s">
        <v>61</v>
      </c>
      <c r="BL4" s="66" t="s">
        <v>62</v>
      </c>
      <c r="BM4" s="66" t="s">
        <v>63</v>
      </c>
      <c r="BN4" s="66" t="s">
        <v>64</v>
      </c>
      <c r="BO4" s="66" t="s">
        <v>65</v>
      </c>
      <c r="BP4" s="66" t="s">
        <v>66</v>
      </c>
      <c r="BQ4" s="66" t="s">
        <v>67</v>
      </c>
      <c r="BR4" s="66" t="s">
        <v>68</v>
      </c>
      <c r="BS4" s="66" t="s">
        <v>69</v>
      </c>
      <c r="BT4" s="66" t="s">
        <v>70</v>
      </c>
      <c r="BU4" s="66" t="s">
        <v>71</v>
      </c>
      <c r="BV4" s="66" t="s">
        <v>72</v>
      </c>
      <c r="BW4" s="66" t="s">
        <v>73</v>
      </c>
      <c r="BX4" s="66" t="s">
        <v>74</v>
      </c>
      <c r="BY4" s="66" t="s">
        <v>75</v>
      </c>
      <c r="BZ4" s="66" t="s">
        <v>76</v>
      </c>
      <c r="CA4" s="66" t="s">
        <v>77</v>
      </c>
      <c r="CB4" s="66" t="s">
        <v>78</v>
      </c>
      <c r="CC4" s="66" t="s">
        <v>79</v>
      </c>
      <c r="CD4" s="66" t="s">
        <v>80</v>
      </c>
      <c r="CE4" s="66" t="s">
        <v>81</v>
      </c>
      <c r="CF4" s="66" t="s">
        <v>82</v>
      </c>
      <c r="CG4" s="66" t="s">
        <v>83</v>
      </c>
      <c r="CH4" s="66" t="s">
        <v>84</v>
      </c>
      <c r="CI4" s="66" t="s">
        <v>85</v>
      </c>
      <c r="CJ4" s="66" t="s">
        <v>86</v>
      </c>
      <c r="CK4" s="66" t="s">
        <v>87</v>
      </c>
      <c r="CL4" s="66" t="s">
        <v>88</v>
      </c>
      <c r="CM4" s="66" t="s">
        <v>89</v>
      </c>
      <c r="CN4" s="66" t="s">
        <v>90</v>
      </c>
      <c r="CO4" s="66" t="s">
        <v>91</v>
      </c>
      <c r="CP4" s="66" t="s">
        <v>92</v>
      </c>
      <c r="CQ4" s="67" t="s">
        <v>138</v>
      </c>
      <c r="CR4" s="68"/>
    </row>
    <row r="5" spans="1:96">
      <c r="A5" s="25" t="s">
        <v>102</v>
      </c>
      <c r="B5" s="2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21"/>
      <c r="U5" s="21"/>
      <c r="V5" s="21"/>
      <c r="W5" s="21"/>
      <c r="X5" s="21"/>
      <c r="Y5" s="21"/>
      <c r="Z5" s="21"/>
      <c r="AA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5"/>
    </row>
    <row r="6" spans="1:96">
      <c r="A6" s="26" t="s">
        <v>162</v>
      </c>
      <c r="B6" s="20" t="s">
        <v>93</v>
      </c>
      <c r="C6" s="50">
        <v>259</v>
      </c>
      <c r="D6" s="50">
        <v>157977</v>
      </c>
      <c r="E6" s="50">
        <v>702284</v>
      </c>
      <c r="F6" s="50">
        <v>98978</v>
      </c>
      <c r="G6" s="50">
        <v>999</v>
      </c>
      <c r="H6" s="50">
        <v>31535</v>
      </c>
      <c r="I6" s="50">
        <v>303</v>
      </c>
      <c r="J6" s="50">
        <v>27647</v>
      </c>
      <c r="K6" s="50">
        <v>13262</v>
      </c>
      <c r="L6" s="50">
        <v>52210</v>
      </c>
      <c r="M6" s="50">
        <v>3131</v>
      </c>
      <c r="N6" s="50">
        <v>2465</v>
      </c>
      <c r="O6" s="50">
        <v>16728</v>
      </c>
      <c r="P6" s="50">
        <v>55556</v>
      </c>
      <c r="Q6" s="50">
        <v>3675</v>
      </c>
      <c r="R6" s="50">
        <v>6523</v>
      </c>
      <c r="S6" s="50">
        <v>10167</v>
      </c>
      <c r="T6" s="22">
        <v>25447</v>
      </c>
      <c r="U6" s="22">
        <v>16433</v>
      </c>
      <c r="V6" s="22">
        <v>169079</v>
      </c>
      <c r="W6" s="22">
        <v>45592</v>
      </c>
      <c r="X6" s="22">
        <v>144268</v>
      </c>
      <c r="Y6" s="22">
        <v>203668</v>
      </c>
      <c r="Z6" s="22">
        <v>176</v>
      </c>
      <c r="AA6" s="22">
        <v>11126</v>
      </c>
      <c r="AC6" s="22">
        <v>24746</v>
      </c>
      <c r="AD6" s="22">
        <v>22781</v>
      </c>
      <c r="AE6" s="22">
        <v>62608</v>
      </c>
      <c r="AF6" s="22">
        <v>25855</v>
      </c>
      <c r="AG6" s="22">
        <v>19715</v>
      </c>
      <c r="AH6" s="22">
        <v>89300</v>
      </c>
      <c r="AI6" s="22">
        <v>81410</v>
      </c>
      <c r="AJ6" s="22">
        <v>169105</v>
      </c>
      <c r="AK6" s="22">
        <v>575</v>
      </c>
      <c r="AL6" s="22">
        <v>9590</v>
      </c>
      <c r="AM6" s="22">
        <v>23495</v>
      </c>
      <c r="AN6" s="22">
        <v>10561</v>
      </c>
      <c r="AO6" s="22">
        <v>443</v>
      </c>
      <c r="AP6" s="22">
        <v>1314</v>
      </c>
      <c r="AQ6" s="22">
        <v>21847</v>
      </c>
      <c r="AR6" s="22">
        <v>10871</v>
      </c>
      <c r="AS6" s="22">
        <v>26059</v>
      </c>
      <c r="AT6" s="22">
        <v>21325</v>
      </c>
      <c r="AU6" s="22">
        <v>6241</v>
      </c>
      <c r="AV6" s="22">
        <v>9558</v>
      </c>
      <c r="AW6" s="22">
        <v>1937</v>
      </c>
      <c r="AX6" s="22">
        <v>1000</v>
      </c>
      <c r="AY6" s="22">
        <v>1524</v>
      </c>
      <c r="AZ6" s="22">
        <v>1063</v>
      </c>
      <c r="BA6" s="22">
        <v>481</v>
      </c>
      <c r="BB6" s="22">
        <v>5062</v>
      </c>
      <c r="BC6" s="22">
        <v>4116</v>
      </c>
      <c r="BD6" s="22">
        <v>358</v>
      </c>
      <c r="BE6" s="22">
        <v>31045</v>
      </c>
      <c r="BF6" s="22">
        <v>18070</v>
      </c>
      <c r="BG6" s="22">
        <v>13546</v>
      </c>
      <c r="BH6" s="22">
        <v>5098</v>
      </c>
      <c r="BI6" s="22">
        <v>16147</v>
      </c>
      <c r="BJ6" s="22">
        <v>403</v>
      </c>
      <c r="BK6" s="22">
        <v>255</v>
      </c>
      <c r="BL6" s="22">
        <v>474</v>
      </c>
      <c r="BM6" s="22">
        <v>12317</v>
      </c>
      <c r="BN6" s="22">
        <v>8398</v>
      </c>
      <c r="BO6" s="22">
        <v>165</v>
      </c>
      <c r="BP6" s="22">
        <v>1428</v>
      </c>
      <c r="BQ6" s="22">
        <v>5126</v>
      </c>
      <c r="BR6" s="22">
        <v>3464</v>
      </c>
      <c r="BS6" s="22">
        <v>1927</v>
      </c>
      <c r="BT6" s="22">
        <v>12351</v>
      </c>
      <c r="BU6" s="22">
        <v>1754</v>
      </c>
      <c r="BV6" s="22">
        <v>9005</v>
      </c>
      <c r="BW6" s="22">
        <v>61776</v>
      </c>
      <c r="BX6" s="22">
        <v>15854</v>
      </c>
      <c r="BY6" s="22">
        <v>35774</v>
      </c>
      <c r="BZ6" s="22">
        <v>62743</v>
      </c>
      <c r="CA6" s="22">
        <v>60059</v>
      </c>
      <c r="CB6" s="22">
        <v>43767</v>
      </c>
      <c r="CC6" s="22">
        <v>42591</v>
      </c>
      <c r="CD6" s="22">
        <v>101936</v>
      </c>
      <c r="CE6" s="22">
        <v>35715</v>
      </c>
      <c r="CF6" s="22">
        <v>57092</v>
      </c>
      <c r="CG6" s="22">
        <v>350669</v>
      </c>
      <c r="CH6" s="22">
        <v>135330</v>
      </c>
      <c r="CI6" s="22">
        <v>178850</v>
      </c>
      <c r="CJ6" s="22">
        <v>1E-4</v>
      </c>
      <c r="CK6" s="22">
        <v>1E-4</v>
      </c>
      <c r="CL6" s="22">
        <v>1241</v>
      </c>
      <c r="CM6" s="22">
        <v>2142</v>
      </c>
      <c r="CN6" s="22">
        <v>1241</v>
      </c>
      <c r="CO6" s="22">
        <v>1118</v>
      </c>
      <c r="CP6" s="22">
        <v>443</v>
      </c>
      <c r="CQ6" s="12">
        <f>MEDIAN(C6:CP6)</f>
        <v>12317</v>
      </c>
    </row>
    <row r="7" spans="1:96">
      <c r="A7" s="26" t="s">
        <v>108</v>
      </c>
      <c r="B7" s="20" t="s">
        <v>93</v>
      </c>
      <c r="C7" s="50">
        <v>484</v>
      </c>
      <c r="D7" s="50">
        <v>196673</v>
      </c>
      <c r="E7" s="50">
        <v>673639</v>
      </c>
      <c r="F7" s="50">
        <v>135946</v>
      </c>
      <c r="G7" s="50">
        <v>4761</v>
      </c>
      <c r="H7" s="50">
        <v>28984</v>
      </c>
      <c r="I7" s="50">
        <v>741</v>
      </c>
      <c r="J7" s="50">
        <v>32840</v>
      </c>
      <c r="K7" s="50">
        <v>16255</v>
      </c>
      <c r="L7" s="50">
        <v>69153</v>
      </c>
      <c r="M7" s="50">
        <v>9686</v>
      </c>
      <c r="N7" s="50">
        <v>3305</v>
      </c>
      <c r="O7" s="50">
        <v>17049</v>
      </c>
      <c r="P7" s="50">
        <v>48898</v>
      </c>
      <c r="Q7" s="50">
        <v>2457</v>
      </c>
      <c r="R7" s="50">
        <v>6899</v>
      </c>
      <c r="S7" s="50">
        <v>9601</v>
      </c>
      <c r="T7" s="22">
        <v>19828</v>
      </c>
      <c r="U7" s="22">
        <v>16833</v>
      </c>
      <c r="V7" s="22">
        <v>87502</v>
      </c>
      <c r="W7" s="22">
        <v>27632</v>
      </c>
      <c r="X7" s="22">
        <v>130356</v>
      </c>
      <c r="Y7" s="22">
        <v>232148</v>
      </c>
      <c r="Z7" s="22">
        <v>151</v>
      </c>
      <c r="AA7" s="22">
        <v>11268</v>
      </c>
      <c r="AC7" s="22">
        <v>26618</v>
      </c>
      <c r="AD7" s="22">
        <v>15189</v>
      </c>
      <c r="AE7" s="22">
        <v>49991</v>
      </c>
      <c r="AF7" s="22">
        <v>22777</v>
      </c>
      <c r="AG7" s="22">
        <v>15576</v>
      </c>
      <c r="AH7" s="22">
        <v>90955</v>
      </c>
      <c r="AI7" s="22">
        <v>98840</v>
      </c>
      <c r="AJ7" s="22">
        <v>180871</v>
      </c>
      <c r="AK7" s="22">
        <v>671</v>
      </c>
      <c r="AL7" s="22">
        <v>10716</v>
      </c>
      <c r="AM7" s="22">
        <v>31200</v>
      </c>
      <c r="AN7" s="22">
        <v>15672</v>
      </c>
      <c r="AO7" s="22">
        <v>634</v>
      </c>
      <c r="AP7" s="22">
        <v>1690</v>
      </c>
      <c r="AQ7" s="22">
        <v>25902</v>
      </c>
      <c r="AR7" s="22">
        <v>15521</v>
      </c>
      <c r="AS7" s="22">
        <v>31421</v>
      </c>
      <c r="AT7" s="22">
        <v>30967</v>
      </c>
      <c r="AU7" s="22">
        <v>6522</v>
      </c>
      <c r="AV7" s="22">
        <v>12994</v>
      </c>
      <c r="AW7" s="22">
        <v>2711</v>
      </c>
      <c r="AX7" s="22">
        <v>566</v>
      </c>
      <c r="AY7" s="22">
        <v>2223</v>
      </c>
      <c r="AZ7" s="22">
        <v>639</v>
      </c>
      <c r="BA7" s="22">
        <v>600</v>
      </c>
      <c r="BB7" s="22">
        <v>4731</v>
      </c>
      <c r="BC7" s="22">
        <v>6493</v>
      </c>
      <c r="BD7" s="22">
        <v>464</v>
      </c>
      <c r="BE7" s="22">
        <v>29786</v>
      </c>
      <c r="BF7" s="22">
        <v>22640</v>
      </c>
      <c r="BG7" s="22">
        <v>18922</v>
      </c>
      <c r="BH7" s="22">
        <v>7622</v>
      </c>
      <c r="BI7" s="22">
        <v>47817</v>
      </c>
      <c r="BJ7" s="22">
        <v>527</v>
      </c>
      <c r="BK7" s="22">
        <v>588</v>
      </c>
      <c r="BL7" s="22">
        <v>761</v>
      </c>
      <c r="BM7" s="22">
        <v>10856</v>
      </c>
      <c r="BN7" s="22">
        <v>9800</v>
      </c>
      <c r="BO7" s="22">
        <v>75</v>
      </c>
      <c r="BP7" s="22">
        <v>1557</v>
      </c>
      <c r="BQ7" s="22">
        <v>5242</v>
      </c>
      <c r="BR7" s="22">
        <v>5025</v>
      </c>
      <c r="BS7" s="22">
        <v>2371</v>
      </c>
      <c r="BT7" s="22">
        <v>13460</v>
      </c>
      <c r="BU7" s="22">
        <v>1470</v>
      </c>
      <c r="BV7" s="22">
        <v>8247</v>
      </c>
      <c r="BW7" s="22">
        <v>56602</v>
      </c>
      <c r="BX7" s="22">
        <v>15637</v>
      </c>
      <c r="BY7" s="22">
        <v>42062</v>
      </c>
      <c r="BZ7" s="22">
        <v>54924</v>
      </c>
      <c r="CA7" s="22">
        <v>60601</v>
      </c>
      <c r="CB7" s="22">
        <v>53673</v>
      </c>
      <c r="CC7" s="22">
        <v>41620</v>
      </c>
      <c r="CD7" s="22">
        <v>169339</v>
      </c>
      <c r="CE7" s="22">
        <v>46786</v>
      </c>
      <c r="CF7" s="22">
        <v>56072</v>
      </c>
      <c r="CG7" s="22">
        <v>372218</v>
      </c>
      <c r="CH7" s="22">
        <v>219038</v>
      </c>
      <c r="CI7" s="22">
        <v>231669</v>
      </c>
      <c r="CJ7" s="22">
        <v>134</v>
      </c>
      <c r="CK7" s="22">
        <v>237</v>
      </c>
      <c r="CL7" s="22">
        <v>1279</v>
      </c>
      <c r="CM7" s="22">
        <v>2395</v>
      </c>
      <c r="CN7" s="22">
        <v>1279</v>
      </c>
      <c r="CO7" s="22">
        <v>928</v>
      </c>
      <c r="CP7" s="22">
        <v>892</v>
      </c>
      <c r="CQ7" s="12">
        <f t="shared" ref="CQ7:CQ11" si="0">MEDIAN(C7:CP7)</f>
        <v>15189</v>
      </c>
    </row>
    <row r="8" spans="1:96">
      <c r="A8" s="26" t="s">
        <v>161</v>
      </c>
      <c r="B8" s="20" t="s">
        <v>93</v>
      </c>
      <c r="C8" s="50">
        <v>284</v>
      </c>
      <c r="D8" s="50">
        <v>102483</v>
      </c>
      <c r="E8" s="50">
        <v>499214</v>
      </c>
      <c r="F8" s="50">
        <v>68459</v>
      </c>
      <c r="G8" s="50">
        <v>630</v>
      </c>
      <c r="H8" s="50">
        <v>20511</v>
      </c>
      <c r="I8" s="50">
        <v>588</v>
      </c>
      <c r="J8" s="50">
        <v>12821</v>
      </c>
      <c r="K8" s="50">
        <v>5442</v>
      </c>
      <c r="L8" s="50">
        <v>41212</v>
      </c>
      <c r="M8" s="50">
        <v>2104</v>
      </c>
      <c r="N8" s="50">
        <v>2155</v>
      </c>
      <c r="O8" s="50">
        <v>13153</v>
      </c>
      <c r="P8" s="50">
        <v>62189</v>
      </c>
      <c r="Q8" s="50">
        <v>3238</v>
      </c>
      <c r="R8" s="50">
        <v>1834</v>
      </c>
      <c r="S8" s="50">
        <v>5644</v>
      </c>
      <c r="T8" s="22">
        <v>14761</v>
      </c>
      <c r="U8" s="22">
        <v>14025</v>
      </c>
      <c r="V8" s="22">
        <v>140074</v>
      </c>
      <c r="W8" s="22">
        <v>42207</v>
      </c>
      <c r="X8" s="22">
        <v>90020</v>
      </c>
      <c r="Y8" s="22">
        <v>213564</v>
      </c>
      <c r="Z8" s="22">
        <v>163</v>
      </c>
      <c r="AA8" s="22">
        <v>11504</v>
      </c>
      <c r="AC8" s="22">
        <v>10033</v>
      </c>
      <c r="AD8" s="22">
        <v>11670</v>
      </c>
      <c r="AE8" s="22">
        <v>29416</v>
      </c>
      <c r="AF8" s="22">
        <v>12271</v>
      </c>
      <c r="AG8" s="22">
        <v>14662</v>
      </c>
      <c r="AH8" s="22">
        <v>58697</v>
      </c>
      <c r="AI8" s="22">
        <v>62769</v>
      </c>
      <c r="AJ8" s="22">
        <v>157291</v>
      </c>
      <c r="AK8" s="22">
        <v>402</v>
      </c>
      <c r="AL8" s="22">
        <v>4650</v>
      </c>
      <c r="AM8" s="22">
        <v>14748</v>
      </c>
      <c r="AN8" s="22">
        <v>7768</v>
      </c>
      <c r="AO8" s="22">
        <v>325</v>
      </c>
      <c r="AP8" s="22">
        <v>743</v>
      </c>
      <c r="AQ8" s="22">
        <v>14622</v>
      </c>
      <c r="AR8" s="22">
        <v>7227</v>
      </c>
      <c r="AS8" s="22">
        <v>19584</v>
      </c>
      <c r="AT8" s="22">
        <v>19264</v>
      </c>
      <c r="AU8" s="22">
        <v>5441</v>
      </c>
      <c r="AV8" s="22">
        <v>10739</v>
      </c>
      <c r="AW8" s="22">
        <v>2226</v>
      </c>
      <c r="AX8" s="22">
        <v>167</v>
      </c>
      <c r="AY8" s="22">
        <v>977</v>
      </c>
      <c r="AZ8" s="22">
        <v>655</v>
      </c>
      <c r="BA8" s="22">
        <v>200</v>
      </c>
      <c r="BB8" s="22">
        <v>2576</v>
      </c>
      <c r="BC8" s="22">
        <v>4544</v>
      </c>
      <c r="BD8" s="22">
        <v>714</v>
      </c>
      <c r="BE8" s="22">
        <v>37507</v>
      </c>
      <c r="BF8" s="22">
        <v>28750</v>
      </c>
      <c r="BG8" s="22">
        <v>23629</v>
      </c>
      <c r="BH8" s="22">
        <v>9798</v>
      </c>
      <c r="BI8" s="22">
        <v>38579</v>
      </c>
      <c r="BJ8" s="22">
        <v>580</v>
      </c>
      <c r="BK8" s="22">
        <v>930</v>
      </c>
      <c r="BL8" s="22">
        <v>742</v>
      </c>
      <c r="BM8" s="22">
        <v>21336</v>
      </c>
      <c r="BN8" s="22">
        <v>17204</v>
      </c>
      <c r="BO8" s="22">
        <v>354</v>
      </c>
      <c r="BP8" s="22">
        <v>921</v>
      </c>
      <c r="BQ8" s="22">
        <v>2835</v>
      </c>
      <c r="BR8" s="22">
        <v>2085</v>
      </c>
      <c r="BS8" s="22">
        <v>1090</v>
      </c>
      <c r="BT8" s="22">
        <v>7611</v>
      </c>
      <c r="BU8" s="22">
        <v>1175</v>
      </c>
      <c r="BV8" s="22">
        <v>4958</v>
      </c>
      <c r="BW8" s="22">
        <v>37650</v>
      </c>
      <c r="BX8" s="22">
        <v>16064</v>
      </c>
      <c r="BY8" s="22">
        <v>22939</v>
      </c>
      <c r="BZ8" s="22">
        <v>28238</v>
      </c>
      <c r="CA8" s="22">
        <v>39110</v>
      </c>
      <c r="CB8" s="22">
        <v>23783</v>
      </c>
      <c r="CC8" s="22">
        <v>33742</v>
      </c>
      <c r="CD8" s="22">
        <v>108618</v>
      </c>
      <c r="CE8" s="22">
        <v>36169</v>
      </c>
      <c r="CF8" s="22">
        <v>40651</v>
      </c>
      <c r="CG8" s="22">
        <v>320686</v>
      </c>
      <c r="CH8" s="22">
        <v>206042</v>
      </c>
      <c r="CI8" s="22">
        <v>279406</v>
      </c>
      <c r="CJ8" s="22">
        <v>206</v>
      </c>
      <c r="CK8" s="22">
        <v>326</v>
      </c>
      <c r="CL8" s="22">
        <v>1496</v>
      </c>
      <c r="CM8" s="22">
        <v>2429</v>
      </c>
      <c r="CN8" s="22">
        <v>1496</v>
      </c>
      <c r="CO8" s="22">
        <v>1510</v>
      </c>
      <c r="CP8" s="22">
        <v>844</v>
      </c>
      <c r="CQ8" s="12">
        <f t="shared" si="0"/>
        <v>10739</v>
      </c>
    </row>
    <row r="9" spans="1:96">
      <c r="A9" s="26" t="s">
        <v>160</v>
      </c>
      <c r="B9" s="20" t="s">
        <v>94</v>
      </c>
      <c r="C9" s="50">
        <v>219</v>
      </c>
      <c r="D9" s="50">
        <v>118054</v>
      </c>
      <c r="E9" s="50">
        <v>630019</v>
      </c>
      <c r="F9" s="50">
        <v>102800</v>
      </c>
      <c r="G9" s="50">
        <v>1064</v>
      </c>
      <c r="H9" s="50">
        <v>26411</v>
      </c>
      <c r="I9" s="50">
        <v>717</v>
      </c>
      <c r="J9" s="50">
        <v>16625</v>
      </c>
      <c r="K9" s="50">
        <v>6636</v>
      </c>
      <c r="L9" s="50">
        <v>27490</v>
      </c>
      <c r="M9" s="50">
        <v>2967</v>
      </c>
      <c r="N9" s="50">
        <v>1587</v>
      </c>
      <c r="O9" s="50">
        <v>15633</v>
      </c>
      <c r="P9" s="50">
        <v>41399</v>
      </c>
      <c r="Q9" s="50">
        <v>1833</v>
      </c>
      <c r="R9" s="50">
        <v>6806</v>
      </c>
      <c r="S9" s="50">
        <v>11821</v>
      </c>
      <c r="T9" s="22">
        <v>22683</v>
      </c>
      <c r="U9" s="22">
        <v>13342</v>
      </c>
      <c r="V9" s="22">
        <v>132986</v>
      </c>
      <c r="W9" s="22">
        <v>47546</v>
      </c>
      <c r="X9" s="22">
        <v>121492</v>
      </c>
      <c r="Y9" s="22">
        <v>160096</v>
      </c>
      <c r="Z9" s="22">
        <v>203</v>
      </c>
      <c r="AA9" s="22">
        <v>12408</v>
      </c>
      <c r="AC9" s="22">
        <v>22355</v>
      </c>
      <c r="AD9" s="22">
        <v>19205</v>
      </c>
      <c r="AE9" s="22">
        <v>52467</v>
      </c>
      <c r="AF9" s="22">
        <v>28683</v>
      </c>
      <c r="AG9" s="22">
        <v>22806</v>
      </c>
      <c r="AH9" s="22">
        <v>94622</v>
      </c>
      <c r="AI9" s="22">
        <v>85246</v>
      </c>
      <c r="AJ9" s="22">
        <v>194146</v>
      </c>
      <c r="AK9" s="22">
        <v>661</v>
      </c>
      <c r="AL9" s="22">
        <v>9657</v>
      </c>
      <c r="AM9" s="22">
        <v>23512</v>
      </c>
      <c r="AN9" s="22">
        <v>10970</v>
      </c>
      <c r="AO9" s="22">
        <v>480</v>
      </c>
      <c r="AP9" s="22">
        <v>1420</v>
      </c>
      <c r="AQ9" s="22">
        <v>24309</v>
      </c>
      <c r="AR9" s="22">
        <v>16492</v>
      </c>
      <c r="AS9" s="22">
        <v>29669</v>
      </c>
      <c r="AT9" s="22">
        <v>27918</v>
      </c>
      <c r="AU9" s="22">
        <v>7479</v>
      </c>
      <c r="AV9" s="22">
        <v>12149</v>
      </c>
      <c r="AW9" s="22">
        <v>2142</v>
      </c>
      <c r="AX9" s="22">
        <v>1011</v>
      </c>
      <c r="AY9" s="22">
        <v>1583</v>
      </c>
      <c r="AZ9" s="22">
        <v>558</v>
      </c>
      <c r="BA9" s="22">
        <v>1077</v>
      </c>
      <c r="BB9" s="22">
        <v>4364</v>
      </c>
      <c r="BC9" s="22">
        <v>6378</v>
      </c>
      <c r="BD9" s="22">
        <v>888</v>
      </c>
      <c r="BE9" s="22">
        <v>40758</v>
      </c>
      <c r="BF9" s="22">
        <v>33044</v>
      </c>
      <c r="BG9" s="22">
        <v>20806</v>
      </c>
      <c r="BH9" s="22">
        <v>6376</v>
      </c>
      <c r="BI9" s="22">
        <v>38700</v>
      </c>
      <c r="BJ9" s="22">
        <v>568</v>
      </c>
      <c r="BK9" s="22">
        <v>1033</v>
      </c>
      <c r="BL9" s="22">
        <v>335</v>
      </c>
      <c r="BM9" s="22">
        <v>20614</v>
      </c>
      <c r="BN9" s="22">
        <v>13262</v>
      </c>
      <c r="BO9" s="22">
        <v>193</v>
      </c>
      <c r="BP9" s="22">
        <v>1829</v>
      </c>
      <c r="BQ9" s="22">
        <v>4280</v>
      </c>
      <c r="BR9" s="22">
        <v>3669</v>
      </c>
      <c r="BS9" s="22">
        <v>2262</v>
      </c>
      <c r="BT9" s="22">
        <v>13209</v>
      </c>
      <c r="BU9" s="22">
        <v>5245</v>
      </c>
      <c r="BV9" s="22">
        <v>7838</v>
      </c>
      <c r="BW9" s="22">
        <v>56294</v>
      </c>
      <c r="BX9" s="22">
        <v>20514</v>
      </c>
      <c r="BY9" s="22">
        <v>36190</v>
      </c>
      <c r="BZ9" s="22">
        <v>52469</v>
      </c>
      <c r="CA9" s="22">
        <v>66986</v>
      </c>
      <c r="CB9" s="22">
        <v>35158</v>
      </c>
      <c r="CC9" s="22">
        <v>55597</v>
      </c>
      <c r="CD9" s="22">
        <v>133874</v>
      </c>
      <c r="CE9" s="22">
        <v>40402</v>
      </c>
      <c r="CF9" s="22">
        <v>55626</v>
      </c>
      <c r="CG9" s="22">
        <v>405177</v>
      </c>
      <c r="CH9" s="22">
        <v>219749</v>
      </c>
      <c r="CI9" s="22">
        <v>265565</v>
      </c>
      <c r="CJ9" s="22">
        <v>305</v>
      </c>
      <c r="CK9" s="22">
        <v>245</v>
      </c>
      <c r="CL9" s="22">
        <v>4922</v>
      </c>
      <c r="CM9" s="22">
        <v>4188</v>
      </c>
      <c r="CN9" s="22">
        <v>4922</v>
      </c>
      <c r="CO9" s="22">
        <v>1742</v>
      </c>
      <c r="CP9" s="22">
        <v>1829</v>
      </c>
      <c r="CQ9" s="12">
        <f t="shared" si="0"/>
        <v>13262</v>
      </c>
    </row>
    <row r="10" spans="1:96">
      <c r="A10" s="26" t="s">
        <v>159</v>
      </c>
      <c r="B10" s="20" t="s">
        <v>94</v>
      </c>
      <c r="C10" s="50">
        <v>157</v>
      </c>
      <c r="D10" s="50">
        <v>135887</v>
      </c>
      <c r="E10" s="50">
        <v>673406</v>
      </c>
      <c r="F10" s="50">
        <v>91128</v>
      </c>
      <c r="G10" s="50">
        <v>1079</v>
      </c>
      <c r="H10" s="50">
        <v>26232</v>
      </c>
      <c r="I10" s="50">
        <v>680</v>
      </c>
      <c r="J10" s="50">
        <v>21461</v>
      </c>
      <c r="K10" s="50">
        <v>10389</v>
      </c>
      <c r="L10" s="50">
        <v>46965</v>
      </c>
      <c r="M10" s="50">
        <v>3429</v>
      </c>
      <c r="N10" s="50">
        <v>2633</v>
      </c>
      <c r="O10" s="50">
        <v>16157</v>
      </c>
      <c r="P10" s="50">
        <v>49242</v>
      </c>
      <c r="Q10" s="50">
        <v>3538</v>
      </c>
      <c r="R10" s="50">
        <v>5105</v>
      </c>
      <c r="S10" s="50">
        <v>8296</v>
      </c>
      <c r="T10" s="22">
        <v>19682</v>
      </c>
      <c r="U10" s="22">
        <v>16569</v>
      </c>
      <c r="V10" s="22">
        <v>162451</v>
      </c>
      <c r="W10" s="22">
        <v>46071</v>
      </c>
      <c r="X10" s="22">
        <v>122080</v>
      </c>
      <c r="Y10" s="22">
        <v>208711</v>
      </c>
      <c r="Z10" s="22">
        <v>189</v>
      </c>
      <c r="AA10" s="22">
        <v>10054</v>
      </c>
      <c r="AC10" s="22">
        <v>21620</v>
      </c>
      <c r="AD10" s="22">
        <v>20685</v>
      </c>
      <c r="AE10" s="22">
        <v>45874</v>
      </c>
      <c r="AF10" s="22">
        <v>25495</v>
      </c>
      <c r="AG10" s="22">
        <v>17366</v>
      </c>
      <c r="AH10" s="22">
        <v>90996</v>
      </c>
      <c r="AI10" s="22">
        <v>74176</v>
      </c>
      <c r="AJ10" s="22">
        <v>185528</v>
      </c>
      <c r="AK10" s="22">
        <v>474</v>
      </c>
      <c r="AL10" s="22">
        <v>9515</v>
      </c>
      <c r="AM10" s="22">
        <v>26646</v>
      </c>
      <c r="AN10" s="22">
        <v>9287</v>
      </c>
      <c r="AO10" s="22">
        <v>303</v>
      </c>
      <c r="AP10" s="22">
        <v>1069</v>
      </c>
      <c r="AQ10" s="22">
        <v>28833</v>
      </c>
      <c r="AR10" s="22">
        <v>17329</v>
      </c>
      <c r="AS10" s="22">
        <v>32398</v>
      </c>
      <c r="AT10" s="22">
        <v>26540</v>
      </c>
      <c r="AU10" s="22">
        <v>6789</v>
      </c>
      <c r="AV10" s="22">
        <v>10665</v>
      </c>
      <c r="AW10" s="22">
        <v>1822</v>
      </c>
      <c r="AX10" s="22">
        <v>281</v>
      </c>
      <c r="AY10" s="22">
        <v>1620</v>
      </c>
      <c r="AZ10" s="22">
        <v>495</v>
      </c>
      <c r="BA10" s="22">
        <v>462</v>
      </c>
      <c r="BB10" s="22">
        <v>4205</v>
      </c>
      <c r="BC10" s="22">
        <v>7893</v>
      </c>
      <c r="BD10" s="22">
        <v>859</v>
      </c>
      <c r="BE10" s="22">
        <v>38671</v>
      </c>
      <c r="BF10" s="22">
        <v>34829</v>
      </c>
      <c r="BG10" s="22">
        <v>18574</v>
      </c>
      <c r="BH10" s="22">
        <v>7479</v>
      </c>
      <c r="BI10" s="22">
        <v>34137</v>
      </c>
      <c r="BJ10" s="22">
        <v>918</v>
      </c>
      <c r="BK10" s="22">
        <v>799</v>
      </c>
      <c r="BL10" s="22">
        <v>263</v>
      </c>
      <c r="BM10" s="22">
        <v>14609</v>
      </c>
      <c r="BN10" s="22">
        <v>14442</v>
      </c>
      <c r="BO10" s="22">
        <v>329</v>
      </c>
      <c r="BP10" s="22">
        <v>1523</v>
      </c>
      <c r="BQ10" s="22">
        <v>4426</v>
      </c>
      <c r="BR10" s="22">
        <v>4489</v>
      </c>
      <c r="BS10" s="22">
        <v>3010</v>
      </c>
      <c r="BT10" s="22">
        <v>12112</v>
      </c>
      <c r="BU10" s="22">
        <v>1539</v>
      </c>
      <c r="BV10" s="22">
        <v>7934</v>
      </c>
      <c r="BW10" s="22">
        <v>58115</v>
      </c>
      <c r="BX10" s="22">
        <v>19665</v>
      </c>
      <c r="BY10" s="22">
        <v>48389</v>
      </c>
      <c r="BZ10" s="22">
        <v>45261</v>
      </c>
      <c r="CA10" s="22">
        <v>59367</v>
      </c>
      <c r="CB10" s="22">
        <v>55001</v>
      </c>
      <c r="CC10" s="22">
        <v>72546</v>
      </c>
      <c r="CD10" s="22">
        <v>129243</v>
      </c>
      <c r="CE10" s="22">
        <v>52395</v>
      </c>
      <c r="CF10" s="22">
        <v>55370</v>
      </c>
      <c r="CG10" s="22">
        <v>374637</v>
      </c>
      <c r="CH10" s="22">
        <v>203591</v>
      </c>
      <c r="CI10" s="22">
        <v>329147</v>
      </c>
      <c r="CJ10" s="22">
        <v>141</v>
      </c>
      <c r="CK10" s="22">
        <v>259</v>
      </c>
      <c r="CL10" s="22">
        <v>4339</v>
      </c>
      <c r="CM10" s="22">
        <v>2821</v>
      </c>
      <c r="CN10" s="22">
        <v>4339</v>
      </c>
      <c r="CO10" s="22">
        <v>1679</v>
      </c>
      <c r="CP10" s="22">
        <v>829</v>
      </c>
      <c r="CQ10" s="12">
        <f t="shared" si="0"/>
        <v>14442</v>
      </c>
    </row>
    <row r="11" spans="1:96">
      <c r="A11" s="26" t="s">
        <v>107</v>
      </c>
      <c r="B11" s="20" t="s">
        <v>94</v>
      </c>
      <c r="C11" s="50">
        <v>552</v>
      </c>
      <c r="D11" s="50">
        <v>227153</v>
      </c>
      <c r="E11" s="50">
        <v>653957</v>
      </c>
      <c r="F11" s="50">
        <v>107021</v>
      </c>
      <c r="G11" s="50">
        <v>6425</v>
      </c>
      <c r="H11" s="50">
        <v>19769</v>
      </c>
      <c r="I11" s="50">
        <v>829</v>
      </c>
      <c r="J11" s="50">
        <v>33474</v>
      </c>
      <c r="K11" s="50">
        <v>19923</v>
      </c>
      <c r="L11" s="50">
        <v>94024</v>
      </c>
      <c r="M11" s="50">
        <v>11010</v>
      </c>
      <c r="N11" s="50">
        <v>4376</v>
      </c>
      <c r="O11" s="50">
        <v>14517</v>
      </c>
      <c r="P11" s="50">
        <v>50940</v>
      </c>
      <c r="Q11" s="50">
        <v>2299</v>
      </c>
      <c r="R11" s="50">
        <v>6057</v>
      </c>
      <c r="S11" s="50">
        <v>7029</v>
      </c>
      <c r="T11" s="22">
        <v>11814</v>
      </c>
      <c r="U11" s="22">
        <v>13743</v>
      </c>
      <c r="V11" s="22">
        <v>58814</v>
      </c>
      <c r="W11" s="22">
        <v>19677</v>
      </c>
      <c r="X11" s="22">
        <v>122971</v>
      </c>
      <c r="Y11" s="22">
        <v>257723</v>
      </c>
      <c r="Z11" s="22">
        <v>101</v>
      </c>
      <c r="AA11" s="22">
        <v>9967</v>
      </c>
      <c r="AC11" s="22">
        <v>22719</v>
      </c>
      <c r="AD11" s="22">
        <v>23680</v>
      </c>
      <c r="AE11" s="22">
        <v>49170</v>
      </c>
      <c r="AF11" s="22">
        <v>22556</v>
      </c>
      <c r="AG11" s="22">
        <v>29255</v>
      </c>
      <c r="AH11" s="22">
        <v>76755</v>
      </c>
      <c r="AI11" s="22">
        <v>91947</v>
      </c>
      <c r="AJ11" s="22">
        <v>179803</v>
      </c>
      <c r="AK11" s="22">
        <v>828</v>
      </c>
      <c r="AL11" s="22">
        <v>10041</v>
      </c>
      <c r="AM11" s="22">
        <v>38110</v>
      </c>
      <c r="AN11" s="22">
        <v>20961</v>
      </c>
      <c r="AO11" s="22">
        <v>654</v>
      </c>
      <c r="AP11" s="22">
        <v>729</v>
      </c>
      <c r="AQ11" s="22">
        <v>31771</v>
      </c>
      <c r="AR11" s="22">
        <v>31369</v>
      </c>
      <c r="AS11" s="22">
        <v>44269</v>
      </c>
      <c r="AT11" s="22">
        <v>47055</v>
      </c>
      <c r="AU11" s="22">
        <v>8488</v>
      </c>
      <c r="AV11" s="22">
        <v>17147</v>
      </c>
      <c r="AW11" s="22">
        <v>3611</v>
      </c>
      <c r="AX11" s="22">
        <v>1445</v>
      </c>
      <c r="AY11" s="22">
        <v>2583</v>
      </c>
      <c r="AZ11" s="22">
        <v>1949</v>
      </c>
      <c r="BA11" s="22">
        <v>835</v>
      </c>
      <c r="BB11" s="22">
        <v>3878</v>
      </c>
      <c r="BC11" s="22">
        <v>8641</v>
      </c>
      <c r="BD11" s="22">
        <v>619</v>
      </c>
      <c r="BE11" s="22">
        <v>53987</v>
      </c>
      <c r="BF11" s="22">
        <v>50114</v>
      </c>
      <c r="BG11" s="22">
        <v>25411</v>
      </c>
      <c r="BH11" s="22">
        <v>10016</v>
      </c>
      <c r="BI11" s="22">
        <v>63869</v>
      </c>
      <c r="BJ11" s="22">
        <v>636</v>
      </c>
      <c r="BK11" s="22">
        <v>637</v>
      </c>
      <c r="BL11" s="22">
        <v>929</v>
      </c>
      <c r="BM11" s="22">
        <v>23321</v>
      </c>
      <c r="BN11" s="22">
        <v>12021</v>
      </c>
      <c r="BO11" s="22">
        <v>203</v>
      </c>
      <c r="BP11" s="22">
        <v>1599</v>
      </c>
      <c r="BQ11" s="22">
        <v>4021</v>
      </c>
      <c r="BR11" s="22">
        <v>5474</v>
      </c>
      <c r="BS11" s="22">
        <v>1862</v>
      </c>
      <c r="BT11" s="22">
        <v>12153</v>
      </c>
      <c r="BU11" s="22">
        <v>5074</v>
      </c>
      <c r="BV11" s="22">
        <v>6035</v>
      </c>
      <c r="BW11" s="22">
        <v>49495</v>
      </c>
      <c r="BX11" s="22">
        <v>15174</v>
      </c>
      <c r="BY11" s="22">
        <v>46333</v>
      </c>
      <c r="BZ11" s="22">
        <v>50018</v>
      </c>
      <c r="CA11" s="22">
        <v>50405</v>
      </c>
      <c r="CB11" s="22">
        <v>54951</v>
      </c>
      <c r="CC11" s="22">
        <v>56459</v>
      </c>
      <c r="CD11" s="22">
        <v>163269</v>
      </c>
      <c r="CE11" s="22">
        <v>64629</v>
      </c>
      <c r="CF11" s="22">
        <v>51284</v>
      </c>
      <c r="CG11" s="22">
        <v>379321</v>
      </c>
      <c r="CH11" s="22">
        <v>247527</v>
      </c>
      <c r="CI11" s="22">
        <v>301711</v>
      </c>
      <c r="CJ11" s="22">
        <v>226</v>
      </c>
      <c r="CK11" s="22">
        <v>281</v>
      </c>
      <c r="CL11" s="22">
        <v>1547</v>
      </c>
      <c r="CM11" s="22">
        <v>2446</v>
      </c>
      <c r="CN11" s="22">
        <v>1547</v>
      </c>
      <c r="CO11" s="22">
        <v>443</v>
      </c>
      <c r="CP11" s="22">
        <v>896</v>
      </c>
      <c r="CQ11" s="12">
        <f t="shared" si="0"/>
        <v>14517</v>
      </c>
    </row>
    <row r="12" spans="1:96">
      <c r="A12" s="5"/>
      <c r="B12" s="7" t="s">
        <v>97</v>
      </c>
      <c r="C12" s="51">
        <v>325.83</v>
      </c>
      <c r="D12" s="51">
        <v>156371.17000000001</v>
      </c>
      <c r="E12" s="51">
        <v>638753.17000000004</v>
      </c>
      <c r="F12" s="51">
        <v>100722</v>
      </c>
      <c r="G12" s="51">
        <v>2493</v>
      </c>
      <c r="H12" s="51">
        <v>25573.67</v>
      </c>
      <c r="I12" s="51">
        <v>643</v>
      </c>
      <c r="J12" s="51">
        <v>24144.67</v>
      </c>
      <c r="K12" s="51">
        <v>11984.5</v>
      </c>
      <c r="L12" s="51">
        <v>55175.67</v>
      </c>
      <c r="M12" s="51">
        <v>5387.83</v>
      </c>
      <c r="N12" s="51">
        <v>2753.5</v>
      </c>
      <c r="O12" s="51">
        <v>15539.5</v>
      </c>
      <c r="P12" s="51">
        <v>51370.67</v>
      </c>
      <c r="Q12" s="51">
        <v>2840</v>
      </c>
      <c r="R12" s="51">
        <v>5537.33</v>
      </c>
      <c r="S12" s="51">
        <v>8759.67</v>
      </c>
      <c r="T12" s="13">
        <v>19035.830000000002</v>
      </c>
      <c r="U12" s="13">
        <v>15157.5</v>
      </c>
      <c r="V12" s="13">
        <v>125151</v>
      </c>
      <c r="W12" s="13">
        <v>38120.83</v>
      </c>
      <c r="X12" s="13">
        <v>121864.5</v>
      </c>
      <c r="Y12" s="13">
        <v>212651.67</v>
      </c>
      <c r="Z12" s="13">
        <v>163.83000000000001</v>
      </c>
      <c r="AA12" s="13">
        <v>11054.5</v>
      </c>
      <c r="AC12" s="13">
        <v>21348.5</v>
      </c>
      <c r="AD12" s="13">
        <v>18868.330000000002</v>
      </c>
      <c r="AE12" s="13">
        <v>48254.33</v>
      </c>
      <c r="AF12" s="13">
        <v>22939.5</v>
      </c>
      <c r="AG12" s="13">
        <v>19896.669999999998</v>
      </c>
      <c r="AH12" s="13">
        <v>83554.17</v>
      </c>
      <c r="AI12" s="13">
        <v>82398</v>
      </c>
      <c r="AJ12" s="13">
        <v>177790.67</v>
      </c>
      <c r="AK12" s="13">
        <v>601.83000000000004</v>
      </c>
      <c r="AL12" s="13">
        <v>9028.17</v>
      </c>
      <c r="AM12" s="13">
        <v>26285.17</v>
      </c>
      <c r="AN12" s="13">
        <v>12536.5</v>
      </c>
      <c r="AO12" s="13">
        <v>473.17</v>
      </c>
      <c r="AP12" s="13">
        <v>1160.83</v>
      </c>
      <c r="AQ12" s="13">
        <v>24547.33</v>
      </c>
      <c r="AR12" s="13">
        <v>16468.169999999998</v>
      </c>
      <c r="AS12" s="13">
        <v>30566.67</v>
      </c>
      <c r="AT12" s="13">
        <v>28844.83</v>
      </c>
      <c r="AU12" s="13">
        <v>6826.67</v>
      </c>
      <c r="AV12" s="13">
        <v>12208.67</v>
      </c>
      <c r="AW12" s="13">
        <v>2408.17</v>
      </c>
      <c r="AX12" s="13">
        <v>745</v>
      </c>
      <c r="AY12" s="13">
        <v>1751.67</v>
      </c>
      <c r="AZ12" s="13">
        <v>893.17</v>
      </c>
      <c r="BA12" s="13">
        <v>609.16999999999996</v>
      </c>
      <c r="BB12" s="13">
        <v>4136</v>
      </c>
      <c r="BC12" s="13">
        <v>6344.17</v>
      </c>
      <c r="BD12" s="13">
        <v>650.33000000000004</v>
      </c>
      <c r="BE12" s="13">
        <v>38625.67</v>
      </c>
      <c r="BF12" s="13">
        <v>31241.17</v>
      </c>
      <c r="BG12" s="13">
        <v>20148</v>
      </c>
      <c r="BH12" s="13">
        <v>7731.5</v>
      </c>
      <c r="BI12" s="13">
        <v>39874.83</v>
      </c>
      <c r="BJ12" s="13">
        <v>605.33000000000004</v>
      </c>
      <c r="BK12" s="13">
        <v>707</v>
      </c>
      <c r="BL12" s="13">
        <v>584</v>
      </c>
      <c r="BM12" s="13">
        <v>17175.5</v>
      </c>
      <c r="BN12" s="13">
        <v>12521.17</v>
      </c>
      <c r="BO12" s="13">
        <v>219.83</v>
      </c>
      <c r="BP12" s="13">
        <v>1476.17</v>
      </c>
      <c r="BQ12" s="13">
        <v>4321.67</v>
      </c>
      <c r="BR12" s="13">
        <v>4034.33</v>
      </c>
      <c r="BS12" s="13">
        <v>2087</v>
      </c>
      <c r="BT12" s="13">
        <v>11816</v>
      </c>
      <c r="BU12" s="13">
        <v>2709.5</v>
      </c>
      <c r="BV12" s="13">
        <v>7336.17</v>
      </c>
      <c r="BW12" s="13">
        <v>53322</v>
      </c>
      <c r="BX12" s="13">
        <v>17151.330000000002</v>
      </c>
      <c r="BY12" s="13">
        <v>38614.5</v>
      </c>
      <c r="BZ12" s="13">
        <v>48942.17</v>
      </c>
      <c r="CA12" s="13">
        <v>56088</v>
      </c>
      <c r="CB12" s="13">
        <v>44388.83</v>
      </c>
      <c r="CC12" s="13">
        <v>50425.83</v>
      </c>
      <c r="CD12" s="13">
        <v>134379.82999999999</v>
      </c>
      <c r="CE12" s="13">
        <v>46016</v>
      </c>
      <c r="CF12" s="13">
        <v>52682.5</v>
      </c>
      <c r="CG12" s="13">
        <v>367118</v>
      </c>
      <c r="CH12" s="13">
        <v>205212.83</v>
      </c>
      <c r="CI12" s="13">
        <v>264391.33</v>
      </c>
      <c r="CJ12" s="13">
        <v>202.4</v>
      </c>
      <c r="CK12" s="13">
        <v>269.60000000000002</v>
      </c>
      <c r="CL12" s="13">
        <v>2470.67</v>
      </c>
      <c r="CM12" s="13">
        <v>2736.83</v>
      </c>
      <c r="CN12" s="13">
        <v>2470.67</v>
      </c>
      <c r="CO12" s="13">
        <v>1236.67</v>
      </c>
      <c r="CP12" s="13">
        <v>955.5</v>
      </c>
      <c r="CQ12" s="12"/>
    </row>
    <row r="13" spans="1:96">
      <c r="A13" s="5"/>
      <c r="B13" s="7" t="s">
        <v>98</v>
      </c>
      <c r="C13" s="51">
        <v>156.4</v>
      </c>
      <c r="D13" s="51">
        <v>47809.26</v>
      </c>
      <c r="E13" s="51">
        <v>72432.899999999994</v>
      </c>
      <c r="F13" s="51">
        <v>22003.24</v>
      </c>
      <c r="G13" s="51">
        <v>2463.6799999999998</v>
      </c>
      <c r="H13" s="51">
        <v>4639.55</v>
      </c>
      <c r="I13" s="51">
        <v>184.21</v>
      </c>
      <c r="J13" s="51">
        <v>8566.0300000000007</v>
      </c>
      <c r="K13" s="51">
        <v>5600.81</v>
      </c>
      <c r="L13" s="51">
        <v>23419.01</v>
      </c>
      <c r="M13" s="51">
        <v>3889.92</v>
      </c>
      <c r="N13" s="51">
        <v>975.02</v>
      </c>
      <c r="O13" s="51">
        <v>1471.19</v>
      </c>
      <c r="P13" s="51">
        <v>6997.4</v>
      </c>
      <c r="Q13" s="51">
        <v>747.83</v>
      </c>
      <c r="R13" s="51">
        <v>1929.08</v>
      </c>
      <c r="S13" s="51">
        <v>2235.0700000000002</v>
      </c>
      <c r="T13" s="13">
        <v>5017.55</v>
      </c>
      <c r="U13" s="13">
        <v>1612.82</v>
      </c>
      <c r="V13" s="13">
        <v>43412.18</v>
      </c>
      <c r="W13" s="13">
        <v>11616.75</v>
      </c>
      <c r="X13" s="13">
        <v>17829.77</v>
      </c>
      <c r="Y13" s="13">
        <v>32467.52</v>
      </c>
      <c r="Z13" s="13">
        <v>35.86</v>
      </c>
      <c r="AA13" s="13">
        <v>923.94</v>
      </c>
      <c r="AC13" s="13">
        <v>5836.37</v>
      </c>
      <c r="AD13" s="13">
        <v>4630.9399999999996</v>
      </c>
      <c r="AE13" s="13">
        <v>10845.99</v>
      </c>
      <c r="AF13" s="13">
        <v>5692.26</v>
      </c>
      <c r="AG13" s="13">
        <v>5450.68</v>
      </c>
      <c r="AH13" s="13">
        <v>13636.51</v>
      </c>
      <c r="AI13" s="13">
        <v>12833.62</v>
      </c>
      <c r="AJ13" s="13">
        <v>12935.06</v>
      </c>
      <c r="AK13" s="13">
        <v>152.6</v>
      </c>
      <c r="AL13" s="13">
        <v>2190.48</v>
      </c>
      <c r="AM13" s="13">
        <v>7908.15</v>
      </c>
      <c r="AN13" s="13">
        <v>4908.32</v>
      </c>
      <c r="AO13" s="13">
        <v>148.62</v>
      </c>
      <c r="AP13" s="13">
        <v>384.74</v>
      </c>
      <c r="AQ13" s="13">
        <v>5970.67</v>
      </c>
      <c r="AR13" s="13">
        <v>8251.07</v>
      </c>
      <c r="AS13" s="13">
        <v>8168</v>
      </c>
      <c r="AT13" s="13">
        <v>9905.81</v>
      </c>
      <c r="AU13" s="13">
        <v>1052.8900000000001</v>
      </c>
      <c r="AV13" s="13">
        <v>2704.67</v>
      </c>
      <c r="AW13" s="13">
        <v>664.55</v>
      </c>
      <c r="AX13" s="13">
        <v>491.37</v>
      </c>
      <c r="AY13" s="13">
        <v>567.63</v>
      </c>
      <c r="AZ13" s="13">
        <v>554.22</v>
      </c>
      <c r="BA13" s="13">
        <v>308.37</v>
      </c>
      <c r="BB13" s="13">
        <v>868.15</v>
      </c>
      <c r="BC13" s="13">
        <v>1783.42</v>
      </c>
      <c r="BD13" s="13">
        <v>212.25</v>
      </c>
      <c r="BE13" s="13">
        <v>8687.66</v>
      </c>
      <c r="BF13" s="13">
        <v>11189.03</v>
      </c>
      <c r="BG13" s="13">
        <v>4190.8599999999997</v>
      </c>
      <c r="BH13" s="13">
        <v>1915.09</v>
      </c>
      <c r="BI13" s="13">
        <v>15733.98</v>
      </c>
      <c r="BJ13" s="13">
        <v>171.94</v>
      </c>
      <c r="BK13" s="13">
        <v>278.51</v>
      </c>
      <c r="BL13" s="13">
        <v>265.5</v>
      </c>
      <c r="BM13" s="13">
        <v>5235.04</v>
      </c>
      <c r="BN13" s="13">
        <v>3188.19</v>
      </c>
      <c r="BO13" s="13">
        <v>104.79</v>
      </c>
      <c r="BP13" s="13">
        <v>302.93</v>
      </c>
      <c r="BQ13" s="13">
        <v>872.6</v>
      </c>
      <c r="BR13" s="13">
        <v>1226.33</v>
      </c>
      <c r="BS13" s="13">
        <v>637.72</v>
      </c>
      <c r="BT13" s="13">
        <v>2136.0100000000002</v>
      </c>
      <c r="BU13" s="13">
        <v>1907.55</v>
      </c>
      <c r="BV13" s="13">
        <v>1521.35</v>
      </c>
      <c r="BW13" s="13">
        <v>8652.07</v>
      </c>
      <c r="BX13" s="13">
        <v>2310.6</v>
      </c>
      <c r="BY13" s="13">
        <v>9237.6299999999992</v>
      </c>
      <c r="BZ13" s="13">
        <v>11679.51</v>
      </c>
      <c r="CA13" s="13">
        <v>9861.07</v>
      </c>
      <c r="CB13" s="13">
        <v>12810.69</v>
      </c>
      <c r="CC13" s="13">
        <v>13926.37</v>
      </c>
      <c r="CD13" s="13">
        <v>27566.81</v>
      </c>
      <c r="CE13" s="13">
        <v>11156.34</v>
      </c>
      <c r="CF13" s="13">
        <v>6221.45</v>
      </c>
      <c r="CG13" s="13">
        <v>28658.14</v>
      </c>
      <c r="CH13" s="13">
        <v>37629.379999999997</v>
      </c>
      <c r="CI13" s="13">
        <v>53293.42</v>
      </c>
      <c r="CJ13" s="13">
        <v>69.900000000000006</v>
      </c>
      <c r="CK13" s="13">
        <v>35.68</v>
      </c>
      <c r="CL13" s="13">
        <v>1687.3</v>
      </c>
      <c r="CM13" s="13">
        <v>743.37</v>
      </c>
      <c r="CN13" s="13">
        <v>1687.3</v>
      </c>
      <c r="CO13" s="13">
        <v>502.99</v>
      </c>
      <c r="CP13" s="13">
        <v>460.8</v>
      </c>
      <c r="CQ13" s="12"/>
    </row>
    <row r="14" spans="1:96">
      <c r="A14" s="5"/>
      <c r="B14" s="27" t="s">
        <v>139</v>
      </c>
      <c r="C14" s="52">
        <f>MEDIAN(C6:C11)</f>
        <v>271.5</v>
      </c>
      <c r="D14" s="52">
        <f t="shared" ref="D14:BP14" si="1">MEDIAN(D6:D11)</f>
        <v>146932</v>
      </c>
      <c r="E14" s="52">
        <f t="shared" si="1"/>
        <v>663681.5</v>
      </c>
      <c r="F14" s="52">
        <f t="shared" si="1"/>
        <v>100889</v>
      </c>
      <c r="G14" s="52">
        <f t="shared" si="1"/>
        <v>1071.5</v>
      </c>
      <c r="H14" s="52">
        <f t="shared" si="1"/>
        <v>26321.5</v>
      </c>
      <c r="I14" s="52">
        <f t="shared" si="1"/>
        <v>698.5</v>
      </c>
      <c r="J14" s="52">
        <f t="shared" si="1"/>
        <v>24554</v>
      </c>
      <c r="K14" s="52">
        <f t="shared" si="1"/>
        <v>11825.5</v>
      </c>
      <c r="L14" s="52">
        <f t="shared" si="1"/>
        <v>49587.5</v>
      </c>
      <c r="M14" s="52">
        <f t="shared" si="1"/>
        <v>3280</v>
      </c>
      <c r="N14" s="52">
        <f t="shared" si="1"/>
        <v>2549</v>
      </c>
      <c r="O14" s="52">
        <f t="shared" si="1"/>
        <v>15895</v>
      </c>
      <c r="P14" s="52">
        <f t="shared" si="1"/>
        <v>50091</v>
      </c>
      <c r="Q14" s="52">
        <f t="shared" si="1"/>
        <v>2847.5</v>
      </c>
      <c r="R14" s="52">
        <f t="shared" si="1"/>
        <v>6290</v>
      </c>
      <c r="S14" s="52">
        <f t="shared" si="1"/>
        <v>8948.5</v>
      </c>
      <c r="T14" s="14">
        <f t="shared" si="1"/>
        <v>19755</v>
      </c>
      <c r="U14" s="14">
        <f t="shared" si="1"/>
        <v>15229</v>
      </c>
      <c r="V14" s="14">
        <f t="shared" si="1"/>
        <v>136530</v>
      </c>
      <c r="W14" s="14">
        <f t="shared" si="1"/>
        <v>43899.5</v>
      </c>
      <c r="X14" s="14">
        <f t="shared" si="1"/>
        <v>122525.5</v>
      </c>
      <c r="Y14" s="14">
        <f t="shared" si="1"/>
        <v>211137.5</v>
      </c>
      <c r="Z14" s="14">
        <f t="shared" si="1"/>
        <v>169.5</v>
      </c>
      <c r="AA14" s="14">
        <f>MEDIAN(AA6:AA11)</f>
        <v>11197</v>
      </c>
      <c r="AC14" s="14">
        <f t="shared" si="1"/>
        <v>22537</v>
      </c>
      <c r="AD14" s="14">
        <f t="shared" si="1"/>
        <v>19945</v>
      </c>
      <c r="AE14" s="14">
        <f t="shared" si="1"/>
        <v>49580.5</v>
      </c>
      <c r="AF14" s="14">
        <f t="shared" si="1"/>
        <v>24136</v>
      </c>
      <c r="AG14" s="14">
        <f t="shared" si="1"/>
        <v>18540.5</v>
      </c>
      <c r="AH14" s="14">
        <f t="shared" si="1"/>
        <v>90127.5</v>
      </c>
      <c r="AI14" s="14">
        <f t="shared" si="1"/>
        <v>83328</v>
      </c>
      <c r="AJ14" s="14">
        <f t="shared" si="1"/>
        <v>180337</v>
      </c>
      <c r="AK14" s="14">
        <f t="shared" si="1"/>
        <v>618</v>
      </c>
      <c r="AL14" s="14">
        <f t="shared" si="1"/>
        <v>9623.5</v>
      </c>
      <c r="AM14" s="14">
        <f t="shared" si="1"/>
        <v>25079</v>
      </c>
      <c r="AN14" s="14">
        <f t="shared" si="1"/>
        <v>10765.5</v>
      </c>
      <c r="AO14" s="14">
        <f t="shared" si="1"/>
        <v>461.5</v>
      </c>
      <c r="AP14" s="14">
        <f t="shared" si="1"/>
        <v>1191.5</v>
      </c>
      <c r="AQ14" s="14">
        <f t="shared" si="1"/>
        <v>25105.5</v>
      </c>
      <c r="AR14" s="14">
        <f t="shared" si="1"/>
        <v>16006.5</v>
      </c>
      <c r="AS14" s="14">
        <f t="shared" si="1"/>
        <v>30545</v>
      </c>
      <c r="AT14" s="14">
        <f t="shared" si="1"/>
        <v>27229</v>
      </c>
      <c r="AU14" s="14">
        <f t="shared" si="1"/>
        <v>6655.5</v>
      </c>
      <c r="AV14" s="14">
        <f t="shared" si="1"/>
        <v>11444</v>
      </c>
      <c r="AW14" s="14">
        <f t="shared" si="1"/>
        <v>2184</v>
      </c>
      <c r="AX14" s="14">
        <f t="shared" si="1"/>
        <v>783</v>
      </c>
      <c r="AY14" s="14">
        <f t="shared" si="1"/>
        <v>1601.5</v>
      </c>
      <c r="AZ14" s="14">
        <f t="shared" si="1"/>
        <v>647</v>
      </c>
      <c r="BA14" s="14">
        <f t="shared" si="1"/>
        <v>540.5</v>
      </c>
      <c r="BB14" s="14">
        <f t="shared" si="1"/>
        <v>4284.5</v>
      </c>
      <c r="BC14" s="14">
        <f t="shared" si="1"/>
        <v>6435.5</v>
      </c>
      <c r="BD14" s="14">
        <f t="shared" si="1"/>
        <v>666.5</v>
      </c>
      <c r="BE14" s="14">
        <f t="shared" si="1"/>
        <v>38089</v>
      </c>
      <c r="BF14" s="14">
        <f t="shared" si="1"/>
        <v>30897</v>
      </c>
      <c r="BG14" s="14">
        <f t="shared" si="1"/>
        <v>19864</v>
      </c>
      <c r="BH14" s="14">
        <f t="shared" si="1"/>
        <v>7550.5</v>
      </c>
      <c r="BI14" s="14">
        <f t="shared" si="1"/>
        <v>38639.5</v>
      </c>
      <c r="BJ14" s="14">
        <f t="shared" si="1"/>
        <v>574</v>
      </c>
      <c r="BK14" s="14">
        <f t="shared" si="1"/>
        <v>718</v>
      </c>
      <c r="BL14" s="14">
        <f t="shared" si="1"/>
        <v>608</v>
      </c>
      <c r="BM14" s="14">
        <f t="shared" si="1"/>
        <v>17611.5</v>
      </c>
      <c r="BN14" s="14">
        <f t="shared" si="1"/>
        <v>12641.5</v>
      </c>
      <c r="BO14" s="14">
        <f t="shared" si="1"/>
        <v>198</v>
      </c>
      <c r="BP14" s="14">
        <f t="shared" si="1"/>
        <v>1540</v>
      </c>
      <c r="BQ14" s="14">
        <f t="shared" ref="BQ14:CP14" si="2">MEDIAN(BQ6:BQ11)</f>
        <v>4353</v>
      </c>
      <c r="BR14" s="14">
        <f t="shared" si="2"/>
        <v>4079</v>
      </c>
      <c r="BS14" s="14">
        <f t="shared" si="2"/>
        <v>2094.5</v>
      </c>
      <c r="BT14" s="14">
        <f t="shared" si="2"/>
        <v>12252</v>
      </c>
      <c r="BU14" s="14">
        <f t="shared" si="2"/>
        <v>1646.5</v>
      </c>
      <c r="BV14" s="14">
        <f t="shared" si="2"/>
        <v>7886</v>
      </c>
      <c r="BW14" s="14">
        <f t="shared" si="2"/>
        <v>56448</v>
      </c>
      <c r="BX14" s="14">
        <f t="shared" si="2"/>
        <v>15959</v>
      </c>
      <c r="BY14" s="14">
        <f t="shared" si="2"/>
        <v>39126</v>
      </c>
      <c r="BZ14" s="14">
        <f t="shared" si="2"/>
        <v>51243.5</v>
      </c>
      <c r="CA14" s="14">
        <f t="shared" si="2"/>
        <v>59713</v>
      </c>
      <c r="CB14" s="14">
        <f t="shared" si="2"/>
        <v>48720</v>
      </c>
      <c r="CC14" s="14">
        <f t="shared" si="2"/>
        <v>49094</v>
      </c>
      <c r="CD14" s="14">
        <f t="shared" si="2"/>
        <v>131558.5</v>
      </c>
      <c r="CE14" s="14">
        <f t="shared" si="2"/>
        <v>43594</v>
      </c>
      <c r="CF14" s="14">
        <f t="shared" si="2"/>
        <v>55498</v>
      </c>
      <c r="CG14" s="14">
        <f t="shared" si="2"/>
        <v>373427.5</v>
      </c>
      <c r="CH14" s="14">
        <f t="shared" si="2"/>
        <v>212540</v>
      </c>
      <c r="CI14" s="14">
        <f t="shared" si="2"/>
        <v>272485.5</v>
      </c>
      <c r="CJ14" s="14">
        <f t="shared" si="2"/>
        <v>173.5</v>
      </c>
      <c r="CK14" s="14">
        <f t="shared" si="2"/>
        <v>252</v>
      </c>
      <c r="CL14" s="14">
        <f t="shared" si="2"/>
        <v>1521.5</v>
      </c>
      <c r="CM14" s="14">
        <f t="shared" si="2"/>
        <v>2437.5</v>
      </c>
      <c r="CN14" s="14">
        <f t="shared" si="2"/>
        <v>1521.5</v>
      </c>
      <c r="CO14" s="14">
        <f t="shared" si="2"/>
        <v>1314</v>
      </c>
      <c r="CP14" s="14">
        <f t="shared" si="2"/>
        <v>868</v>
      </c>
      <c r="CQ14" s="12"/>
    </row>
    <row r="15" spans="1:96">
      <c r="A15" s="5"/>
      <c r="B15" s="5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12"/>
      <c r="U15" s="12"/>
      <c r="V15" s="12"/>
      <c r="W15" s="12"/>
      <c r="X15" s="12"/>
      <c r="Y15" s="12"/>
      <c r="Z15" s="12"/>
      <c r="AA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</row>
    <row r="16" spans="1:96">
      <c r="A16" s="6" t="s">
        <v>101</v>
      </c>
      <c r="B16" s="5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12"/>
      <c r="U16" s="12"/>
      <c r="V16" s="12"/>
      <c r="W16" s="12"/>
      <c r="X16" s="12"/>
      <c r="Y16" s="12"/>
      <c r="Z16" s="12"/>
      <c r="AA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</row>
    <row r="17" spans="1:101">
      <c r="A17" s="18" t="s">
        <v>158</v>
      </c>
      <c r="B17" s="61" t="s">
        <v>95</v>
      </c>
      <c r="C17" s="54">
        <v>438</v>
      </c>
      <c r="D17" s="54">
        <v>217073</v>
      </c>
      <c r="E17" s="54">
        <v>522472</v>
      </c>
      <c r="F17" s="54">
        <v>106670</v>
      </c>
      <c r="G17" s="54">
        <v>1177</v>
      </c>
      <c r="H17" s="54">
        <v>18358</v>
      </c>
      <c r="I17" s="54">
        <v>571</v>
      </c>
      <c r="J17" s="54">
        <v>27305</v>
      </c>
      <c r="K17" s="54">
        <v>15643</v>
      </c>
      <c r="L17" s="54">
        <v>83871</v>
      </c>
      <c r="M17" s="54">
        <v>5073</v>
      </c>
      <c r="N17" s="54">
        <v>4137</v>
      </c>
      <c r="O17" s="54">
        <v>13538</v>
      </c>
      <c r="P17" s="54">
        <v>37312</v>
      </c>
      <c r="Q17" s="54">
        <v>2462</v>
      </c>
      <c r="R17" s="54">
        <v>3455</v>
      </c>
      <c r="S17" s="54">
        <v>4348</v>
      </c>
      <c r="T17" s="23">
        <v>12145</v>
      </c>
      <c r="U17" s="23">
        <v>12894</v>
      </c>
      <c r="V17" s="23">
        <v>53744</v>
      </c>
      <c r="W17" s="23">
        <v>14427</v>
      </c>
      <c r="X17" s="23">
        <v>71251</v>
      </c>
      <c r="Y17" s="23">
        <v>200626</v>
      </c>
      <c r="Z17" s="23">
        <v>232</v>
      </c>
      <c r="AA17" s="23">
        <v>11135</v>
      </c>
      <c r="AC17" s="23">
        <v>17256</v>
      </c>
      <c r="AD17" s="23">
        <v>14061</v>
      </c>
      <c r="AE17" s="23">
        <v>64313</v>
      </c>
      <c r="AF17" s="23">
        <v>17858</v>
      </c>
      <c r="AG17" s="23">
        <v>27903</v>
      </c>
      <c r="AH17" s="23">
        <v>108424</v>
      </c>
      <c r="AI17" s="23">
        <v>116156</v>
      </c>
      <c r="AJ17" s="23">
        <v>218676</v>
      </c>
      <c r="AK17" s="23">
        <v>1397</v>
      </c>
      <c r="AL17" s="23">
        <v>8732</v>
      </c>
      <c r="AM17" s="23">
        <v>36769</v>
      </c>
      <c r="AN17" s="23">
        <v>16784</v>
      </c>
      <c r="AO17" s="23">
        <v>916</v>
      </c>
      <c r="AP17" s="23">
        <v>2548</v>
      </c>
      <c r="AQ17" s="23">
        <v>33402</v>
      </c>
      <c r="AR17" s="23">
        <v>20496</v>
      </c>
      <c r="AS17" s="23">
        <v>45839</v>
      </c>
      <c r="AT17" s="23">
        <v>54747</v>
      </c>
      <c r="AU17" s="23">
        <v>6914</v>
      </c>
      <c r="AV17" s="23">
        <v>24827</v>
      </c>
      <c r="AW17" s="23">
        <v>4898</v>
      </c>
      <c r="AX17" s="23">
        <v>1053</v>
      </c>
      <c r="AY17" s="23">
        <v>2514</v>
      </c>
      <c r="AZ17" s="23">
        <v>3757</v>
      </c>
      <c r="BA17" s="23">
        <v>884</v>
      </c>
      <c r="BB17" s="23">
        <v>7385</v>
      </c>
      <c r="BC17" s="23">
        <v>9238</v>
      </c>
      <c r="BD17" s="23">
        <v>1913</v>
      </c>
      <c r="BE17" s="23">
        <v>74438</v>
      </c>
      <c r="BF17" s="23">
        <v>33799</v>
      </c>
      <c r="BG17" s="23">
        <v>34591</v>
      </c>
      <c r="BH17" s="23">
        <v>15821</v>
      </c>
      <c r="BI17" s="23">
        <v>55664</v>
      </c>
      <c r="BJ17" s="23">
        <v>901</v>
      </c>
      <c r="BK17" s="23">
        <v>2451</v>
      </c>
      <c r="BL17" s="23">
        <v>1853</v>
      </c>
      <c r="BM17" s="23">
        <v>22077</v>
      </c>
      <c r="BN17" s="23">
        <v>15788</v>
      </c>
      <c r="BO17" s="23">
        <v>407</v>
      </c>
      <c r="BP17" s="23">
        <v>755</v>
      </c>
      <c r="BQ17" s="23">
        <v>4361</v>
      </c>
      <c r="BR17" s="23">
        <v>3225</v>
      </c>
      <c r="BS17" s="23">
        <v>1222</v>
      </c>
      <c r="BT17" s="23">
        <v>13076</v>
      </c>
      <c r="BU17" s="23">
        <v>1274</v>
      </c>
      <c r="BV17" s="23">
        <v>6345</v>
      </c>
      <c r="BW17" s="23">
        <v>49209</v>
      </c>
      <c r="BX17" s="23">
        <v>19528</v>
      </c>
      <c r="BY17" s="23">
        <v>27418</v>
      </c>
      <c r="BZ17" s="23">
        <v>40411</v>
      </c>
      <c r="CA17" s="23">
        <v>69168</v>
      </c>
      <c r="CB17" s="23">
        <v>34184</v>
      </c>
      <c r="CC17" s="23">
        <v>34341</v>
      </c>
      <c r="CD17" s="23">
        <v>181274</v>
      </c>
      <c r="CE17" s="23">
        <v>53484</v>
      </c>
      <c r="CF17" s="23">
        <v>57935</v>
      </c>
      <c r="CG17" s="23">
        <v>459711</v>
      </c>
      <c r="CH17" s="23">
        <v>236692</v>
      </c>
      <c r="CI17" s="23">
        <v>268204</v>
      </c>
      <c r="CJ17" s="23">
        <v>516</v>
      </c>
      <c r="CK17" s="23">
        <v>890</v>
      </c>
      <c r="CL17" s="23">
        <v>2331</v>
      </c>
      <c r="CM17" s="23">
        <v>4896</v>
      </c>
      <c r="CN17" s="23">
        <v>2331</v>
      </c>
      <c r="CO17" s="23">
        <v>1850</v>
      </c>
      <c r="CP17" s="23">
        <v>821</v>
      </c>
      <c r="CQ17" s="12">
        <f t="shared" ref="CQ17:CQ23" si="3">MEDIAN(C17:CP17)</f>
        <v>14427</v>
      </c>
    </row>
    <row r="18" spans="1:101">
      <c r="A18" s="18" t="s">
        <v>154</v>
      </c>
      <c r="B18" s="28" t="s">
        <v>95</v>
      </c>
      <c r="C18" s="54">
        <v>260</v>
      </c>
      <c r="D18" s="54">
        <v>107874</v>
      </c>
      <c r="E18" s="54">
        <v>367259</v>
      </c>
      <c r="F18" s="54">
        <v>85328</v>
      </c>
      <c r="G18" s="54">
        <v>627</v>
      </c>
      <c r="H18" s="54">
        <v>15105</v>
      </c>
      <c r="I18" s="54">
        <v>421</v>
      </c>
      <c r="J18" s="54">
        <v>14125</v>
      </c>
      <c r="K18" s="54">
        <v>3041</v>
      </c>
      <c r="L18" s="54">
        <v>26574</v>
      </c>
      <c r="M18" s="54">
        <v>2928</v>
      </c>
      <c r="N18" s="54">
        <v>1883</v>
      </c>
      <c r="O18" s="54">
        <v>9105</v>
      </c>
      <c r="P18" s="54">
        <v>20040</v>
      </c>
      <c r="Q18" s="54">
        <v>1436</v>
      </c>
      <c r="R18" s="54">
        <v>2835</v>
      </c>
      <c r="S18" s="54">
        <v>4797</v>
      </c>
      <c r="T18" s="23">
        <v>10510</v>
      </c>
      <c r="U18" s="23">
        <v>9513</v>
      </c>
      <c r="V18" s="23">
        <v>52473</v>
      </c>
      <c r="W18" s="23">
        <v>14998</v>
      </c>
      <c r="X18" s="23">
        <v>58922</v>
      </c>
      <c r="Y18" s="23">
        <v>106045</v>
      </c>
      <c r="Z18" s="23">
        <v>108</v>
      </c>
      <c r="AA18" s="23">
        <v>7734</v>
      </c>
      <c r="AC18" s="23">
        <v>18123</v>
      </c>
      <c r="AD18" s="23">
        <v>18567</v>
      </c>
      <c r="AE18" s="23">
        <v>56210</v>
      </c>
      <c r="AF18" s="23">
        <v>22136</v>
      </c>
      <c r="AG18" s="23">
        <v>23688</v>
      </c>
      <c r="AH18" s="23">
        <v>90623</v>
      </c>
      <c r="AI18" s="23">
        <v>77056</v>
      </c>
      <c r="AJ18" s="23">
        <v>145403</v>
      </c>
      <c r="AK18" s="23">
        <v>1466</v>
      </c>
      <c r="AL18" s="23">
        <v>10947</v>
      </c>
      <c r="AM18" s="23">
        <v>24934</v>
      </c>
      <c r="AN18" s="23">
        <v>8131</v>
      </c>
      <c r="AO18" s="23">
        <v>926</v>
      </c>
      <c r="AP18" s="23">
        <v>2031</v>
      </c>
      <c r="AQ18" s="23">
        <v>30004</v>
      </c>
      <c r="AR18" s="23">
        <v>15265</v>
      </c>
      <c r="AS18" s="23">
        <v>27861</v>
      </c>
      <c r="AT18" s="23">
        <v>29730</v>
      </c>
      <c r="AU18" s="23">
        <v>5497</v>
      </c>
      <c r="AV18" s="23">
        <v>15703</v>
      </c>
      <c r="AW18" s="23">
        <v>2929</v>
      </c>
      <c r="AX18" s="23">
        <v>671</v>
      </c>
      <c r="AY18" s="23">
        <v>718</v>
      </c>
      <c r="AZ18" s="23">
        <v>1013</v>
      </c>
      <c r="BA18" s="23">
        <v>426</v>
      </c>
      <c r="BB18" s="23">
        <v>3874</v>
      </c>
      <c r="BC18" s="23">
        <v>5026</v>
      </c>
      <c r="BD18" s="23">
        <v>1285</v>
      </c>
      <c r="BE18" s="23">
        <v>29341</v>
      </c>
      <c r="BF18" s="23">
        <v>21833</v>
      </c>
      <c r="BG18" s="23">
        <v>20304</v>
      </c>
      <c r="BH18" s="23">
        <v>7170</v>
      </c>
      <c r="BI18" s="23">
        <v>22853</v>
      </c>
      <c r="BJ18" s="23">
        <v>608</v>
      </c>
      <c r="BK18" s="23">
        <v>1447</v>
      </c>
      <c r="BL18" s="23">
        <v>1113</v>
      </c>
      <c r="BM18" s="23">
        <v>11828</v>
      </c>
      <c r="BN18" s="23">
        <v>12014</v>
      </c>
      <c r="BO18" s="23">
        <v>212</v>
      </c>
      <c r="BP18" s="23">
        <v>860</v>
      </c>
      <c r="BQ18" s="23">
        <v>6376</v>
      </c>
      <c r="BR18" s="23">
        <v>3549</v>
      </c>
      <c r="BS18" s="23">
        <v>1407</v>
      </c>
      <c r="BT18" s="23">
        <v>10409</v>
      </c>
      <c r="BU18" s="23">
        <v>1497</v>
      </c>
      <c r="BV18" s="23">
        <v>8697</v>
      </c>
      <c r="BW18" s="23">
        <v>54499</v>
      </c>
      <c r="BX18" s="23">
        <v>13029</v>
      </c>
      <c r="BY18" s="23">
        <v>31546</v>
      </c>
      <c r="BZ18" s="23">
        <v>53320</v>
      </c>
      <c r="CA18" s="23">
        <v>58101</v>
      </c>
      <c r="CB18" s="23">
        <v>6520</v>
      </c>
      <c r="CC18" s="23">
        <v>37376</v>
      </c>
      <c r="CD18" s="23">
        <v>119226</v>
      </c>
      <c r="CE18" s="23">
        <v>31593</v>
      </c>
      <c r="CF18" s="23">
        <v>51331</v>
      </c>
      <c r="CG18" s="23">
        <v>314162</v>
      </c>
      <c r="CH18" s="23">
        <v>157303</v>
      </c>
      <c r="CI18" s="23">
        <v>201297</v>
      </c>
      <c r="CJ18" s="23">
        <v>358</v>
      </c>
      <c r="CK18" s="23">
        <v>750</v>
      </c>
      <c r="CL18" s="23">
        <v>1332</v>
      </c>
      <c r="CM18" s="23">
        <v>3652</v>
      </c>
      <c r="CN18" s="23">
        <v>1332</v>
      </c>
      <c r="CO18" s="23">
        <v>1774</v>
      </c>
      <c r="CP18" s="23">
        <v>897</v>
      </c>
      <c r="CQ18" s="12">
        <f t="shared" si="3"/>
        <v>10409</v>
      </c>
    </row>
    <row r="19" spans="1:101">
      <c r="A19" s="18" t="s">
        <v>114</v>
      </c>
      <c r="B19" s="28" t="s">
        <v>95</v>
      </c>
      <c r="C19" s="54">
        <v>164</v>
      </c>
      <c r="D19" s="54">
        <v>186654</v>
      </c>
      <c r="E19" s="54">
        <v>555458</v>
      </c>
      <c r="F19" s="54">
        <v>79445</v>
      </c>
      <c r="G19" s="54">
        <v>2161</v>
      </c>
      <c r="H19" s="54">
        <v>16079</v>
      </c>
      <c r="I19" s="54">
        <v>1031</v>
      </c>
      <c r="J19" s="54">
        <v>26465</v>
      </c>
      <c r="K19" s="54">
        <v>12426</v>
      </c>
      <c r="L19" s="54">
        <v>87332</v>
      </c>
      <c r="M19" s="54">
        <v>4656</v>
      </c>
      <c r="N19" s="54">
        <v>3167</v>
      </c>
      <c r="O19" s="54">
        <v>13174</v>
      </c>
      <c r="P19" s="54">
        <v>57545</v>
      </c>
      <c r="Q19" s="54">
        <v>4420</v>
      </c>
      <c r="R19" s="54">
        <v>3373</v>
      </c>
      <c r="S19" s="54">
        <v>4933</v>
      </c>
      <c r="T19" s="23">
        <v>9945</v>
      </c>
      <c r="U19" s="23">
        <v>12467</v>
      </c>
      <c r="V19" s="23">
        <v>56768</v>
      </c>
      <c r="W19" s="23">
        <v>18084</v>
      </c>
      <c r="X19" s="23">
        <v>88743</v>
      </c>
      <c r="Y19" s="23">
        <v>233550</v>
      </c>
      <c r="Z19" s="23">
        <v>192</v>
      </c>
      <c r="AA19" s="23">
        <v>13999</v>
      </c>
      <c r="AC19" s="23">
        <v>16319</v>
      </c>
      <c r="AD19" s="23">
        <v>14268</v>
      </c>
      <c r="AE19" s="23">
        <v>37162</v>
      </c>
      <c r="AF19" s="23">
        <v>18041</v>
      </c>
      <c r="AG19" s="23">
        <v>21090</v>
      </c>
      <c r="AH19" s="23">
        <v>74851</v>
      </c>
      <c r="AI19" s="23">
        <v>67444</v>
      </c>
      <c r="AJ19" s="23">
        <v>167956</v>
      </c>
      <c r="AK19" s="23">
        <v>378</v>
      </c>
      <c r="AL19" s="23">
        <v>8108</v>
      </c>
      <c r="AM19" s="23">
        <v>32160</v>
      </c>
      <c r="AN19" s="23">
        <v>16773</v>
      </c>
      <c r="AO19" s="23">
        <v>282</v>
      </c>
      <c r="AP19" s="23">
        <v>1596</v>
      </c>
      <c r="AQ19" s="23">
        <v>26000</v>
      </c>
      <c r="AR19" s="23">
        <v>12294</v>
      </c>
      <c r="AS19" s="23">
        <v>38827</v>
      </c>
      <c r="AT19" s="23">
        <v>33049</v>
      </c>
      <c r="AU19" s="23">
        <v>7831</v>
      </c>
      <c r="AV19" s="23">
        <v>15803</v>
      </c>
      <c r="AW19" s="23">
        <v>3146</v>
      </c>
      <c r="AX19" s="23">
        <v>696</v>
      </c>
      <c r="AY19" s="23">
        <v>2400</v>
      </c>
      <c r="AZ19" s="23">
        <v>389</v>
      </c>
      <c r="BA19" s="23">
        <v>1298</v>
      </c>
      <c r="BB19" s="23">
        <v>3721</v>
      </c>
      <c r="BC19" s="23">
        <v>6817</v>
      </c>
      <c r="BD19" s="23">
        <v>530</v>
      </c>
      <c r="BE19" s="23">
        <v>43066</v>
      </c>
      <c r="BF19" s="23">
        <v>22572</v>
      </c>
      <c r="BG19" s="23">
        <v>22951</v>
      </c>
      <c r="BH19" s="23">
        <v>8230</v>
      </c>
      <c r="BI19" s="23">
        <v>42824</v>
      </c>
      <c r="BJ19" s="23">
        <v>623</v>
      </c>
      <c r="BK19" s="23">
        <v>803</v>
      </c>
      <c r="BL19" s="23">
        <v>769</v>
      </c>
      <c r="BM19" s="23">
        <v>11714</v>
      </c>
      <c r="BN19" s="23">
        <v>11841</v>
      </c>
      <c r="BO19" s="23">
        <v>121</v>
      </c>
      <c r="BP19" s="23">
        <v>1165</v>
      </c>
      <c r="BQ19" s="23">
        <v>4869</v>
      </c>
      <c r="BR19" s="23">
        <v>2579</v>
      </c>
      <c r="BS19" s="23">
        <v>1863</v>
      </c>
      <c r="BT19" s="23">
        <v>9101</v>
      </c>
      <c r="BU19" s="23">
        <v>996</v>
      </c>
      <c r="BV19" s="23">
        <v>6660</v>
      </c>
      <c r="BW19" s="23">
        <v>39978</v>
      </c>
      <c r="BX19" s="23">
        <v>14937</v>
      </c>
      <c r="BY19" s="23">
        <v>32732</v>
      </c>
      <c r="BZ19" s="23">
        <v>43779</v>
      </c>
      <c r="CA19" s="23">
        <v>50643</v>
      </c>
      <c r="CB19" s="23">
        <v>37625</v>
      </c>
      <c r="CC19" s="23">
        <v>42451</v>
      </c>
      <c r="CD19" s="23">
        <v>133095</v>
      </c>
      <c r="CE19" s="23">
        <v>30984</v>
      </c>
      <c r="CF19" s="23">
        <v>44358</v>
      </c>
      <c r="CG19" s="23">
        <v>353029</v>
      </c>
      <c r="CH19" s="23">
        <v>205700</v>
      </c>
      <c r="CI19" s="23">
        <v>232995</v>
      </c>
      <c r="CJ19" s="23">
        <v>163</v>
      </c>
      <c r="CK19" s="23">
        <v>110</v>
      </c>
      <c r="CL19" s="23">
        <v>1622</v>
      </c>
      <c r="CM19" s="23">
        <v>2567</v>
      </c>
      <c r="CN19" s="23">
        <v>1622</v>
      </c>
      <c r="CO19" s="23">
        <v>1295</v>
      </c>
      <c r="CP19" s="23">
        <v>688</v>
      </c>
      <c r="CQ19" s="12">
        <f t="shared" si="3"/>
        <v>12426</v>
      </c>
    </row>
    <row r="20" spans="1:101">
      <c r="A20" s="18" t="s">
        <v>115</v>
      </c>
      <c r="B20" s="28" t="s">
        <v>96</v>
      </c>
      <c r="C20" s="54">
        <v>283</v>
      </c>
      <c r="D20" s="54">
        <v>149477</v>
      </c>
      <c r="E20" s="54">
        <v>347097</v>
      </c>
      <c r="F20" s="54">
        <v>46587</v>
      </c>
      <c r="G20" s="54">
        <v>1532</v>
      </c>
      <c r="H20" s="54">
        <v>10742</v>
      </c>
      <c r="I20" s="54">
        <v>429</v>
      </c>
      <c r="J20" s="54">
        <v>18647</v>
      </c>
      <c r="K20" s="54">
        <v>10661</v>
      </c>
      <c r="L20" s="54">
        <v>93253</v>
      </c>
      <c r="M20" s="54">
        <v>4092</v>
      </c>
      <c r="N20" s="54">
        <v>3839</v>
      </c>
      <c r="O20" s="54">
        <v>11020</v>
      </c>
      <c r="P20" s="54">
        <v>42838</v>
      </c>
      <c r="Q20" s="54">
        <v>2813</v>
      </c>
      <c r="R20" s="54">
        <v>1420</v>
      </c>
      <c r="S20" s="54">
        <v>2324</v>
      </c>
      <c r="T20" s="23">
        <v>3941</v>
      </c>
      <c r="U20" s="23">
        <v>10747</v>
      </c>
      <c r="V20" s="23">
        <v>32844</v>
      </c>
      <c r="W20" s="23">
        <v>9261</v>
      </c>
      <c r="X20" s="23">
        <v>44459</v>
      </c>
      <c r="Y20" s="23">
        <v>213702</v>
      </c>
      <c r="Z20" s="23">
        <v>116</v>
      </c>
      <c r="AA20" s="23">
        <v>13738</v>
      </c>
      <c r="AC20" s="23">
        <v>10193</v>
      </c>
      <c r="AD20" s="23">
        <v>10303</v>
      </c>
      <c r="AE20" s="23">
        <v>35096</v>
      </c>
      <c r="AF20" s="23">
        <v>15439</v>
      </c>
      <c r="AG20" s="23">
        <v>28501</v>
      </c>
      <c r="AH20" s="23">
        <v>47273</v>
      </c>
      <c r="AI20" s="23">
        <v>75698</v>
      </c>
      <c r="AJ20" s="23">
        <v>157727</v>
      </c>
      <c r="AK20" s="23">
        <v>789</v>
      </c>
      <c r="AL20" s="23">
        <v>7417</v>
      </c>
      <c r="AM20" s="23">
        <v>45592</v>
      </c>
      <c r="AN20" s="23">
        <v>34776</v>
      </c>
      <c r="AO20" s="23">
        <v>704</v>
      </c>
      <c r="AP20" s="23">
        <v>2682</v>
      </c>
      <c r="AQ20" s="23">
        <v>41385</v>
      </c>
      <c r="AR20" s="23">
        <v>22345</v>
      </c>
      <c r="AS20" s="23">
        <v>82106</v>
      </c>
      <c r="AT20" s="23">
        <v>89470</v>
      </c>
      <c r="AU20" s="23">
        <v>14265</v>
      </c>
      <c r="AV20" s="23">
        <v>42875</v>
      </c>
      <c r="AW20" s="23">
        <v>9156</v>
      </c>
      <c r="AX20" s="23">
        <v>2079</v>
      </c>
      <c r="AY20" s="23">
        <v>3791</v>
      </c>
      <c r="AZ20" s="23">
        <v>3146</v>
      </c>
      <c r="BA20" s="23">
        <v>2941</v>
      </c>
      <c r="BB20" s="23">
        <v>5945</v>
      </c>
      <c r="BC20" s="23">
        <v>11570</v>
      </c>
      <c r="BD20" s="23">
        <v>1513</v>
      </c>
      <c r="BE20" s="23">
        <v>69088</v>
      </c>
      <c r="BF20" s="23">
        <v>52224</v>
      </c>
      <c r="BG20" s="23">
        <v>54045</v>
      </c>
      <c r="BH20" s="23">
        <v>13482</v>
      </c>
      <c r="BI20" s="23">
        <v>101125</v>
      </c>
      <c r="BJ20" s="23">
        <v>1481</v>
      </c>
      <c r="BK20" s="23">
        <v>1387</v>
      </c>
      <c r="BL20" s="23">
        <v>1889</v>
      </c>
      <c r="BM20" s="23">
        <v>22340</v>
      </c>
      <c r="BN20" s="23">
        <v>23813</v>
      </c>
      <c r="BO20" s="23">
        <v>346</v>
      </c>
      <c r="BP20" s="23">
        <v>1280</v>
      </c>
      <c r="BQ20" s="23">
        <v>2130</v>
      </c>
      <c r="BR20" s="23">
        <v>1529</v>
      </c>
      <c r="BS20" s="23">
        <v>1691</v>
      </c>
      <c r="BT20" s="23">
        <v>9106</v>
      </c>
      <c r="BU20" s="23">
        <v>6125</v>
      </c>
      <c r="BV20" s="23">
        <v>3045</v>
      </c>
      <c r="BW20" s="23">
        <v>29253</v>
      </c>
      <c r="BX20" s="23">
        <v>20487</v>
      </c>
      <c r="BY20" s="23">
        <v>36216</v>
      </c>
      <c r="BZ20" s="23">
        <v>22105</v>
      </c>
      <c r="CA20" s="23">
        <v>34722</v>
      </c>
      <c r="CB20" s="23">
        <v>38871</v>
      </c>
      <c r="CC20" s="23">
        <v>60479</v>
      </c>
      <c r="CD20" s="23">
        <v>183194</v>
      </c>
      <c r="CE20" s="23">
        <v>90346</v>
      </c>
      <c r="CF20" s="23">
        <v>36364</v>
      </c>
      <c r="CG20" s="23">
        <v>344410</v>
      </c>
      <c r="CH20" s="23">
        <v>354391</v>
      </c>
      <c r="CI20" s="23">
        <v>446712</v>
      </c>
      <c r="CJ20" s="23">
        <v>765</v>
      </c>
      <c r="CK20" s="23">
        <v>752</v>
      </c>
      <c r="CL20" s="23">
        <v>5877</v>
      </c>
      <c r="CM20" s="23">
        <v>2126</v>
      </c>
      <c r="CN20" s="23">
        <v>5877</v>
      </c>
      <c r="CO20" s="23">
        <v>1113</v>
      </c>
      <c r="CP20" s="23">
        <v>499</v>
      </c>
      <c r="CQ20" s="12">
        <f t="shared" si="3"/>
        <v>11020</v>
      </c>
    </row>
    <row r="21" spans="1:101">
      <c r="A21" s="18" t="s">
        <v>155</v>
      </c>
      <c r="B21" s="28" t="s">
        <v>96</v>
      </c>
      <c r="C21" s="54">
        <v>196</v>
      </c>
      <c r="D21" s="54">
        <v>201853</v>
      </c>
      <c r="E21" s="54">
        <v>510260</v>
      </c>
      <c r="F21" s="54">
        <v>71681</v>
      </c>
      <c r="G21" s="54">
        <v>1397</v>
      </c>
      <c r="H21" s="54">
        <v>17123</v>
      </c>
      <c r="I21" s="54">
        <v>653</v>
      </c>
      <c r="J21" s="54">
        <v>28462</v>
      </c>
      <c r="K21" s="54">
        <v>16406</v>
      </c>
      <c r="L21" s="54">
        <v>107896</v>
      </c>
      <c r="M21" s="54">
        <v>4877</v>
      </c>
      <c r="N21" s="54">
        <v>4386</v>
      </c>
      <c r="O21" s="54">
        <v>16969</v>
      </c>
      <c r="P21" s="54">
        <v>55720</v>
      </c>
      <c r="Q21" s="54">
        <v>1872</v>
      </c>
      <c r="R21" s="54">
        <v>2512</v>
      </c>
      <c r="S21" s="54">
        <v>3604</v>
      </c>
      <c r="T21" s="23">
        <v>10823</v>
      </c>
      <c r="U21" s="23">
        <v>15262</v>
      </c>
      <c r="V21" s="23">
        <v>61669</v>
      </c>
      <c r="W21" s="23">
        <v>16745</v>
      </c>
      <c r="X21" s="23">
        <v>73454</v>
      </c>
      <c r="Y21" s="23">
        <v>270094</v>
      </c>
      <c r="Z21" s="23">
        <v>132</v>
      </c>
      <c r="AA21" s="23">
        <v>15559</v>
      </c>
      <c r="AC21" s="23">
        <v>10434</v>
      </c>
      <c r="AD21" s="23">
        <v>12794</v>
      </c>
      <c r="AE21" s="23">
        <v>44319</v>
      </c>
      <c r="AF21" s="23">
        <v>14749</v>
      </c>
      <c r="AG21" s="23">
        <v>27422</v>
      </c>
      <c r="AH21" s="23">
        <v>68339</v>
      </c>
      <c r="AI21" s="23">
        <v>94212</v>
      </c>
      <c r="AJ21" s="23">
        <v>162656</v>
      </c>
      <c r="AK21" s="23">
        <v>599</v>
      </c>
      <c r="AL21" s="23">
        <v>7615</v>
      </c>
      <c r="AM21" s="23">
        <v>41092</v>
      </c>
      <c r="AN21" s="23">
        <v>26206</v>
      </c>
      <c r="AO21" s="23">
        <v>840</v>
      </c>
      <c r="AP21" s="23">
        <v>1157</v>
      </c>
      <c r="AQ21" s="23">
        <v>31272</v>
      </c>
      <c r="AR21" s="23">
        <v>16679</v>
      </c>
      <c r="AS21" s="23">
        <v>61831</v>
      </c>
      <c r="AT21" s="23">
        <v>50727</v>
      </c>
      <c r="AU21" s="23">
        <v>10913</v>
      </c>
      <c r="AV21" s="23">
        <v>27566</v>
      </c>
      <c r="AW21" s="23">
        <v>5839</v>
      </c>
      <c r="AX21" s="23">
        <v>1154</v>
      </c>
      <c r="AY21" s="23">
        <v>3314</v>
      </c>
      <c r="AZ21" s="23">
        <v>2875</v>
      </c>
      <c r="BA21" s="23">
        <v>979</v>
      </c>
      <c r="BB21" s="23">
        <v>4120</v>
      </c>
      <c r="BC21" s="23">
        <v>8189</v>
      </c>
      <c r="BD21" s="23">
        <v>1040</v>
      </c>
      <c r="BE21" s="23">
        <v>59886</v>
      </c>
      <c r="BF21" s="23">
        <v>32184</v>
      </c>
      <c r="BG21" s="23">
        <v>31591</v>
      </c>
      <c r="BH21" s="23">
        <v>14630</v>
      </c>
      <c r="BI21" s="23">
        <v>62252</v>
      </c>
      <c r="BJ21" s="23">
        <v>1015</v>
      </c>
      <c r="BK21" s="23">
        <v>1870</v>
      </c>
      <c r="BL21" s="23">
        <v>1726</v>
      </c>
      <c r="BM21" s="23">
        <v>21822</v>
      </c>
      <c r="BN21" s="23">
        <v>12625</v>
      </c>
      <c r="BO21" s="23">
        <v>258</v>
      </c>
      <c r="BP21" s="23">
        <v>910</v>
      </c>
      <c r="BQ21" s="23">
        <v>3720</v>
      </c>
      <c r="BR21" s="23">
        <v>552</v>
      </c>
      <c r="BS21" s="23">
        <v>1052</v>
      </c>
      <c r="BT21" s="23">
        <v>9735</v>
      </c>
      <c r="BU21" s="23">
        <v>1004</v>
      </c>
      <c r="BV21" s="23">
        <v>5174</v>
      </c>
      <c r="BW21" s="23">
        <v>34885</v>
      </c>
      <c r="BX21" s="23">
        <v>14976</v>
      </c>
      <c r="BY21" s="23">
        <v>28784</v>
      </c>
      <c r="BZ21" s="23">
        <v>33382</v>
      </c>
      <c r="CA21" s="23">
        <v>45745</v>
      </c>
      <c r="CB21" s="23">
        <v>39503</v>
      </c>
      <c r="CC21" s="23">
        <v>42235</v>
      </c>
      <c r="CD21" s="23">
        <v>153259</v>
      </c>
      <c r="CE21" s="23">
        <v>59691</v>
      </c>
      <c r="CF21" s="23">
        <v>40126</v>
      </c>
      <c r="CG21" s="23">
        <v>336534</v>
      </c>
      <c r="CH21" s="23">
        <v>239523</v>
      </c>
      <c r="CI21" s="23">
        <v>280586</v>
      </c>
      <c r="CJ21" s="23">
        <v>332</v>
      </c>
      <c r="CK21" s="23">
        <v>571</v>
      </c>
      <c r="CL21" s="23">
        <v>1957</v>
      </c>
      <c r="CM21" s="23">
        <v>3827</v>
      </c>
      <c r="CN21" s="23">
        <v>1957</v>
      </c>
      <c r="CO21" s="23">
        <v>850</v>
      </c>
      <c r="CP21" s="23">
        <v>585</v>
      </c>
      <c r="CQ21" s="12">
        <f t="shared" si="3"/>
        <v>14749</v>
      </c>
    </row>
    <row r="22" spans="1:101">
      <c r="A22" s="18" t="s">
        <v>156</v>
      </c>
      <c r="B22" s="28" t="s">
        <v>96</v>
      </c>
      <c r="C22" s="54">
        <v>452</v>
      </c>
      <c r="D22" s="54">
        <v>150597</v>
      </c>
      <c r="E22" s="54">
        <v>470266</v>
      </c>
      <c r="F22" s="54">
        <v>58915</v>
      </c>
      <c r="G22" s="54">
        <v>1393</v>
      </c>
      <c r="H22" s="54">
        <v>14435</v>
      </c>
      <c r="I22" s="54">
        <v>545</v>
      </c>
      <c r="J22" s="54">
        <v>22111</v>
      </c>
      <c r="K22" s="54">
        <v>15348</v>
      </c>
      <c r="L22" s="54">
        <v>68914</v>
      </c>
      <c r="M22" s="54">
        <v>4169</v>
      </c>
      <c r="N22" s="54">
        <v>3510</v>
      </c>
      <c r="O22" s="54">
        <v>12138</v>
      </c>
      <c r="P22" s="54">
        <v>42508</v>
      </c>
      <c r="Q22" s="54">
        <v>1435</v>
      </c>
      <c r="R22" s="54">
        <v>3267</v>
      </c>
      <c r="S22" s="54">
        <v>4836</v>
      </c>
      <c r="T22" s="23">
        <v>7850</v>
      </c>
      <c r="U22" s="23">
        <v>11177</v>
      </c>
      <c r="V22" s="23">
        <v>58709</v>
      </c>
      <c r="W22" s="23">
        <v>17738</v>
      </c>
      <c r="X22" s="23">
        <v>81458</v>
      </c>
      <c r="Y22" s="23">
        <v>200774</v>
      </c>
      <c r="Z22" s="23">
        <v>104</v>
      </c>
      <c r="AA22" s="23">
        <v>9736</v>
      </c>
      <c r="AC22" s="23">
        <v>12474</v>
      </c>
      <c r="AD22" s="23">
        <v>10891</v>
      </c>
      <c r="AE22" s="23">
        <v>35036</v>
      </c>
      <c r="AF22" s="23">
        <v>16650</v>
      </c>
      <c r="AG22" s="23">
        <v>20370</v>
      </c>
      <c r="AH22" s="23">
        <v>47543</v>
      </c>
      <c r="AI22" s="23">
        <v>60754</v>
      </c>
      <c r="AJ22" s="23">
        <v>134723</v>
      </c>
      <c r="AK22" s="23">
        <v>665</v>
      </c>
      <c r="AL22" s="23">
        <v>6701</v>
      </c>
      <c r="AM22" s="23">
        <v>37828</v>
      </c>
      <c r="AN22" s="23">
        <v>23225</v>
      </c>
      <c r="AO22" s="23">
        <v>707</v>
      </c>
      <c r="AP22" s="23">
        <v>2279</v>
      </c>
      <c r="AQ22" s="23">
        <v>34462</v>
      </c>
      <c r="AR22" s="23">
        <v>14071</v>
      </c>
      <c r="AS22" s="23">
        <v>52398</v>
      </c>
      <c r="AT22" s="23">
        <v>51142</v>
      </c>
      <c r="AU22" s="23">
        <v>10527</v>
      </c>
      <c r="AV22" s="23">
        <v>23674</v>
      </c>
      <c r="AW22" s="23">
        <v>4906</v>
      </c>
      <c r="AX22" s="23">
        <v>2356</v>
      </c>
      <c r="AY22" s="23">
        <v>1785</v>
      </c>
      <c r="AZ22" s="23">
        <v>874</v>
      </c>
      <c r="BA22" s="23">
        <v>1867</v>
      </c>
      <c r="BB22" s="23">
        <v>3114</v>
      </c>
      <c r="BC22" s="23">
        <v>6459</v>
      </c>
      <c r="BD22" s="23">
        <v>1076</v>
      </c>
      <c r="BE22" s="23">
        <v>41796</v>
      </c>
      <c r="BF22" s="23">
        <v>25958</v>
      </c>
      <c r="BG22" s="23">
        <v>28102</v>
      </c>
      <c r="BH22" s="23">
        <v>10970</v>
      </c>
      <c r="BI22" s="23">
        <v>60454</v>
      </c>
      <c r="BJ22" s="23">
        <v>1226</v>
      </c>
      <c r="BK22" s="23">
        <v>1250</v>
      </c>
      <c r="BL22" s="23">
        <v>1206</v>
      </c>
      <c r="BM22" s="23">
        <v>15274</v>
      </c>
      <c r="BN22" s="23">
        <v>13541</v>
      </c>
      <c r="BO22" s="23">
        <v>358</v>
      </c>
      <c r="BP22" s="23">
        <v>1247</v>
      </c>
      <c r="BQ22" s="23">
        <v>2873</v>
      </c>
      <c r="BR22" s="23">
        <v>2233</v>
      </c>
      <c r="BS22" s="23">
        <v>2143</v>
      </c>
      <c r="BT22" s="23">
        <v>7701</v>
      </c>
      <c r="BU22" s="23">
        <v>4479</v>
      </c>
      <c r="BV22" s="23">
        <v>4195</v>
      </c>
      <c r="BW22" s="23">
        <v>32316</v>
      </c>
      <c r="BX22" s="23">
        <v>16855</v>
      </c>
      <c r="BY22" s="23">
        <v>42587</v>
      </c>
      <c r="BZ22" s="23">
        <v>33506</v>
      </c>
      <c r="CA22" s="23">
        <v>34675</v>
      </c>
      <c r="CB22" s="23">
        <v>44870</v>
      </c>
      <c r="CC22" s="23">
        <v>60723</v>
      </c>
      <c r="CD22" s="23">
        <v>136493</v>
      </c>
      <c r="CE22" s="23">
        <v>59231</v>
      </c>
      <c r="CF22" s="23">
        <v>35455</v>
      </c>
      <c r="CG22" s="23">
        <v>295294</v>
      </c>
      <c r="CH22" s="23">
        <v>231112</v>
      </c>
      <c r="CI22" s="23">
        <v>333939</v>
      </c>
      <c r="CJ22" s="23">
        <v>168</v>
      </c>
      <c r="CK22" s="23">
        <v>379</v>
      </c>
      <c r="CL22" s="23">
        <v>1866</v>
      </c>
      <c r="CM22" s="23">
        <v>3055</v>
      </c>
      <c r="CN22" s="23">
        <v>1866</v>
      </c>
      <c r="CO22" s="23">
        <v>1370</v>
      </c>
      <c r="CP22" s="23">
        <v>467</v>
      </c>
      <c r="CQ22" s="12">
        <f t="shared" si="3"/>
        <v>12138</v>
      </c>
    </row>
    <row r="23" spans="1:101">
      <c r="A23" s="18" t="s">
        <v>157</v>
      </c>
      <c r="B23" s="28" t="s">
        <v>96</v>
      </c>
      <c r="C23" s="54">
        <v>283</v>
      </c>
      <c r="D23" s="54">
        <v>96298</v>
      </c>
      <c r="E23" s="54">
        <v>471534</v>
      </c>
      <c r="F23" s="54">
        <v>71102</v>
      </c>
      <c r="G23" s="54">
        <v>710</v>
      </c>
      <c r="H23" s="54">
        <v>21209</v>
      </c>
      <c r="I23" s="54">
        <v>314</v>
      </c>
      <c r="J23" s="54">
        <v>12154</v>
      </c>
      <c r="K23" s="54">
        <v>6598</v>
      </c>
      <c r="L23" s="54">
        <v>28092</v>
      </c>
      <c r="M23" s="54">
        <v>2811</v>
      </c>
      <c r="N23" s="54">
        <v>1849</v>
      </c>
      <c r="O23" s="54">
        <v>11947</v>
      </c>
      <c r="P23" s="54">
        <v>27847</v>
      </c>
      <c r="Q23" s="54">
        <v>1869</v>
      </c>
      <c r="R23" s="54">
        <v>2854</v>
      </c>
      <c r="S23" s="54">
        <v>6729</v>
      </c>
      <c r="T23" s="23">
        <v>15583</v>
      </c>
      <c r="U23" s="23">
        <v>12159</v>
      </c>
      <c r="V23" s="23">
        <v>102903</v>
      </c>
      <c r="W23" s="23">
        <v>33286</v>
      </c>
      <c r="X23" s="23">
        <v>69631</v>
      </c>
      <c r="Y23" s="23">
        <v>147442</v>
      </c>
      <c r="Z23" s="23">
        <v>71</v>
      </c>
      <c r="AA23" s="23">
        <v>6191</v>
      </c>
      <c r="AC23" s="23">
        <v>15497</v>
      </c>
      <c r="AD23" s="23">
        <v>7523</v>
      </c>
      <c r="AE23" s="23">
        <v>31530</v>
      </c>
      <c r="AF23" s="23">
        <v>17449</v>
      </c>
      <c r="AG23" s="23">
        <v>17634</v>
      </c>
      <c r="AH23" s="23">
        <v>53086</v>
      </c>
      <c r="AI23" s="23">
        <v>61133</v>
      </c>
      <c r="AJ23" s="23">
        <v>144113</v>
      </c>
      <c r="AK23" s="23">
        <v>450</v>
      </c>
      <c r="AL23" s="23">
        <v>6001</v>
      </c>
      <c r="AM23" s="23">
        <v>21031</v>
      </c>
      <c r="AN23" s="23">
        <v>10069</v>
      </c>
      <c r="AO23" s="23">
        <v>292</v>
      </c>
      <c r="AP23" s="23">
        <v>1276</v>
      </c>
      <c r="AQ23" s="23">
        <v>23090</v>
      </c>
      <c r="AR23" s="23">
        <v>10233</v>
      </c>
      <c r="AS23" s="23">
        <v>26097</v>
      </c>
      <c r="AT23" s="23">
        <v>28716</v>
      </c>
      <c r="AU23" s="23">
        <v>5229</v>
      </c>
      <c r="AV23" s="23">
        <v>12985</v>
      </c>
      <c r="AW23" s="23">
        <v>1968</v>
      </c>
      <c r="AX23" s="23">
        <v>661</v>
      </c>
      <c r="AY23" s="23">
        <v>745</v>
      </c>
      <c r="AZ23" s="23">
        <v>582</v>
      </c>
      <c r="BA23" s="23">
        <v>1114</v>
      </c>
      <c r="BB23" s="23">
        <v>2223</v>
      </c>
      <c r="BC23" s="23">
        <v>5133</v>
      </c>
      <c r="BD23" s="23">
        <v>669</v>
      </c>
      <c r="BE23" s="23">
        <v>26204</v>
      </c>
      <c r="BF23" s="23">
        <v>31434</v>
      </c>
      <c r="BG23" s="23">
        <v>20805</v>
      </c>
      <c r="BH23" s="23">
        <v>7009</v>
      </c>
      <c r="BI23" s="23">
        <v>40329</v>
      </c>
      <c r="BJ23" s="23">
        <v>727</v>
      </c>
      <c r="BK23" s="23">
        <v>819</v>
      </c>
      <c r="BL23" s="23">
        <v>536</v>
      </c>
      <c r="BM23" s="23">
        <v>16418</v>
      </c>
      <c r="BN23" s="23">
        <v>17589</v>
      </c>
      <c r="BO23" s="23">
        <v>170</v>
      </c>
      <c r="BP23" s="23">
        <v>1954</v>
      </c>
      <c r="BQ23" s="23">
        <v>3797</v>
      </c>
      <c r="BR23" s="23">
        <v>4265</v>
      </c>
      <c r="BS23" s="23">
        <v>2280</v>
      </c>
      <c r="BT23" s="23">
        <v>8414</v>
      </c>
      <c r="BU23" s="23">
        <v>3578</v>
      </c>
      <c r="BV23" s="23">
        <v>6262</v>
      </c>
      <c r="BW23" s="23">
        <v>40580</v>
      </c>
      <c r="BX23" s="23">
        <v>17579</v>
      </c>
      <c r="BY23" s="23">
        <v>43176</v>
      </c>
      <c r="BZ23" s="23">
        <v>31689</v>
      </c>
      <c r="CA23" s="23">
        <v>39406</v>
      </c>
      <c r="CB23" s="23">
        <v>35252</v>
      </c>
      <c r="CC23" s="23">
        <v>56881</v>
      </c>
      <c r="CD23" s="23">
        <v>119919</v>
      </c>
      <c r="CE23" s="23">
        <v>50116</v>
      </c>
      <c r="CF23" s="23">
        <v>39415</v>
      </c>
      <c r="CG23" s="23">
        <v>301853</v>
      </c>
      <c r="CH23" s="23">
        <v>210500</v>
      </c>
      <c r="CI23" s="23">
        <v>349545</v>
      </c>
      <c r="CJ23" s="23">
        <v>150</v>
      </c>
      <c r="CK23" s="23">
        <v>337</v>
      </c>
      <c r="CL23" s="23">
        <v>2220</v>
      </c>
      <c r="CM23" s="23">
        <v>2163</v>
      </c>
      <c r="CN23" s="23">
        <v>2220</v>
      </c>
      <c r="CO23" s="23">
        <v>2054</v>
      </c>
      <c r="CP23" s="23">
        <v>791</v>
      </c>
      <c r="CQ23" s="12">
        <f t="shared" si="3"/>
        <v>10233</v>
      </c>
    </row>
    <row r="24" spans="1:101">
      <c r="A24" s="5"/>
      <c r="B24" s="18" t="s">
        <v>105</v>
      </c>
      <c r="C24" s="51">
        <v>296.57</v>
      </c>
      <c r="D24" s="51">
        <v>158546.57</v>
      </c>
      <c r="E24" s="51">
        <v>463478</v>
      </c>
      <c r="F24" s="51">
        <v>74246.86</v>
      </c>
      <c r="G24" s="51">
        <v>1285.29</v>
      </c>
      <c r="H24" s="51">
        <v>16150.14</v>
      </c>
      <c r="I24" s="51">
        <v>566.29</v>
      </c>
      <c r="J24" s="51">
        <v>21324.14</v>
      </c>
      <c r="K24" s="51">
        <v>11446.14</v>
      </c>
      <c r="L24" s="51">
        <v>70847.429999999993</v>
      </c>
      <c r="M24" s="51">
        <v>4086.57</v>
      </c>
      <c r="N24" s="51">
        <v>3253</v>
      </c>
      <c r="O24" s="51">
        <v>12555.86</v>
      </c>
      <c r="P24" s="51">
        <v>40544.29</v>
      </c>
      <c r="Q24" s="51">
        <v>2329.5700000000002</v>
      </c>
      <c r="R24" s="51">
        <v>2816.57</v>
      </c>
      <c r="S24" s="51">
        <v>4510.1400000000003</v>
      </c>
      <c r="T24" s="13">
        <v>10113.86</v>
      </c>
      <c r="U24" s="13">
        <v>12031.29</v>
      </c>
      <c r="V24" s="13">
        <v>59872.86</v>
      </c>
      <c r="W24" s="13">
        <v>17791.29</v>
      </c>
      <c r="X24" s="13">
        <v>69702.570000000007</v>
      </c>
      <c r="Y24" s="13">
        <v>196033.29</v>
      </c>
      <c r="Z24" s="13">
        <v>136.43</v>
      </c>
      <c r="AA24" s="13">
        <v>11156</v>
      </c>
      <c r="AC24" s="13">
        <v>14328</v>
      </c>
      <c r="AD24" s="13">
        <v>12629.57</v>
      </c>
      <c r="AE24" s="13">
        <v>43380.86</v>
      </c>
      <c r="AF24" s="13">
        <v>17474.57</v>
      </c>
      <c r="AG24" s="13">
        <v>23801.14</v>
      </c>
      <c r="AH24" s="13">
        <v>70019.86</v>
      </c>
      <c r="AI24" s="13">
        <v>78921.86</v>
      </c>
      <c r="AJ24" s="13">
        <v>161607.71</v>
      </c>
      <c r="AK24" s="13">
        <v>820.57</v>
      </c>
      <c r="AL24" s="13">
        <v>7931.57</v>
      </c>
      <c r="AM24" s="13">
        <v>34200.86</v>
      </c>
      <c r="AN24" s="13">
        <v>19423.43</v>
      </c>
      <c r="AO24" s="13">
        <v>666.71</v>
      </c>
      <c r="AP24" s="13">
        <v>1938.43</v>
      </c>
      <c r="AQ24" s="13">
        <v>31373.57</v>
      </c>
      <c r="AR24" s="13">
        <v>15911.86</v>
      </c>
      <c r="AS24" s="13">
        <v>47851.29</v>
      </c>
      <c r="AT24" s="13">
        <v>48225.86</v>
      </c>
      <c r="AU24" s="13">
        <v>8739.43</v>
      </c>
      <c r="AV24" s="13">
        <v>23347.57</v>
      </c>
      <c r="AW24" s="13">
        <v>4691.71</v>
      </c>
      <c r="AX24" s="13">
        <v>1238.57</v>
      </c>
      <c r="AY24" s="13">
        <v>2181</v>
      </c>
      <c r="AZ24" s="13">
        <v>1805.14</v>
      </c>
      <c r="BA24" s="13">
        <v>1358.43</v>
      </c>
      <c r="BB24" s="13">
        <v>4340.29</v>
      </c>
      <c r="BC24" s="13">
        <v>7490.29</v>
      </c>
      <c r="BD24" s="13">
        <v>1146.57</v>
      </c>
      <c r="BE24" s="13">
        <v>49117</v>
      </c>
      <c r="BF24" s="13">
        <v>31429.14</v>
      </c>
      <c r="BG24" s="13">
        <v>30341.29</v>
      </c>
      <c r="BH24" s="13">
        <v>11044.57</v>
      </c>
      <c r="BI24" s="13">
        <v>55071.57</v>
      </c>
      <c r="BJ24" s="13">
        <v>940.14</v>
      </c>
      <c r="BK24" s="13">
        <v>1432.43</v>
      </c>
      <c r="BL24" s="13">
        <v>1298.8599999999999</v>
      </c>
      <c r="BM24" s="13">
        <v>17353.29</v>
      </c>
      <c r="BN24" s="13">
        <v>15315.86</v>
      </c>
      <c r="BO24" s="13">
        <v>267.43</v>
      </c>
      <c r="BP24" s="13">
        <v>1167.29</v>
      </c>
      <c r="BQ24" s="13">
        <v>4018</v>
      </c>
      <c r="BR24" s="13">
        <v>2561.71</v>
      </c>
      <c r="BS24" s="13">
        <v>1665.43</v>
      </c>
      <c r="BT24" s="13">
        <v>9648.86</v>
      </c>
      <c r="BU24" s="13">
        <v>2707.57</v>
      </c>
      <c r="BV24" s="13">
        <v>5768.29</v>
      </c>
      <c r="BW24" s="13">
        <v>40102.86</v>
      </c>
      <c r="BX24" s="13">
        <v>16770.14</v>
      </c>
      <c r="BY24" s="13">
        <v>34637</v>
      </c>
      <c r="BZ24" s="13">
        <v>36884.57</v>
      </c>
      <c r="CA24" s="13">
        <v>47494.29</v>
      </c>
      <c r="CB24" s="13">
        <v>33832.14</v>
      </c>
      <c r="CC24" s="13">
        <v>47783.71</v>
      </c>
      <c r="CD24" s="13">
        <v>146637.14000000001</v>
      </c>
      <c r="CE24" s="13">
        <v>53635</v>
      </c>
      <c r="CF24" s="13">
        <v>43569.14</v>
      </c>
      <c r="CG24" s="13">
        <v>343570.43</v>
      </c>
      <c r="CH24" s="13">
        <v>233603</v>
      </c>
      <c r="CI24" s="13">
        <v>301896.86</v>
      </c>
      <c r="CJ24" s="13">
        <v>350.29</v>
      </c>
      <c r="CK24" s="13">
        <v>541.29</v>
      </c>
      <c r="CL24" s="13">
        <v>2457.86</v>
      </c>
      <c r="CM24" s="13">
        <v>3183.71</v>
      </c>
      <c r="CN24" s="13">
        <v>2457.86</v>
      </c>
      <c r="CO24" s="13">
        <v>1472.29</v>
      </c>
      <c r="CP24" s="13">
        <v>678.29</v>
      </c>
      <c r="CQ24" s="12"/>
    </row>
    <row r="25" spans="1:101">
      <c r="A25" s="5"/>
      <c r="B25" s="18" t="s">
        <v>106</v>
      </c>
      <c r="C25" s="51">
        <v>110.72</v>
      </c>
      <c r="D25" s="51">
        <v>45968.95</v>
      </c>
      <c r="E25" s="51">
        <v>78573.509999999995</v>
      </c>
      <c r="F25" s="51">
        <v>19225.330000000002</v>
      </c>
      <c r="G25" s="51">
        <v>520.87</v>
      </c>
      <c r="H25" s="51">
        <v>3283.8</v>
      </c>
      <c r="I25" s="51">
        <v>233.65</v>
      </c>
      <c r="J25" s="51">
        <v>6542.85</v>
      </c>
      <c r="K25" s="51">
        <v>5052.49</v>
      </c>
      <c r="L25" s="51">
        <v>31905.75</v>
      </c>
      <c r="M25" s="51">
        <v>903.54</v>
      </c>
      <c r="N25" s="51">
        <v>1027.1400000000001</v>
      </c>
      <c r="O25" s="51">
        <v>2437.04</v>
      </c>
      <c r="P25" s="51">
        <v>13665.88</v>
      </c>
      <c r="Q25" s="51">
        <v>1052.0899999999999</v>
      </c>
      <c r="R25" s="51">
        <v>702.97</v>
      </c>
      <c r="S25" s="51">
        <v>1348.9</v>
      </c>
      <c r="T25" s="13">
        <v>3604.5</v>
      </c>
      <c r="U25" s="13">
        <v>1830.71</v>
      </c>
      <c r="V25" s="13">
        <v>21168.74</v>
      </c>
      <c r="W25" s="13">
        <v>7451.58</v>
      </c>
      <c r="X25" s="13">
        <v>14552.56</v>
      </c>
      <c r="Y25" s="13">
        <v>54325.02</v>
      </c>
      <c r="Z25" s="13">
        <v>55.98</v>
      </c>
      <c r="AA25" s="13">
        <v>3476.44</v>
      </c>
      <c r="AC25" s="13">
        <v>3266.1</v>
      </c>
      <c r="AD25" s="13">
        <v>3524.35</v>
      </c>
      <c r="AE25" s="13">
        <v>12389.61</v>
      </c>
      <c r="AF25" s="13">
        <v>2396.16</v>
      </c>
      <c r="AG25" s="13">
        <v>4266.03</v>
      </c>
      <c r="AH25" s="13">
        <v>23219.66</v>
      </c>
      <c r="AI25" s="13">
        <v>20051.189999999999</v>
      </c>
      <c r="AJ25" s="13">
        <v>27702.87</v>
      </c>
      <c r="AK25" s="13">
        <v>439</v>
      </c>
      <c r="AL25" s="13">
        <v>1600.57</v>
      </c>
      <c r="AM25" s="13">
        <v>8760.5400000000009</v>
      </c>
      <c r="AN25" s="13">
        <v>9355.68</v>
      </c>
      <c r="AO25" s="13">
        <v>274.11</v>
      </c>
      <c r="AP25" s="13">
        <v>607.69000000000005</v>
      </c>
      <c r="AQ25" s="13">
        <v>5961.83</v>
      </c>
      <c r="AR25" s="13">
        <v>4323.07</v>
      </c>
      <c r="AS25" s="13">
        <v>19781.46</v>
      </c>
      <c r="AT25" s="13">
        <v>21258.07</v>
      </c>
      <c r="AU25" s="13">
        <v>3302.67</v>
      </c>
      <c r="AV25" s="13">
        <v>10199.299999999999</v>
      </c>
      <c r="AW25" s="13">
        <v>2389.1999999999998</v>
      </c>
      <c r="AX25" s="13">
        <v>700.79</v>
      </c>
      <c r="AY25" s="13">
        <v>1182.79</v>
      </c>
      <c r="AZ25" s="13">
        <v>1399.3</v>
      </c>
      <c r="BA25" s="13">
        <v>823.11</v>
      </c>
      <c r="BB25" s="13">
        <v>1755.07</v>
      </c>
      <c r="BC25" s="13">
        <v>2357.02</v>
      </c>
      <c r="BD25" s="13">
        <v>477.04</v>
      </c>
      <c r="BE25" s="13">
        <v>18983.64</v>
      </c>
      <c r="BF25" s="13">
        <v>10320.530000000001</v>
      </c>
      <c r="BG25" s="13">
        <v>11781.39</v>
      </c>
      <c r="BH25" s="13">
        <v>3670.52</v>
      </c>
      <c r="BI25" s="13">
        <v>24519.32</v>
      </c>
      <c r="BJ25" s="13">
        <v>326.01</v>
      </c>
      <c r="BK25" s="13">
        <v>582.66</v>
      </c>
      <c r="BL25" s="13">
        <v>539.08000000000004</v>
      </c>
      <c r="BM25" s="13">
        <v>4737.7700000000004</v>
      </c>
      <c r="BN25" s="13">
        <v>4300.37</v>
      </c>
      <c r="BO25" s="13">
        <v>106.42</v>
      </c>
      <c r="BP25" s="13">
        <v>401.78</v>
      </c>
      <c r="BQ25" s="13">
        <v>1379.33</v>
      </c>
      <c r="BR25" s="13">
        <v>1260.27</v>
      </c>
      <c r="BS25" s="13">
        <v>462.81</v>
      </c>
      <c r="BT25" s="13">
        <v>1743.77</v>
      </c>
      <c r="BU25" s="13">
        <v>2038.25</v>
      </c>
      <c r="BV25" s="13">
        <v>1834.56</v>
      </c>
      <c r="BW25" s="13">
        <v>9092.07</v>
      </c>
      <c r="BX25" s="13">
        <v>2666.39</v>
      </c>
      <c r="BY25" s="13">
        <v>6300.33</v>
      </c>
      <c r="BZ25" s="13">
        <v>9993.3700000000008</v>
      </c>
      <c r="CA25" s="13">
        <v>12832.98</v>
      </c>
      <c r="CB25" s="13">
        <v>12529.04</v>
      </c>
      <c r="CC25" s="13">
        <v>11251.73</v>
      </c>
      <c r="CD25" s="13">
        <v>26868.47</v>
      </c>
      <c r="CE25" s="13">
        <v>20112.23</v>
      </c>
      <c r="CF25" s="13">
        <v>8307.75</v>
      </c>
      <c r="CG25" s="13">
        <v>55623.92</v>
      </c>
      <c r="CH25" s="13">
        <v>60241.94</v>
      </c>
      <c r="CI25" s="13">
        <v>82386.92</v>
      </c>
      <c r="CJ25" s="13">
        <v>226.66</v>
      </c>
      <c r="CK25" s="13">
        <v>278.25</v>
      </c>
      <c r="CL25" s="13">
        <v>1545.45</v>
      </c>
      <c r="CM25" s="13">
        <v>1010.16</v>
      </c>
      <c r="CN25" s="13">
        <v>1545.45</v>
      </c>
      <c r="CO25" s="13">
        <v>434.03</v>
      </c>
      <c r="CP25" s="13">
        <v>166.58</v>
      </c>
      <c r="CQ25" s="12"/>
    </row>
    <row r="26" spans="1:101">
      <c r="A26" s="5"/>
      <c r="B26" s="7" t="s">
        <v>139</v>
      </c>
      <c r="C26" s="55">
        <f>MEDIAN(C17:C25)</f>
        <v>283</v>
      </c>
      <c r="D26" s="55">
        <f t="shared" ref="D26:BP26" si="4">MEDIAN(D17:D25)</f>
        <v>150597</v>
      </c>
      <c r="E26" s="55">
        <f t="shared" si="4"/>
        <v>470266</v>
      </c>
      <c r="F26" s="55">
        <f t="shared" si="4"/>
        <v>71681</v>
      </c>
      <c r="G26" s="55">
        <f t="shared" si="4"/>
        <v>1285.29</v>
      </c>
      <c r="H26" s="55">
        <f t="shared" si="4"/>
        <v>16079</v>
      </c>
      <c r="I26" s="55">
        <f t="shared" si="4"/>
        <v>545</v>
      </c>
      <c r="J26" s="55">
        <f t="shared" si="4"/>
        <v>21324.14</v>
      </c>
      <c r="K26" s="55">
        <f t="shared" si="4"/>
        <v>11446.14</v>
      </c>
      <c r="L26" s="55">
        <f t="shared" si="4"/>
        <v>70847.429999999993</v>
      </c>
      <c r="M26" s="55">
        <f t="shared" si="4"/>
        <v>4092</v>
      </c>
      <c r="N26" s="55">
        <f t="shared" si="4"/>
        <v>3253</v>
      </c>
      <c r="O26" s="55">
        <f t="shared" si="4"/>
        <v>12138</v>
      </c>
      <c r="P26" s="55">
        <f t="shared" si="4"/>
        <v>40544.29</v>
      </c>
      <c r="Q26" s="55">
        <f t="shared" si="4"/>
        <v>1872</v>
      </c>
      <c r="R26" s="55">
        <f t="shared" si="4"/>
        <v>2835</v>
      </c>
      <c r="S26" s="55">
        <f t="shared" si="4"/>
        <v>4510.1400000000003</v>
      </c>
      <c r="T26" s="14">
        <f t="shared" si="4"/>
        <v>10113.86</v>
      </c>
      <c r="U26" s="14">
        <f t="shared" si="4"/>
        <v>12031.29</v>
      </c>
      <c r="V26" s="14">
        <f t="shared" si="4"/>
        <v>56768</v>
      </c>
      <c r="W26" s="14">
        <f t="shared" si="4"/>
        <v>16745</v>
      </c>
      <c r="X26" s="14">
        <f t="shared" si="4"/>
        <v>69702.570000000007</v>
      </c>
      <c r="Y26" s="14">
        <f t="shared" si="4"/>
        <v>200626</v>
      </c>
      <c r="Z26" s="14">
        <f t="shared" si="4"/>
        <v>116</v>
      </c>
      <c r="AA26" s="14">
        <f>MEDIAN(AA17:AA25)</f>
        <v>11135</v>
      </c>
      <c r="AC26" s="14">
        <f t="shared" si="4"/>
        <v>14328</v>
      </c>
      <c r="AD26" s="14">
        <f t="shared" si="4"/>
        <v>12629.57</v>
      </c>
      <c r="AE26" s="14">
        <f t="shared" si="4"/>
        <v>37162</v>
      </c>
      <c r="AF26" s="14">
        <f t="shared" si="4"/>
        <v>17449</v>
      </c>
      <c r="AG26" s="14">
        <f t="shared" si="4"/>
        <v>23688</v>
      </c>
      <c r="AH26" s="14">
        <f t="shared" si="4"/>
        <v>68339</v>
      </c>
      <c r="AI26" s="14">
        <f t="shared" si="4"/>
        <v>75698</v>
      </c>
      <c r="AJ26" s="14">
        <f t="shared" si="4"/>
        <v>157727</v>
      </c>
      <c r="AK26" s="14">
        <f t="shared" si="4"/>
        <v>665</v>
      </c>
      <c r="AL26" s="14">
        <f t="shared" si="4"/>
        <v>7615</v>
      </c>
      <c r="AM26" s="14">
        <f t="shared" si="4"/>
        <v>34200.86</v>
      </c>
      <c r="AN26" s="14">
        <f t="shared" si="4"/>
        <v>16784</v>
      </c>
      <c r="AO26" s="14">
        <f t="shared" si="4"/>
        <v>704</v>
      </c>
      <c r="AP26" s="14">
        <f t="shared" si="4"/>
        <v>1938.43</v>
      </c>
      <c r="AQ26" s="14">
        <f t="shared" si="4"/>
        <v>31272</v>
      </c>
      <c r="AR26" s="14">
        <f t="shared" si="4"/>
        <v>15265</v>
      </c>
      <c r="AS26" s="14">
        <f t="shared" si="4"/>
        <v>45839</v>
      </c>
      <c r="AT26" s="14">
        <f t="shared" si="4"/>
        <v>48225.86</v>
      </c>
      <c r="AU26" s="14">
        <f t="shared" si="4"/>
        <v>7831</v>
      </c>
      <c r="AV26" s="14">
        <f t="shared" si="4"/>
        <v>23347.57</v>
      </c>
      <c r="AW26" s="14">
        <f t="shared" si="4"/>
        <v>4691.71</v>
      </c>
      <c r="AX26" s="14">
        <f t="shared" si="4"/>
        <v>1053</v>
      </c>
      <c r="AY26" s="14">
        <f t="shared" si="4"/>
        <v>2181</v>
      </c>
      <c r="AZ26" s="14">
        <f t="shared" si="4"/>
        <v>1399.3</v>
      </c>
      <c r="BA26" s="14">
        <f t="shared" si="4"/>
        <v>1114</v>
      </c>
      <c r="BB26" s="14">
        <f t="shared" si="4"/>
        <v>3874</v>
      </c>
      <c r="BC26" s="14">
        <f t="shared" si="4"/>
        <v>6817</v>
      </c>
      <c r="BD26" s="14">
        <f t="shared" si="4"/>
        <v>1076</v>
      </c>
      <c r="BE26" s="14">
        <f t="shared" si="4"/>
        <v>43066</v>
      </c>
      <c r="BF26" s="14">
        <f t="shared" si="4"/>
        <v>31429.14</v>
      </c>
      <c r="BG26" s="14">
        <f t="shared" si="4"/>
        <v>28102</v>
      </c>
      <c r="BH26" s="14">
        <f t="shared" si="4"/>
        <v>10970</v>
      </c>
      <c r="BI26" s="14">
        <f t="shared" si="4"/>
        <v>55071.57</v>
      </c>
      <c r="BJ26" s="14">
        <f t="shared" si="4"/>
        <v>901</v>
      </c>
      <c r="BK26" s="14">
        <f t="shared" si="4"/>
        <v>1387</v>
      </c>
      <c r="BL26" s="14">
        <f t="shared" si="4"/>
        <v>1206</v>
      </c>
      <c r="BM26" s="14">
        <f t="shared" si="4"/>
        <v>16418</v>
      </c>
      <c r="BN26" s="14">
        <f t="shared" si="4"/>
        <v>13541</v>
      </c>
      <c r="BO26" s="14">
        <f t="shared" si="4"/>
        <v>258</v>
      </c>
      <c r="BP26" s="14">
        <f t="shared" si="4"/>
        <v>1165</v>
      </c>
      <c r="BQ26" s="14">
        <f t="shared" ref="BQ26:CP26" si="5">MEDIAN(BQ17:BQ25)</f>
        <v>3797</v>
      </c>
      <c r="BR26" s="14">
        <f t="shared" si="5"/>
        <v>2561.71</v>
      </c>
      <c r="BS26" s="14">
        <f t="shared" si="5"/>
        <v>1665.43</v>
      </c>
      <c r="BT26" s="14">
        <f t="shared" si="5"/>
        <v>9106</v>
      </c>
      <c r="BU26" s="14">
        <f t="shared" si="5"/>
        <v>2038.25</v>
      </c>
      <c r="BV26" s="14">
        <f t="shared" si="5"/>
        <v>5768.29</v>
      </c>
      <c r="BW26" s="14">
        <f t="shared" si="5"/>
        <v>39978</v>
      </c>
      <c r="BX26" s="14">
        <f t="shared" si="5"/>
        <v>16770.14</v>
      </c>
      <c r="BY26" s="14">
        <f t="shared" si="5"/>
        <v>32732</v>
      </c>
      <c r="BZ26" s="14">
        <f t="shared" si="5"/>
        <v>33506</v>
      </c>
      <c r="CA26" s="14">
        <f t="shared" si="5"/>
        <v>45745</v>
      </c>
      <c r="CB26" s="14">
        <f t="shared" si="5"/>
        <v>35252</v>
      </c>
      <c r="CC26" s="14">
        <f t="shared" si="5"/>
        <v>42451</v>
      </c>
      <c r="CD26" s="14">
        <f t="shared" si="5"/>
        <v>136493</v>
      </c>
      <c r="CE26" s="14">
        <f t="shared" si="5"/>
        <v>53484</v>
      </c>
      <c r="CF26" s="14">
        <f t="shared" si="5"/>
        <v>40126</v>
      </c>
      <c r="CG26" s="14">
        <f t="shared" si="5"/>
        <v>336534</v>
      </c>
      <c r="CH26" s="14">
        <f t="shared" si="5"/>
        <v>231112</v>
      </c>
      <c r="CI26" s="14">
        <f t="shared" si="5"/>
        <v>280586</v>
      </c>
      <c r="CJ26" s="14">
        <f t="shared" si="5"/>
        <v>332</v>
      </c>
      <c r="CK26" s="14">
        <f t="shared" si="5"/>
        <v>541.29</v>
      </c>
      <c r="CL26" s="14">
        <f t="shared" si="5"/>
        <v>1957</v>
      </c>
      <c r="CM26" s="14">
        <f t="shared" si="5"/>
        <v>3055</v>
      </c>
      <c r="CN26" s="14">
        <f t="shared" si="5"/>
        <v>1957</v>
      </c>
      <c r="CO26" s="14">
        <f t="shared" si="5"/>
        <v>1370</v>
      </c>
      <c r="CP26" s="14">
        <f t="shared" si="5"/>
        <v>678.29</v>
      </c>
      <c r="CQ26" s="12"/>
    </row>
    <row r="27" spans="1:101">
      <c r="A27" s="10"/>
      <c r="B27" s="10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</row>
    <row r="28" spans="1:101">
      <c r="A28" s="33" t="s">
        <v>99</v>
      </c>
      <c r="B28" s="7" t="s">
        <v>134</v>
      </c>
      <c r="C28" s="48">
        <f>_xlfn.T.TEST(C6:C11,C17:C23,2,3)</f>
        <v>0.71053500944586312</v>
      </c>
      <c r="D28" s="48">
        <f t="shared" ref="D28:BP28" si="6">_xlfn.T.TEST(D6:D11,D17:D23,2,3)</f>
        <v>0.93521207706740728</v>
      </c>
      <c r="E28" s="17">
        <f t="shared" si="6"/>
        <v>1.5557275267278927E-3</v>
      </c>
      <c r="F28" s="17">
        <f t="shared" si="6"/>
        <v>4.4692959594311493E-2</v>
      </c>
      <c r="G28" s="48">
        <f t="shared" si="6"/>
        <v>0.28808456656629261</v>
      </c>
      <c r="H28" s="17">
        <f t="shared" si="6"/>
        <v>2.5304768903774391E-3</v>
      </c>
      <c r="I28" s="48">
        <f t="shared" si="6"/>
        <v>0.52205436315706499</v>
      </c>
      <c r="J28" s="48">
        <f t="shared" si="6"/>
        <v>0.52615019402046836</v>
      </c>
      <c r="K28" s="48">
        <f t="shared" si="6"/>
        <v>0.86011643081948463</v>
      </c>
      <c r="L28" s="48">
        <f t="shared" si="6"/>
        <v>0.33079272686294992</v>
      </c>
      <c r="M28" s="48">
        <f t="shared" si="6"/>
        <v>0.45649066480454686</v>
      </c>
      <c r="N28" s="48">
        <f t="shared" si="6"/>
        <v>0.38849739070505396</v>
      </c>
      <c r="O28" s="17">
        <f t="shared" si="6"/>
        <v>2.1783269276825532E-2</v>
      </c>
      <c r="P28" s="48">
        <f t="shared" si="6"/>
        <v>9.9112124329777493E-2</v>
      </c>
      <c r="Q28" s="48">
        <f t="shared" si="6"/>
        <v>0.33108474977602853</v>
      </c>
      <c r="R28" s="17">
        <f t="shared" si="6"/>
        <v>1.6418783186032716E-2</v>
      </c>
      <c r="S28" s="17">
        <f t="shared" si="6"/>
        <v>3.6410273039148133E-3</v>
      </c>
      <c r="T28" s="48">
        <f t="shared" si="6"/>
        <v>5.5719305609589227E-3</v>
      </c>
      <c r="U28" s="17">
        <f t="shared" si="6"/>
        <v>7.4415600105515829E-3</v>
      </c>
      <c r="V28" s="17">
        <f t="shared" si="6"/>
        <v>1.2125156369174297E-2</v>
      </c>
      <c r="W28" s="17">
        <f t="shared" si="6"/>
        <v>5.7980175723308458E-3</v>
      </c>
      <c r="X28" s="17">
        <f t="shared" si="6"/>
        <v>2.169720382007787E-4</v>
      </c>
      <c r="Y28" s="48">
        <f t="shared" si="6"/>
        <v>0.51200311760993911</v>
      </c>
      <c r="Z28" s="48">
        <f t="shared" si="6"/>
        <v>0.31114524862519372</v>
      </c>
      <c r="AA28" s="48">
        <f>_xlfn.T.TEST(AA6:AA11,AA17:AA23,2,3)</f>
        <v>0.94289820357370502</v>
      </c>
      <c r="AC28" s="17">
        <f t="shared" si="6"/>
        <v>3.2248198982707713E-2</v>
      </c>
      <c r="AD28" s="17">
        <f t="shared" si="6"/>
        <v>2.3835944361094669E-2</v>
      </c>
      <c r="AE28" s="48">
        <f t="shared" si="6"/>
        <v>0.46543939244696286</v>
      </c>
      <c r="AF28" s="48">
        <f t="shared" si="6"/>
        <v>6.7456292044116989E-2</v>
      </c>
      <c r="AG28" s="48">
        <f t="shared" si="6"/>
        <v>0.18748679799182938</v>
      </c>
      <c r="AH28" s="48">
        <f t="shared" si="6"/>
        <v>0.22236733303670447</v>
      </c>
      <c r="AI28" s="48">
        <f t="shared" si="6"/>
        <v>0.71362321834520737</v>
      </c>
      <c r="AJ28" s="48">
        <f t="shared" si="6"/>
        <v>0.20178845077801214</v>
      </c>
      <c r="AK28" s="48">
        <f t="shared" si="6"/>
        <v>0.25380664998306501</v>
      </c>
      <c r="AL28" s="48">
        <f t="shared" si="6"/>
        <v>0.33617911161923297</v>
      </c>
      <c r="AM28" s="48">
        <f t="shared" si="6"/>
        <v>0.11509525408077508</v>
      </c>
      <c r="AN28" s="48">
        <f t="shared" si="6"/>
        <v>0.12326678961824289</v>
      </c>
      <c r="AO28" s="48">
        <f t="shared" si="6"/>
        <v>0.13969096628943378</v>
      </c>
      <c r="AP28" s="17">
        <f t="shared" si="6"/>
        <v>1.8578217388484187E-2</v>
      </c>
      <c r="AQ28" s="48">
        <f t="shared" si="6"/>
        <v>6.4991804373690537E-2</v>
      </c>
      <c r="AR28" s="48">
        <f t="shared" si="6"/>
        <v>0.88590088789470778</v>
      </c>
      <c r="AS28" s="48">
        <f t="shared" si="6"/>
        <v>6.6760908965628238E-2</v>
      </c>
      <c r="AT28" s="48">
        <f t="shared" si="6"/>
        <v>6.0434242116801352E-2</v>
      </c>
      <c r="AU28" s="48">
        <f t="shared" si="6"/>
        <v>0.18849549814063804</v>
      </c>
      <c r="AV28" s="17">
        <f t="shared" si="6"/>
        <v>2.7509564118932676E-2</v>
      </c>
      <c r="AW28" s="17">
        <f t="shared" si="6"/>
        <v>4.5664355860972256E-2</v>
      </c>
      <c r="AX28" s="48">
        <f t="shared" si="6"/>
        <v>0.16639975136072707</v>
      </c>
      <c r="AY28" s="48">
        <f t="shared" si="6"/>
        <v>0.41625171459256871</v>
      </c>
      <c r="AZ28" s="48">
        <f t="shared" si="6"/>
        <v>0.1512077807157351</v>
      </c>
      <c r="BA28" s="48">
        <f t="shared" si="6"/>
        <v>5.6602326198895381E-2</v>
      </c>
      <c r="BB28" s="48">
        <f t="shared" si="6"/>
        <v>0.79202004521405756</v>
      </c>
      <c r="BC28" s="48">
        <f t="shared" si="6"/>
        <v>0.34082919381622268</v>
      </c>
      <c r="BD28" s="17">
        <f t="shared" si="6"/>
        <v>3.6277571205708563E-2</v>
      </c>
      <c r="BE28" s="48">
        <f t="shared" si="6"/>
        <v>0.22358877088435669</v>
      </c>
      <c r="BF28" s="48">
        <f t="shared" si="6"/>
        <v>0.97562994995713836</v>
      </c>
      <c r="BG28" s="48">
        <f t="shared" si="6"/>
        <v>6.6418180894700876E-2</v>
      </c>
      <c r="BH28" s="48">
        <f t="shared" si="6"/>
        <v>6.6249644445249917E-2</v>
      </c>
      <c r="BI28" s="48">
        <f t="shared" si="6"/>
        <v>0.20664854033197366</v>
      </c>
      <c r="BJ28" s="17">
        <f t="shared" si="6"/>
        <v>4.1554160442522803E-2</v>
      </c>
      <c r="BK28" s="17">
        <f t="shared" si="6"/>
        <v>1.7101222739445265E-2</v>
      </c>
      <c r="BL28" s="17">
        <f t="shared" si="6"/>
        <v>1.2757785047764614E-2</v>
      </c>
      <c r="BM28" s="48">
        <f t="shared" si="6"/>
        <v>0.95038337971500919</v>
      </c>
      <c r="BN28" s="48">
        <f t="shared" si="6"/>
        <v>0.20703666104571072</v>
      </c>
      <c r="BO28" s="48">
        <f t="shared" si="6"/>
        <v>0.43520815190934026</v>
      </c>
      <c r="BP28" s="48">
        <f t="shared" si="6"/>
        <v>0.1434133573918491</v>
      </c>
      <c r="BQ28" s="48">
        <f t="shared" ref="BQ28:CP28" si="7">_xlfn.T.TEST(BQ6:BQ11,BQ17:BQ23,2,3)</f>
        <v>0.64068757002076293</v>
      </c>
      <c r="BR28" s="48">
        <f t="shared" si="7"/>
        <v>5.6967166451852222E-2</v>
      </c>
      <c r="BS28" s="48">
        <f t="shared" si="7"/>
        <v>0.2118140974689583</v>
      </c>
      <c r="BT28" s="48">
        <f t="shared" si="7"/>
        <v>7.6414275618318053E-2</v>
      </c>
      <c r="BU28" s="48">
        <f t="shared" si="7"/>
        <v>0.99862711340323007</v>
      </c>
      <c r="BV28" s="48">
        <f t="shared" si="7"/>
        <v>0.1202648939561911</v>
      </c>
      <c r="BW28" s="17">
        <f t="shared" si="7"/>
        <v>2.1550730031451543E-2</v>
      </c>
      <c r="BX28" s="48">
        <f t="shared" si="7"/>
        <v>0.78755763798051004</v>
      </c>
      <c r="BY28" s="48">
        <f t="shared" si="7"/>
        <v>0.39666938543408892</v>
      </c>
      <c r="BZ28" s="48">
        <f t="shared" si="7"/>
        <v>7.5675814321120929E-2</v>
      </c>
      <c r="CA28" s="48">
        <f t="shared" si="7"/>
        <v>0.20026135256491756</v>
      </c>
      <c r="CB28" s="48">
        <f t="shared" si="7"/>
        <v>0.1637124259584036</v>
      </c>
      <c r="CC28" s="48">
        <f t="shared" si="7"/>
        <v>0.71784223482487297</v>
      </c>
      <c r="CD28" s="48">
        <f t="shared" si="7"/>
        <v>0.43651644296684722</v>
      </c>
      <c r="CE28" s="48">
        <f t="shared" si="7"/>
        <v>0.41088052820260579</v>
      </c>
      <c r="CF28" s="17">
        <f t="shared" si="7"/>
        <v>4.5687458313819679E-2</v>
      </c>
      <c r="CG28" s="48">
        <f t="shared" si="7"/>
        <v>0.35268314636165121</v>
      </c>
      <c r="CH28" s="48">
        <f t="shared" si="7"/>
        <v>0.32525912179809213</v>
      </c>
      <c r="CI28" s="48">
        <f t="shared" si="7"/>
        <v>0.34604000498505882</v>
      </c>
      <c r="CJ28" s="48">
        <f t="shared" si="7"/>
        <v>9.1029424389542341E-2</v>
      </c>
      <c r="CK28" s="17">
        <f t="shared" si="7"/>
        <v>2.4391689711423536E-2</v>
      </c>
      <c r="CL28" s="48">
        <f t="shared" si="7"/>
        <v>0.98895430474170243</v>
      </c>
      <c r="CM28" s="48">
        <f t="shared" si="7"/>
        <v>0.37953249688107094</v>
      </c>
      <c r="CN28" s="48">
        <f t="shared" si="7"/>
        <v>0.98895430474170243</v>
      </c>
      <c r="CO28" s="48">
        <f t="shared" si="7"/>
        <v>0.3910316212051288</v>
      </c>
      <c r="CP28" s="48">
        <f t="shared" si="7"/>
        <v>0.21085790180380704</v>
      </c>
      <c r="CQ28" s="12"/>
    </row>
    <row r="29" spans="1:101">
      <c r="A29" s="34"/>
      <c r="B29" s="35"/>
      <c r="C29" s="16"/>
      <c r="D29" s="16"/>
      <c r="E29" s="36"/>
      <c r="F29" s="36"/>
      <c r="G29" s="16"/>
      <c r="H29" s="36"/>
      <c r="I29" s="16"/>
      <c r="J29" s="16"/>
      <c r="K29" s="16"/>
      <c r="L29" s="16"/>
      <c r="M29" s="16"/>
      <c r="N29" s="16"/>
      <c r="O29" s="36"/>
      <c r="P29" s="16"/>
      <c r="Q29" s="16"/>
      <c r="R29" s="36"/>
      <c r="S29" s="36"/>
      <c r="T29" s="36"/>
      <c r="U29" s="36"/>
      <c r="V29" s="36"/>
      <c r="W29" s="36"/>
      <c r="X29" s="36"/>
      <c r="Y29" s="16"/>
      <c r="Z29" s="16"/>
      <c r="AA29" s="16"/>
      <c r="AC29" s="16"/>
      <c r="AD29" s="3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36"/>
      <c r="AQ29" s="16"/>
      <c r="AR29" s="16"/>
      <c r="AS29" s="16"/>
      <c r="AT29" s="16"/>
      <c r="AU29" s="16"/>
      <c r="AV29" s="36"/>
      <c r="AW29" s="36"/>
      <c r="AX29" s="16"/>
      <c r="AY29" s="16"/>
      <c r="AZ29" s="16"/>
      <c r="BA29" s="16"/>
      <c r="BB29" s="16"/>
      <c r="BC29" s="16"/>
      <c r="BD29" s="36"/>
      <c r="BE29" s="16"/>
      <c r="BF29" s="16"/>
      <c r="BG29" s="16"/>
      <c r="BH29" s="16"/>
      <c r="BI29" s="16"/>
      <c r="BJ29" s="36"/>
      <c r="BK29" s="36"/>
      <c r="BL29" s="3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36"/>
      <c r="BX29" s="16"/>
      <c r="BY29" s="16"/>
      <c r="BZ29" s="16"/>
      <c r="CA29" s="16"/>
      <c r="CB29" s="16"/>
      <c r="CC29" s="16"/>
      <c r="CD29" s="16"/>
      <c r="CE29" s="16"/>
      <c r="CF29" s="36"/>
      <c r="CG29" s="16"/>
      <c r="CH29" s="16"/>
      <c r="CI29" s="16"/>
      <c r="CJ29" s="16"/>
      <c r="CK29" s="36"/>
      <c r="CL29" s="16"/>
      <c r="CM29" s="16"/>
      <c r="CN29" s="16"/>
      <c r="CO29" s="16"/>
      <c r="CP29" s="16"/>
      <c r="CQ29" s="12"/>
    </row>
    <row r="30" spans="1:101">
      <c r="A30" s="34" t="s">
        <v>137</v>
      </c>
      <c r="B30" s="35" t="s">
        <v>137</v>
      </c>
      <c r="C30" s="16"/>
      <c r="D30" s="16"/>
      <c r="E30" s="36"/>
      <c r="F30" s="36"/>
      <c r="G30" s="16"/>
      <c r="H30" s="36"/>
      <c r="I30" s="16"/>
      <c r="J30" s="16"/>
      <c r="K30" s="16"/>
      <c r="L30" s="16"/>
      <c r="M30" s="16"/>
      <c r="N30" s="16"/>
      <c r="O30" s="36"/>
      <c r="P30" s="16"/>
      <c r="Q30" s="16"/>
      <c r="R30" s="36"/>
      <c r="S30" s="36"/>
      <c r="T30" s="36"/>
      <c r="U30" s="36"/>
      <c r="V30" s="36"/>
      <c r="W30" s="36"/>
      <c r="X30" s="36"/>
      <c r="Y30" s="16"/>
      <c r="Z30" s="16"/>
      <c r="AA30" s="16"/>
      <c r="AC30" s="16"/>
      <c r="AD30" s="3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36"/>
      <c r="AQ30" s="16"/>
      <c r="AR30" s="16"/>
      <c r="AS30" s="16"/>
      <c r="AT30" s="16"/>
      <c r="AU30" s="16"/>
      <c r="AV30" s="36"/>
      <c r="AW30" s="36"/>
      <c r="AX30" s="16"/>
      <c r="AY30" s="16"/>
      <c r="AZ30" s="16"/>
      <c r="BA30" s="16"/>
      <c r="BB30" s="16"/>
      <c r="BC30" s="16"/>
      <c r="BD30" s="36"/>
      <c r="BE30" s="16"/>
      <c r="BF30" s="16"/>
      <c r="BG30" s="16"/>
      <c r="BH30" s="16"/>
      <c r="BI30" s="16"/>
      <c r="BJ30" s="36"/>
      <c r="BK30" s="36"/>
      <c r="BL30" s="3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36"/>
      <c r="BX30" s="16"/>
      <c r="BY30" s="16"/>
      <c r="BZ30" s="16"/>
      <c r="CA30" s="16"/>
      <c r="CB30" s="16"/>
      <c r="CC30" s="16"/>
      <c r="CD30" s="16"/>
      <c r="CE30" s="16"/>
      <c r="CF30" s="36"/>
      <c r="CG30" s="16"/>
      <c r="CH30" s="16"/>
      <c r="CI30" s="16"/>
      <c r="CJ30" s="16"/>
      <c r="CK30" s="36"/>
      <c r="CL30" s="16"/>
      <c r="CM30" s="16"/>
      <c r="CN30" s="16"/>
      <c r="CO30" s="16"/>
      <c r="CP30" s="16"/>
      <c r="CQ30" s="12"/>
    </row>
    <row r="31" spans="1:101" ht="33" customHeight="1">
      <c r="A31" s="10"/>
      <c r="B31" s="129"/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</row>
    <row r="32" spans="1:101">
      <c r="A32" s="10" t="s">
        <v>137</v>
      </c>
      <c r="B32" s="10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</row>
    <row r="33" spans="1:97" ht="28">
      <c r="A33" s="69"/>
    </row>
    <row r="34" spans="1:97" ht="20">
      <c r="A34" s="30" t="s">
        <v>143</v>
      </c>
      <c r="B34" s="31"/>
      <c r="C34" s="7"/>
      <c r="D34" s="24" t="s">
        <v>135</v>
      </c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C34" s="11"/>
      <c r="AD34" s="24" t="s">
        <v>136</v>
      </c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  <c r="CO34" s="60"/>
      <c r="CP34" s="60"/>
      <c r="CQ34" s="11"/>
    </row>
    <row r="35" spans="1:97" ht="113">
      <c r="A35" s="64" t="s">
        <v>0</v>
      </c>
      <c r="B35" s="65" t="s">
        <v>1</v>
      </c>
      <c r="C35" s="66" t="s">
        <v>2</v>
      </c>
      <c r="D35" s="66" t="s">
        <v>3</v>
      </c>
      <c r="E35" s="66" t="s">
        <v>4</v>
      </c>
      <c r="F35" s="66" t="s">
        <v>5</v>
      </c>
      <c r="G35" s="66" t="s">
        <v>6</v>
      </c>
      <c r="H35" s="103" t="s">
        <v>7</v>
      </c>
      <c r="I35" s="66" t="s">
        <v>8</v>
      </c>
      <c r="J35" s="66" t="s">
        <v>9</v>
      </c>
      <c r="K35" s="66" t="s">
        <v>10</v>
      </c>
      <c r="L35" s="66" t="s">
        <v>11</v>
      </c>
      <c r="M35" s="66" t="s">
        <v>12</v>
      </c>
      <c r="N35" s="66" t="s">
        <v>13</v>
      </c>
      <c r="O35" s="66" t="s">
        <v>14</v>
      </c>
      <c r="P35" s="66" t="s">
        <v>15</v>
      </c>
      <c r="Q35" s="66" t="s">
        <v>16</v>
      </c>
      <c r="R35" s="66" t="s">
        <v>17</v>
      </c>
      <c r="S35" s="66" t="s">
        <v>18</v>
      </c>
      <c r="T35" s="66" t="s">
        <v>19</v>
      </c>
      <c r="U35" s="66" t="s">
        <v>20</v>
      </c>
      <c r="V35" s="66" t="s">
        <v>21</v>
      </c>
      <c r="W35" s="66" t="s">
        <v>22</v>
      </c>
      <c r="X35" s="66" t="s">
        <v>23</v>
      </c>
      <c r="Y35" s="66" t="s">
        <v>24</v>
      </c>
      <c r="Z35" s="66" t="s">
        <v>25</v>
      </c>
      <c r="AA35" s="66" t="s">
        <v>26</v>
      </c>
      <c r="AB35" s="131" t="s">
        <v>140</v>
      </c>
      <c r="AC35" s="66" t="s">
        <v>27</v>
      </c>
      <c r="AD35" s="66" t="s">
        <v>28</v>
      </c>
      <c r="AE35" s="66" t="s">
        <v>29</v>
      </c>
      <c r="AF35" s="66" t="s">
        <v>30</v>
      </c>
      <c r="AG35" s="66" t="s">
        <v>31</v>
      </c>
      <c r="AH35" s="66" t="s">
        <v>32</v>
      </c>
      <c r="AI35" s="66" t="s">
        <v>33</v>
      </c>
      <c r="AJ35" s="66" t="s">
        <v>34</v>
      </c>
      <c r="AK35" s="66" t="s">
        <v>35</v>
      </c>
      <c r="AL35" s="66" t="s">
        <v>36</v>
      </c>
      <c r="AM35" s="66" t="s">
        <v>37</v>
      </c>
      <c r="AN35" s="66" t="s">
        <v>38</v>
      </c>
      <c r="AO35" s="66" t="s">
        <v>39</v>
      </c>
      <c r="AP35" s="66" t="s">
        <v>40</v>
      </c>
      <c r="AQ35" s="66" t="s">
        <v>41</v>
      </c>
      <c r="AR35" s="66" t="s">
        <v>42</v>
      </c>
      <c r="AS35" s="66" t="s">
        <v>43</v>
      </c>
      <c r="AT35" s="66" t="s">
        <v>44</v>
      </c>
      <c r="AU35" s="66" t="s">
        <v>45</v>
      </c>
      <c r="AV35" s="66" t="s">
        <v>46</v>
      </c>
      <c r="AW35" s="66" t="s">
        <v>47</v>
      </c>
      <c r="AX35" s="66" t="s">
        <v>48</v>
      </c>
      <c r="AY35" s="66" t="s">
        <v>49</v>
      </c>
      <c r="AZ35" s="66" t="s">
        <v>50</v>
      </c>
      <c r="BA35" s="66" t="s">
        <v>51</v>
      </c>
      <c r="BB35" s="66" t="s">
        <v>52</v>
      </c>
      <c r="BC35" s="66" t="s">
        <v>53</v>
      </c>
      <c r="BD35" s="66" t="s">
        <v>54</v>
      </c>
      <c r="BE35" s="66" t="s">
        <v>55</v>
      </c>
      <c r="BF35" s="66" t="s">
        <v>56</v>
      </c>
      <c r="BG35" s="66" t="s">
        <v>57</v>
      </c>
      <c r="BH35" s="66" t="s">
        <v>58</v>
      </c>
      <c r="BI35" s="66" t="s">
        <v>59</v>
      </c>
      <c r="BJ35" s="66" t="s">
        <v>60</v>
      </c>
      <c r="BK35" s="66" t="s">
        <v>61</v>
      </c>
      <c r="BL35" s="66" t="s">
        <v>62</v>
      </c>
      <c r="BM35" s="66" t="s">
        <v>63</v>
      </c>
      <c r="BN35" s="66" t="s">
        <v>64</v>
      </c>
      <c r="BO35" s="66" t="s">
        <v>65</v>
      </c>
      <c r="BP35" s="66" t="s">
        <v>66</v>
      </c>
      <c r="BQ35" s="66" t="s">
        <v>67</v>
      </c>
      <c r="BR35" s="66" t="s">
        <v>68</v>
      </c>
      <c r="BS35" s="66" t="s">
        <v>69</v>
      </c>
      <c r="BT35" s="66" t="s">
        <v>70</v>
      </c>
      <c r="BU35" s="66" t="s">
        <v>71</v>
      </c>
      <c r="BV35" s="66" t="s">
        <v>72</v>
      </c>
      <c r="BW35" s="66" t="s">
        <v>73</v>
      </c>
      <c r="BX35" s="66" t="s">
        <v>74</v>
      </c>
      <c r="BY35" s="66" t="s">
        <v>75</v>
      </c>
      <c r="BZ35" s="66" t="s">
        <v>76</v>
      </c>
      <c r="CA35" s="66" t="s">
        <v>77</v>
      </c>
      <c r="CB35" s="66" t="s">
        <v>78</v>
      </c>
      <c r="CC35" s="66" t="s">
        <v>79</v>
      </c>
      <c r="CD35" s="66" t="s">
        <v>80</v>
      </c>
      <c r="CE35" s="66" t="s">
        <v>81</v>
      </c>
      <c r="CF35" s="66" t="s">
        <v>82</v>
      </c>
      <c r="CG35" s="66" t="s">
        <v>83</v>
      </c>
      <c r="CH35" s="66" t="s">
        <v>84</v>
      </c>
      <c r="CI35" s="66" t="s">
        <v>85</v>
      </c>
      <c r="CJ35" s="66" t="s">
        <v>86</v>
      </c>
      <c r="CK35" s="66" t="s">
        <v>87</v>
      </c>
      <c r="CL35" s="66" t="s">
        <v>88</v>
      </c>
      <c r="CM35" s="66" t="s">
        <v>89</v>
      </c>
      <c r="CN35" s="66" t="s">
        <v>90</v>
      </c>
      <c r="CO35" s="66" t="s">
        <v>91</v>
      </c>
      <c r="CP35" s="66" t="s">
        <v>92</v>
      </c>
      <c r="CQ35" s="132" t="s">
        <v>141</v>
      </c>
      <c r="CR35" s="68"/>
      <c r="CS35" s="68"/>
    </row>
    <row r="36" spans="1:97">
      <c r="A36" s="25" t="s">
        <v>102</v>
      </c>
      <c r="B36" s="2"/>
      <c r="C36" s="49"/>
      <c r="D36" s="49"/>
      <c r="E36" s="49"/>
      <c r="F36" s="49"/>
      <c r="G36" s="91"/>
      <c r="H36" s="49"/>
      <c r="I36" s="97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89"/>
    </row>
    <row r="37" spans="1:97">
      <c r="A37" s="26" t="s">
        <v>162</v>
      </c>
      <c r="B37" s="20" t="s">
        <v>93</v>
      </c>
      <c r="C37" s="90">
        <f t="shared" ref="C37:AA37" si="8">LOG10(C6)</f>
        <v>2.4132997640812519</v>
      </c>
      <c r="D37" s="90">
        <f t="shared" si="8"/>
        <v>5.1985938622697052</v>
      </c>
      <c r="E37" s="90">
        <f t="shared" si="8"/>
        <v>5.8465127740821483</v>
      </c>
      <c r="F37" s="90">
        <f t="shared" si="8"/>
        <v>4.995538673987773</v>
      </c>
      <c r="G37" s="92">
        <f t="shared" si="8"/>
        <v>2.9995654882259823</v>
      </c>
      <c r="H37" s="90">
        <f t="shared" si="8"/>
        <v>4.4987928353293389</v>
      </c>
      <c r="I37" s="98">
        <f t="shared" si="8"/>
        <v>2.4814426285023048</v>
      </c>
      <c r="J37" s="90">
        <f t="shared" si="8"/>
        <v>4.4416480125256479</v>
      </c>
      <c r="K37" s="90">
        <f t="shared" si="8"/>
        <v>4.1226090235759898</v>
      </c>
      <c r="L37" s="90">
        <f t="shared" si="8"/>
        <v>4.7177536932107156</v>
      </c>
      <c r="M37" s="90">
        <f t="shared" si="8"/>
        <v>3.4956830676169153</v>
      </c>
      <c r="N37" s="90">
        <f t="shared" si="8"/>
        <v>3.3918169236132489</v>
      </c>
      <c r="O37" s="90">
        <f t="shared" si="8"/>
        <v>4.223444019809615</v>
      </c>
      <c r="P37" s="90">
        <f t="shared" si="8"/>
        <v>4.7447309692386517</v>
      </c>
      <c r="Q37" s="90">
        <f t="shared" si="8"/>
        <v>3.5652573434202135</v>
      </c>
      <c r="R37" s="90">
        <f t="shared" si="8"/>
        <v>3.8144473785224875</v>
      </c>
      <c r="S37" s="90">
        <f t="shared" si="8"/>
        <v>4.0071928235570411</v>
      </c>
      <c r="T37" s="90">
        <f t="shared" si="8"/>
        <v>4.4056365898066669</v>
      </c>
      <c r="U37" s="90">
        <f t="shared" si="8"/>
        <v>4.2157168552495232</v>
      </c>
      <c r="V37" s="90">
        <f t="shared" si="8"/>
        <v>5.2280896705754447</v>
      </c>
      <c r="W37" s="90">
        <f t="shared" si="8"/>
        <v>4.6588886439657742</v>
      </c>
      <c r="X37" s="90">
        <f t="shared" si="8"/>
        <v>5.1591700111725194</v>
      </c>
      <c r="Y37" s="90">
        <f t="shared" si="8"/>
        <v>5.308922798685316</v>
      </c>
      <c r="Z37" s="90">
        <f t="shared" si="8"/>
        <v>2.2455126678141499</v>
      </c>
      <c r="AA37" s="90">
        <f t="shared" si="8"/>
        <v>4.0463390556048093</v>
      </c>
      <c r="AB37" s="74">
        <f>MEDIAN(C37:AA37)</f>
        <v>4.223444019809615</v>
      </c>
      <c r="AC37" s="90">
        <f t="shared" ref="AC37:BH37" si="9">LOG10(AC6)</f>
        <v>4.393505008589961</v>
      </c>
      <c r="AD37" s="90">
        <f t="shared" si="9"/>
        <v>4.357572784051678</v>
      </c>
      <c r="AE37" s="90">
        <f t="shared" si="9"/>
        <v>4.7966298305566051</v>
      </c>
      <c r="AF37" s="90">
        <f t="shared" si="9"/>
        <v>4.4125445421080887</v>
      </c>
      <c r="AG37" s="90">
        <f t="shared" si="9"/>
        <v>4.294796781409242</v>
      </c>
      <c r="AH37" s="90">
        <f t="shared" si="9"/>
        <v>4.9508514588885468</v>
      </c>
      <c r="AI37" s="90">
        <f t="shared" si="9"/>
        <v>4.9106777547427054</v>
      </c>
      <c r="AJ37" s="90">
        <f t="shared" si="9"/>
        <v>5.2281564487586332</v>
      </c>
      <c r="AK37" s="90">
        <f t="shared" si="9"/>
        <v>2.7596678446896306</v>
      </c>
      <c r="AL37" s="90">
        <f t="shared" si="9"/>
        <v>3.9818186071706636</v>
      </c>
      <c r="AM37" s="90">
        <f t="shared" si="9"/>
        <v>4.370975449358971</v>
      </c>
      <c r="AN37" s="90">
        <f t="shared" si="9"/>
        <v>4.0237050426220371</v>
      </c>
      <c r="AO37" s="90">
        <f t="shared" si="9"/>
        <v>2.6464037262230695</v>
      </c>
      <c r="AP37" s="90">
        <f t="shared" si="9"/>
        <v>3.1185953652237619</v>
      </c>
      <c r="AQ37" s="90">
        <f t="shared" si="9"/>
        <v>4.33939180867959</v>
      </c>
      <c r="AR37" s="90">
        <f t="shared" si="9"/>
        <v>4.0362694957428156</v>
      </c>
      <c r="AS37" s="90">
        <f t="shared" si="9"/>
        <v>4.4159577458809904</v>
      </c>
      <c r="AT37" s="90">
        <f t="shared" si="9"/>
        <v>4.3288890398395603</v>
      </c>
      <c r="AU37" s="90">
        <f t="shared" si="9"/>
        <v>3.7952541825808828</v>
      </c>
      <c r="AV37" s="90">
        <f t="shared" si="9"/>
        <v>3.980367026184775</v>
      </c>
      <c r="AW37" s="90">
        <f t="shared" si="9"/>
        <v>3.287129620719111</v>
      </c>
      <c r="AX37" s="90">
        <f t="shared" si="9"/>
        <v>3</v>
      </c>
      <c r="AY37" s="90">
        <f t="shared" si="9"/>
        <v>3.1829849670035819</v>
      </c>
      <c r="AZ37" s="90">
        <f t="shared" si="9"/>
        <v>3.0265332645232967</v>
      </c>
      <c r="BA37" s="90">
        <f t="shared" si="9"/>
        <v>2.6821450763738319</v>
      </c>
      <c r="BB37" s="90">
        <f t="shared" si="9"/>
        <v>3.7043221408222355</v>
      </c>
      <c r="BC37" s="90">
        <f t="shared" si="9"/>
        <v>3.6144753660903954</v>
      </c>
      <c r="BD37" s="90">
        <f t="shared" si="9"/>
        <v>2.5538830266438746</v>
      </c>
      <c r="BE37" s="90">
        <f t="shared" si="9"/>
        <v>4.4919916641820024</v>
      </c>
      <c r="BF37" s="90">
        <f t="shared" si="9"/>
        <v>4.2569581525609319</v>
      </c>
      <c r="BG37" s="90">
        <f t="shared" si="9"/>
        <v>4.1318110712703424</v>
      </c>
      <c r="BH37" s="92">
        <f t="shared" si="9"/>
        <v>3.7073998311332486</v>
      </c>
      <c r="BI37" s="90">
        <f t="shared" ref="BI37:CP37" si="10">LOG10(BI6)</f>
        <v>4.2080918452756952</v>
      </c>
      <c r="BJ37" s="90">
        <f t="shared" si="10"/>
        <v>2.6053050461411096</v>
      </c>
      <c r="BK37" s="90">
        <f t="shared" si="10"/>
        <v>2.406540180433955</v>
      </c>
      <c r="BL37" s="90">
        <f t="shared" si="10"/>
        <v>2.6757783416740852</v>
      </c>
      <c r="BM37" s="90">
        <f t="shared" si="10"/>
        <v>4.0905049414240437</v>
      </c>
      <c r="BN37" s="90">
        <f t="shared" si="10"/>
        <v>3.9241758703019207</v>
      </c>
      <c r="BO37" s="90">
        <f t="shared" si="10"/>
        <v>2.2174839442139063</v>
      </c>
      <c r="BP37" s="90">
        <f t="shared" si="10"/>
        <v>3.1547282074401557</v>
      </c>
      <c r="BQ37" s="90">
        <f t="shared" si="10"/>
        <v>3.7097786018482251</v>
      </c>
      <c r="BR37" s="90">
        <f t="shared" si="10"/>
        <v>3.5395778833453089</v>
      </c>
      <c r="BS37" s="90">
        <f t="shared" si="10"/>
        <v>3.284881714655453</v>
      </c>
      <c r="BT37" s="90">
        <f t="shared" si="10"/>
        <v>4.0917021217171481</v>
      </c>
      <c r="BU37" s="90">
        <f t="shared" si="10"/>
        <v>3.2440295890300219</v>
      </c>
      <c r="BV37" s="90">
        <f t="shared" si="10"/>
        <v>3.954483717155552</v>
      </c>
      <c r="BW37" s="90">
        <f t="shared" si="10"/>
        <v>4.7908197842799742</v>
      </c>
      <c r="BX37" s="90">
        <f t="shared" si="10"/>
        <v>4.2001388538573803</v>
      </c>
      <c r="BY37" s="90">
        <f t="shared" si="10"/>
        <v>4.5535675026539852</v>
      </c>
      <c r="BZ37" s="90">
        <f t="shared" si="10"/>
        <v>4.7975652802574409</v>
      </c>
      <c r="CA37" s="90">
        <f t="shared" si="10"/>
        <v>4.7785780967924083</v>
      </c>
      <c r="CB37" s="90">
        <f t="shared" si="10"/>
        <v>4.6411467790075021</v>
      </c>
      <c r="CC37" s="90">
        <f t="shared" si="10"/>
        <v>4.6293178370538719</v>
      </c>
      <c r="CD37" s="90">
        <f t="shared" si="10"/>
        <v>5.0083275877379663</v>
      </c>
      <c r="CE37" s="90">
        <f t="shared" si="10"/>
        <v>4.5528506544605607</v>
      </c>
      <c r="CF37" s="90">
        <f t="shared" si="10"/>
        <v>4.7565752571203594</v>
      </c>
      <c r="CG37" s="90">
        <f t="shared" si="10"/>
        <v>5.5448973748806232</v>
      </c>
      <c r="CH37" s="90">
        <f t="shared" si="10"/>
        <v>5.1313940818173727</v>
      </c>
      <c r="CI37" s="90">
        <f t="shared" si="10"/>
        <v>5.2524889444849885</v>
      </c>
      <c r="CJ37" s="90">
        <f t="shared" si="10"/>
        <v>-4</v>
      </c>
      <c r="CK37" s="90">
        <f t="shared" si="10"/>
        <v>-4</v>
      </c>
      <c r="CL37" s="90">
        <f t="shared" si="10"/>
        <v>3.09377178149873</v>
      </c>
      <c r="CM37" s="90">
        <f t="shared" si="10"/>
        <v>3.330819466495837</v>
      </c>
      <c r="CN37" s="90">
        <f t="shared" si="10"/>
        <v>3.09377178149873</v>
      </c>
      <c r="CO37" s="90">
        <f t="shared" si="10"/>
        <v>3.0484418035504044</v>
      </c>
      <c r="CP37" s="90">
        <f t="shared" si="10"/>
        <v>2.6464037262230695</v>
      </c>
      <c r="CQ37" s="76">
        <f>MEDIAN(AC37:CP37)</f>
        <v>4.0027618248963499</v>
      </c>
    </row>
    <row r="38" spans="1:97">
      <c r="A38" s="26" t="s">
        <v>108</v>
      </c>
      <c r="B38" s="20" t="s">
        <v>93</v>
      </c>
      <c r="C38" s="90">
        <f t="shared" ref="C38:AA38" si="11">LOG10(C7)</f>
        <v>2.6848453616444123</v>
      </c>
      <c r="D38" s="90">
        <f t="shared" si="11"/>
        <v>5.2937447424517945</v>
      </c>
      <c r="E38" s="90">
        <f t="shared" si="11"/>
        <v>5.8284272224857903</v>
      </c>
      <c r="F38" s="90">
        <f t="shared" si="11"/>
        <v>5.1333664336706004</v>
      </c>
      <c r="G38" s="92">
        <f t="shared" si="11"/>
        <v>3.6776981814745104</v>
      </c>
      <c r="H38" s="90">
        <f t="shared" si="11"/>
        <v>4.4621583210264806</v>
      </c>
      <c r="I38" s="98">
        <f t="shared" si="11"/>
        <v>2.869818207979328</v>
      </c>
      <c r="J38" s="90">
        <f t="shared" si="11"/>
        <v>4.5164031484474032</v>
      </c>
      <c r="K38" s="90">
        <f t="shared" si="11"/>
        <v>4.2109869738321457</v>
      </c>
      <c r="L38" s="90">
        <f t="shared" si="11"/>
        <v>4.8398110254458269</v>
      </c>
      <c r="M38" s="90">
        <f t="shared" si="11"/>
        <v>3.9861444647105206</v>
      </c>
      <c r="N38" s="90">
        <f t="shared" si="11"/>
        <v>3.5191714638216589</v>
      </c>
      <c r="O38" s="90">
        <f t="shared" si="11"/>
        <v>4.2316989107643925</v>
      </c>
      <c r="P38" s="90">
        <f t="shared" si="11"/>
        <v>4.6892910962048706</v>
      </c>
      <c r="Q38" s="90">
        <f t="shared" si="11"/>
        <v>3.3904051564800808</v>
      </c>
      <c r="R38" s="90">
        <f t="shared" si="11"/>
        <v>3.8387861449465945</v>
      </c>
      <c r="S38" s="90">
        <f t="shared" si="11"/>
        <v>3.9823164696920652</v>
      </c>
      <c r="T38" s="90">
        <f t="shared" si="11"/>
        <v>4.2972789102331133</v>
      </c>
      <c r="U38" s="90">
        <f t="shared" si="11"/>
        <v>4.2261615234231193</v>
      </c>
      <c r="V38" s="90">
        <f t="shared" si="11"/>
        <v>4.942017979639882</v>
      </c>
      <c r="W38" s="90">
        <f t="shared" si="11"/>
        <v>4.4414123202233835</v>
      </c>
      <c r="X38" s="90">
        <f t="shared" si="11"/>
        <v>5.115131025584299</v>
      </c>
      <c r="Y38" s="90">
        <f t="shared" si="11"/>
        <v>5.365764946487201</v>
      </c>
      <c r="Z38" s="90">
        <f t="shared" si="11"/>
        <v>2.1789769472931693</v>
      </c>
      <c r="AA38" s="90">
        <f t="shared" si="11"/>
        <v>4.051846838313736</v>
      </c>
      <c r="AB38" s="74">
        <f t="shared" ref="AB38:AB42" si="12">MEDIAN(C38:AA38)</f>
        <v>4.2316989107643925</v>
      </c>
      <c r="AC38" s="90">
        <f t="shared" ref="AC38:BH38" si="13">LOG10(AC7)</f>
        <v>4.4251754207256351</v>
      </c>
      <c r="AD38" s="90">
        <f t="shared" si="13"/>
        <v>4.1815291821065035</v>
      </c>
      <c r="AE38" s="90">
        <f t="shared" si="13"/>
        <v>4.6988918242928612</v>
      </c>
      <c r="AF38" s="90">
        <f t="shared" si="13"/>
        <v>4.3574965217955608</v>
      </c>
      <c r="AG38" s="90">
        <f t="shared" si="13"/>
        <v>4.1924559385119755</v>
      </c>
      <c r="AH38" s="90">
        <f t="shared" si="13"/>
        <v>4.9588265781957981</v>
      </c>
      <c r="AI38" s="90">
        <f t="shared" si="13"/>
        <v>4.9949327367300418</v>
      </c>
      <c r="AJ38" s="90">
        <f t="shared" si="13"/>
        <v>5.2573689397199814</v>
      </c>
      <c r="AK38" s="90">
        <f t="shared" si="13"/>
        <v>2.8267225201689921</v>
      </c>
      <c r="AL38" s="90">
        <f t="shared" si="13"/>
        <v>4.0300327049361711</v>
      </c>
      <c r="AM38" s="90">
        <f t="shared" si="13"/>
        <v>4.4941545940184424</v>
      </c>
      <c r="AN38" s="90">
        <f t="shared" si="13"/>
        <v>4.1951244229866802</v>
      </c>
      <c r="AO38" s="90">
        <f t="shared" si="13"/>
        <v>2.8020892578817329</v>
      </c>
      <c r="AP38" s="90">
        <f t="shared" si="13"/>
        <v>3.2278867046136734</v>
      </c>
      <c r="AQ38" s="90">
        <f t="shared" si="13"/>
        <v>4.4133332990399117</v>
      </c>
      <c r="AR38" s="90">
        <f t="shared" si="13"/>
        <v>4.1909196989125732</v>
      </c>
      <c r="AS38" s="90">
        <f t="shared" si="13"/>
        <v>4.4972200027144869</v>
      </c>
      <c r="AT38" s="90">
        <f t="shared" si="13"/>
        <v>4.4908991341086884</v>
      </c>
      <c r="AU38" s="90">
        <f t="shared" si="13"/>
        <v>3.8143807944699382</v>
      </c>
      <c r="AV38" s="90">
        <f t="shared" si="13"/>
        <v>4.1137428624293495</v>
      </c>
      <c r="AW38" s="90">
        <f t="shared" si="13"/>
        <v>3.4331295175804857</v>
      </c>
      <c r="AX38" s="90">
        <f t="shared" si="13"/>
        <v>2.7528164311882715</v>
      </c>
      <c r="AY38" s="90">
        <f t="shared" si="13"/>
        <v>3.3469394626989906</v>
      </c>
      <c r="AZ38" s="90">
        <f t="shared" si="13"/>
        <v>2.8055008581584002</v>
      </c>
      <c r="BA38" s="90">
        <f t="shared" si="13"/>
        <v>2.7781512503836434</v>
      </c>
      <c r="BB38" s="90">
        <f t="shared" si="13"/>
        <v>3.6749529480485652</v>
      </c>
      <c r="BC38" s="90">
        <f t="shared" si="13"/>
        <v>3.8124454028727559</v>
      </c>
      <c r="BD38" s="90">
        <f t="shared" si="13"/>
        <v>2.6665179805548807</v>
      </c>
      <c r="BE38" s="90">
        <f t="shared" si="13"/>
        <v>4.4740121851698502</v>
      </c>
      <c r="BF38" s="90">
        <f t="shared" si="13"/>
        <v>4.3548764225162335</v>
      </c>
      <c r="BG38" s="90">
        <f t="shared" si="13"/>
        <v>4.2769670381470917</v>
      </c>
      <c r="BH38" s="92">
        <f t="shared" si="13"/>
        <v>3.8820689444361483</v>
      </c>
      <c r="BI38" s="90">
        <f t="shared" ref="BI38:CP38" si="14">LOG10(BI7)</f>
        <v>4.6795823253490623</v>
      </c>
      <c r="BJ38" s="90">
        <f t="shared" si="14"/>
        <v>2.7218106152125467</v>
      </c>
      <c r="BK38" s="90">
        <f t="shared" si="14"/>
        <v>2.7693773260761385</v>
      </c>
      <c r="BL38" s="90">
        <f t="shared" si="14"/>
        <v>2.8813846567705728</v>
      </c>
      <c r="BM38" s="90">
        <f t="shared" si="14"/>
        <v>4.0356698346516806</v>
      </c>
      <c r="BN38" s="90">
        <f t="shared" si="14"/>
        <v>3.9912260756924947</v>
      </c>
      <c r="BO38" s="90">
        <f t="shared" si="14"/>
        <v>1.8750612633917001</v>
      </c>
      <c r="BP38" s="90">
        <f t="shared" si="14"/>
        <v>3.1922886125681202</v>
      </c>
      <c r="BQ38" s="90">
        <f t="shared" si="14"/>
        <v>3.7194970166105819</v>
      </c>
      <c r="BR38" s="90">
        <f t="shared" si="14"/>
        <v>3.7011360660925265</v>
      </c>
      <c r="BS38" s="90">
        <f t="shared" si="14"/>
        <v>3.3749315539781883</v>
      </c>
      <c r="BT38" s="90">
        <f t="shared" si="14"/>
        <v>4.1290450598879582</v>
      </c>
      <c r="BU38" s="90">
        <f t="shared" si="14"/>
        <v>3.167317334748176</v>
      </c>
      <c r="BV38" s="90">
        <f t="shared" si="14"/>
        <v>3.9162959945631308</v>
      </c>
      <c r="BW38" s="90">
        <f t="shared" si="14"/>
        <v>4.7528317770119122</v>
      </c>
      <c r="BX38" s="90">
        <f t="shared" si="14"/>
        <v>4.1941534361650987</v>
      </c>
      <c r="BY38" s="90">
        <f t="shared" si="14"/>
        <v>4.623889919047242</v>
      </c>
      <c r="BZ38" s="90">
        <f t="shared" si="14"/>
        <v>4.7397621584749245</v>
      </c>
      <c r="CA38" s="90">
        <f t="shared" si="14"/>
        <v>4.7824797906827659</v>
      </c>
      <c r="CB38" s="90">
        <f t="shared" si="14"/>
        <v>4.729755870432057</v>
      </c>
      <c r="CC38" s="90">
        <f t="shared" si="14"/>
        <v>4.6193020758756083</v>
      </c>
      <c r="CD38" s="90">
        <f t="shared" si="14"/>
        <v>5.2287569907978408</v>
      </c>
      <c r="CE38" s="90">
        <f t="shared" si="14"/>
        <v>4.6701159164854893</v>
      </c>
      <c r="CF38" s="90">
        <f t="shared" si="14"/>
        <v>4.7487460469754881</v>
      </c>
      <c r="CG38" s="90">
        <f t="shared" si="14"/>
        <v>5.5707973712441134</v>
      </c>
      <c r="CH38" s="90">
        <f t="shared" si="14"/>
        <v>5.3405194653364392</v>
      </c>
      <c r="CI38" s="90">
        <f t="shared" si="14"/>
        <v>5.3648679240374495</v>
      </c>
      <c r="CJ38" s="90">
        <f t="shared" si="14"/>
        <v>2.1271047983648077</v>
      </c>
      <c r="CK38" s="90">
        <f t="shared" si="14"/>
        <v>2.374748346010104</v>
      </c>
      <c r="CL38" s="90">
        <f t="shared" si="14"/>
        <v>3.106870544478654</v>
      </c>
      <c r="CM38" s="90">
        <f t="shared" si="14"/>
        <v>3.379305517750582</v>
      </c>
      <c r="CN38" s="90">
        <f t="shared" si="14"/>
        <v>3.106870544478654</v>
      </c>
      <c r="CO38" s="90">
        <f t="shared" si="14"/>
        <v>2.9675479762188619</v>
      </c>
      <c r="CP38" s="90">
        <f t="shared" si="14"/>
        <v>2.9503648543761232</v>
      </c>
      <c r="CQ38" s="76">
        <f t="shared" ref="CQ38:CQ42" si="15">MEDIAN(AC38:CP38)</f>
        <v>4.0747063485405146</v>
      </c>
    </row>
    <row r="39" spans="1:97">
      <c r="A39" s="26" t="s">
        <v>161</v>
      </c>
      <c r="B39" s="20" t="s">
        <v>93</v>
      </c>
      <c r="C39" s="90">
        <f t="shared" ref="C39:AA39" si="16">LOG10(C8)</f>
        <v>2.4533183400470375</v>
      </c>
      <c r="D39" s="90">
        <f t="shared" si="16"/>
        <v>5.0106518300892429</v>
      </c>
      <c r="E39" s="90">
        <f t="shared" si="16"/>
        <v>5.698286756236647</v>
      </c>
      <c r="F39" s="90">
        <f t="shared" si="16"/>
        <v>4.8354305509857056</v>
      </c>
      <c r="G39" s="92">
        <f t="shared" si="16"/>
        <v>2.7993405494535817</v>
      </c>
      <c r="H39" s="90">
        <f t="shared" si="16"/>
        <v>4.3119868346197006</v>
      </c>
      <c r="I39" s="98">
        <f t="shared" si="16"/>
        <v>2.7693773260761385</v>
      </c>
      <c r="J39" s="90">
        <f t="shared" si="16"/>
        <v>4.1079219001862795</v>
      </c>
      <c r="K39" s="90">
        <f t="shared" si="16"/>
        <v>3.735758537443739</v>
      </c>
      <c r="L39" s="90">
        <f t="shared" si="16"/>
        <v>4.6150236911537403</v>
      </c>
      <c r="M39" s="90">
        <f t="shared" si="16"/>
        <v>3.3230457354817013</v>
      </c>
      <c r="N39" s="90">
        <f t="shared" si="16"/>
        <v>3.3334472744967503</v>
      </c>
      <c r="O39" s="90">
        <f t="shared" si="16"/>
        <v>4.1190248201147828</v>
      </c>
      <c r="P39" s="90">
        <f t="shared" si="16"/>
        <v>4.7937135734082554</v>
      </c>
      <c r="Q39" s="90">
        <f t="shared" si="16"/>
        <v>3.5102768444173549</v>
      </c>
      <c r="R39" s="90">
        <f t="shared" si="16"/>
        <v>3.2633993313340022</v>
      </c>
      <c r="S39" s="90">
        <f t="shared" si="16"/>
        <v>3.7515870050823104</v>
      </c>
      <c r="T39" s="90">
        <f t="shared" si="16"/>
        <v>4.1691157802357148</v>
      </c>
      <c r="U39" s="90">
        <f t="shared" si="16"/>
        <v>4.1469028699281987</v>
      </c>
      <c r="V39" s="90">
        <f t="shared" si="16"/>
        <v>5.1463575306860481</v>
      </c>
      <c r="W39" s="90">
        <f t="shared" si="16"/>
        <v>4.625384484356541</v>
      </c>
      <c r="X39" s="90">
        <f t="shared" si="16"/>
        <v>4.9543390086024601</v>
      </c>
      <c r="Y39" s="90">
        <f t="shared" si="16"/>
        <v>5.329528046488452</v>
      </c>
      <c r="Z39" s="90">
        <f t="shared" si="16"/>
        <v>2.2121876044039577</v>
      </c>
      <c r="AA39" s="90">
        <f t="shared" si="16"/>
        <v>4.0608488730388075</v>
      </c>
      <c r="AB39" s="74">
        <f t="shared" si="12"/>
        <v>4.1190248201147828</v>
      </c>
      <c r="AC39" s="90">
        <f t="shared" ref="AC39:BH39" si="17">LOG10(AC8)</f>
        <v>4.0014308122463982</v>
      </c>
      <c r="AD39" s="90">
        <f t="shared" si="17"/>
        <v>4.0670708560453699</v>
      </c>
      <c r="AE39" s="90">
        <f t="shared" si="17"/>
        <v>4.4685836168608057</v>
      </c>
      <c r="AF39" s="90">
        <f t="shared" si="17"/>
        <v>4.0888799561080518</v>
      </c>
      <c r="AG39" s="90">
        <f t="shared" si="17"/>
        <v>4.1661932151700674</v>
      </c>
      <c r="AH39" s="90">
        <f t="shared" si="17"/>
        <v>4.7686159050510168</v>
      </c>
      <c r="AI39" s="90">
        <f t="shared" si="17"/>
        <v>4.7977452097731996</v>
      </c>
      <c r="AJ39" s="90">
        <f t="shared" si="17"/>
        <v>5.1967038735313666</v>
      </c>
      <c r="AK39" s="90">
        <f t="shared" si="17"/>
        <v>2.6042260530844699</v>
      </c>
      <c r="AL39" s="90">
        <f t="shared" si="17"/>
        <v>3.667452952889954</v>
      </c>
      <c r="AM39" s="90">
        <f t="shared" si="17"/>
        <v>4.168733128934079</v>
      </c>
      <c r="AN39" s="90">
        <f t="shared" si="17"/>
        <v>3.8903092168999485</v>
      </c>
      <c r="AO39" s="90">
        <f t="shared" si="17"/>
        <v>2.5118833609788744</v>
      </c>
      <c r="AP39" s="90">
        <f t="shared" si="17"/>
        <v>2.8709888137605755</v>
      </c>
      <c r="AQ39" s="90">
        <f t="shared" si="17"/>
        <v>4.1650067795683681</v>
      </c>
      <c r="AR39" s="90">
        <f t="shared" si="17"/>
        <v>3.858958054718006</v>
      </c>
      <c r="AS39" s="90">
        <f t="shared" si="17"/>
        <v>4.2919014004654672</v>
      </c>
      <c r="AT39" s="90">
        <f t="shared" si="17"/>
        <v>4.2847464695777306</v>
      </c>
      <c r="AU39" s="90">
        <f t="shared" si="17"/>
        <v>3.7356787259059048</v>
      </c>
      <c r="AV39" s="90">
        <f t="shared" si="17"/>
        <v>4.0309638423782754</v>
      </c>
      <c r="AW39" s="90">
        <f t="shared" si="17"/>
        <v>3.3475251599986895</v>
      </c>
      <c r="AX39" s="90">
        <f t="shared" si="17"/>
        <v>2.2227164711475833</v>
      </c>
      <c r="AY39" s="90">
        <f t="shared" si="17"/>
        <v>2.989894563718773</v>
      </c>
      <c r="AZ39" s="90">
        <f t="shared" si="17"/>
        <v>2.8162412999917832</v>
      </c>
      <c r="BA39" s="90">
        <f t="shared" si="17"/>
        <v>2.3010299956639813</v>
      </c>
      <c r="BB39" s="90">
        <f t="shared" si="17"/>
        <v>3.4109458586877746</v>
      </c>
      <c r="BC39" s="90">
        <f t="shared" si="17"/>
        <v>3.6574383227029625</v>
      </c>
      <c r="BD39" s="90">
        <f t="shared" si="17"/>
        <v>2.8536982117761744</v>
      </c>
      <c r="BE39" s="90">
        <f t="shared" si="17"/>
        <v>4.5741123284655743</v>
      </c>
      <c r="BF39" s="90">
        <f t="shared" si="17"/>
        <v>4.4586378490256493</v>
      </c>
      <c r="BG39" s="90">
        <f t="shared" si="17"/>
        <v>4.3734453422979787</v>
      </c>
      <c r="BH39" s="92">
        <f t="shared" si="17"/>
        <v>3.9911374351203119</v>
      </c>
      <c r="BI39" s="90">
        <f t="shared" ref="BI39:CP39" si="18">LOG10(BI8)</f>
        <v>4.5863509661769557</v>
      </c>
      <c r="BJ39" s="90">
        <f t="shared" si="18"/>
        <v>2.7634279935629373</v>
      </c>
      <c r="BK39" s="90">
        <f t="shared" si="18"/>
        <v>2.9684829485539352</v>
      </c>
      <c r="BL39" s="90">
        <f t="shared" si="18"/>
        <v>2.8704039052790269</v>
      </c>
      <c r="BM39" s="90">
        <f t="shared" si="18"/>
        <v>4.3291130026818196</v>
      </c>
      <c r="BN39" s="90">
        <f t="shared" si="18"/>
        <v>4.2356294338820542</v>
      </c>
      <c r="BO39" s="90">
        <f t="shared" si="18"/>
        <v>2.5490032620257876</v>
      </c>
      <c r="BP39" s="90">
        <f t="shared" si="18"/>
        <v>2.9642596301968491</v>
      </c>
      <c r="BQ39" s="90">
        <f t="shared" si="18"/>
        <v>3.4525530632289252</v>
      </c>
      <c r="BR39" s="90">
        <f t="shared" si="18"/>
        <v>3.3191060593097763</v>
      </c>
      <c r="BS39" s="90">
        <f t="shared" si="18"/>
        <v>3.0374264979406238</v>
      </c>
      <c r="BT39" s="90">
        <f t="shared" si="18"/>
        <v>3.881441721941393</v>
      </c>
      <c r="BU39" s="90">
        <f t="shared" si="18"/>
        <v>3.070037866607755</v>
      </c>
      <c r="BV39" s="90">
        <f t="shared" si="18"/>
        <v>3.6953065224318027</v>
      </c>
      <c r="BW39" s="90">
        <f t="shared" si="18"/>
        <v>4.5757649805367198</v>
      </c>
      <c r="BX39" s="90">
        <f t="shared" si="18"/>
        <v>4.205853695464925</v>
      </c>
      <c r="BY39" s="90">
        <f t="shared" si="18"/>
        <v>4.3605744813966325</v>
      </c>
      <c r="BZ39" s="90">
        <f t="shared" si="18"/>
        <v>4.4508339338910039</v>
      </c>
      <c r="CA39" s="90">
        <f t="shared" si="18"/>
        <v>4.5922878159521305</v>
      </c>
      <c r="CB39" s="90">
        <f t="shared" si="18"/>
        <v>4.3762666358701017</v>
      </c>
      <c r="CC39" s="90">
        <f t="shared" si="18"/>
        <v>4.5281708210871674</v>
      </c>
      <c r="CD39" s="90">
        <f t="shared" si="18"/>
        <v>5.0359018017988983</v>
      </c>
      <c r="CE39" s="90">
        <f t="shared" si="18"/>
        <v>4.5583365015599187</v>
      </c>
      <c r="CF39" s="90">
        <f t="shared" si="18"/>
        <v>4.6090712335497699</v>
      </c>
      <c r="CG39" s="90">
        <f t="shared" si="18"/>
        <v>5.5060800006036423</v>
      </c>
      <c r="CH39" s="90">
        <f t="shared" si="18"/>
        <v>5.3139557568207927</v>
      </c>
      <c r="CI39" s="90">
        <f t="shared" si="18"/>
        <v>5.4462357279732698</v>
      </c>
      <c r="CJ39" s="90">
        <f t="shared" si="18"/>
        <v>2.3138672203691533</v>
      </c>
      <c r="CK39" s="90">
        <f t="shared" si="18"/>
        <v>2.5132176000679389</v>
      </c>
      <c r="CL39" s="90">
        <f t="shared" si="18"/>
        <v>3.1749315935284423</v>
      </c>
      <c r="CM39" s="90">
        <f t="shared" si="18"/>
        <v>3.3854275148051305</v>
      </c>
      <c r="CN39" s="90">
        <f t="shared" si="18"/>
        <v>3.1749315935284423</v>
      </c>
      <c r="CO39" s="90">
        <f t="shared" si="18"/>
        <v>3.1789769472931693</v>
      </c>
      <c r="CP39" s="90">
        <f t="shared" si="18"/>
        <v>2.9263424466256551</v>
      </c>
      <c r="CQ39" s="76">
        <f t="shared" si="15"/>
        <v>3.9407233260101302</v>
      </c>
    </row>
    <row r="40" spans="1:97">
      <c r="A40" s="26" t="s">
        <v>163</v>
      </c>
      <c r="B40" s="20" t="s">
        <v>94</v>
      </c>
      <c r="C40" s="90">
        <f t="shared" ref="C40:AA40" si="19">LOG10(C9)</f>
        <v>2.3404441148401185</v>
      </c>
      <c r="D40" s="90">
        <f t="shared" si="19"/>
        <v>5.0720807067768554</v>
      </c>
      <c r="E40" s="90">
        <f t="shared" si="19"/>
        <v>5.7993536470261686</v>
      </c>
      <c r="F40" s="90">
        <f t="shared" si="19"/>
        <v>5.0119931146592567</v>
      </c>
      <c r="G40" s="92">
        <f t="shared" si="19"/>
        <v>3.0269416279590295</v>
      </c>
      <c r="H40" s="90">
        <f t="shared" si="19"/>
        <v>4.4217848452152522</v>
      </c>
      <c r="I40" s="98">
        <f t="shared" si="19"/>
        <v>2.8555191556678001</v>
      </c>
      <c r="J40" s="90">
        <f t="shared" si="19"/>
        <v>4.220761653975142</v>
      </c>
      <c r="K40" s="90">
        <f t="shared" si="19"/>
        <v>3.821906377352323</v>
      </c>
      <c r="L40" s="90">
        <f t="shared" si="19"/>
        <v>4.4391747398434687</v>
      </c>
      <c r="M40" s="90">
        <f t="shared" si="19"/>
        <v>3.4723175463168419</v>
      </c>
      <c r="N40" s="90">
        <f t="shared" si="19"/>
        <v>3.2005769267548483</v>
      </c>
      <c r="O40" s="90">
        <f t="shared" si="19"/>
        <v>4.1940423278864234</v>
      </c>
      <c r="P40" s="90">
        <f t="shared" si="19"/>
        <v>4.6169898507893263</v>
      </c>
      <c r="Q40" s="90">
        <f t="shared" si="19"/>
        <v>3.2631624649622166</v>
      </c>
      <c r="R40" s="90">
        <f t="shared" si="19"/>
        <v>3.8328919447597904</v>
      </c>
      <c r="S40" s="90">
        <f t="shared" si="19"/>
        <v>4.0726542173330342</v>
      </c>
      <c r="T40" s="90">
        <f t="shared" si="19"/>
        <v>4.3557004927818816</v>
      </c>
      <c r="U40" s="90">
        <f t="shared" si="19"/>
        <v>4.1252209363165644</v>
      </c>
      <c r="V40" s="90">
        <f t="shared" si="19"/>
        <v>5.123805923352232</v>
      </c>
      <c r="W40" s="90">
        <f t="shared" si="19"/>
        <v>4.6771139860263427</v>
      </c>
      <c r="X40" s="90">
        <f t="shared" si="19"/>
        <v>5.084547681471431</v>
      </c>
      <c r="Y40" s="90">
        <f t="shared" si="19"/>
        <v>5.204380481203315</v>
      </c>
      <c r="Z40" s="90">
        <f t="shared" si="19"/>
        <v>2.307496037913213</v>
      </c>
      <c r="AA40" s="90">
        <f t="shared" si="19"/>
        <v>4.0937017848055488</v>
      </c>
      <c r="AB40" s="74">
        <f t="shared" si="12"/>
        <v>4.1940423278864234</v>
      </c>
      <c r="AC40" s="90">
        <f t="shared" ref="AC40:BH40" si="20">LOG10(AC9)</f>
        <v>4.3493746742040509</v>
      </c>
      <c r="AD40" s="90">
        <f t="shared" si="20"/>
        <v>4.2834143115011951</v>
      </c>
      <c r="AE40" s="90">
        <f t="shared" si="20"/>
        <v>4.719886232471759</v>
      </c>
      <c r="AF40" s="90">
        <f t="shared" si="20"/>
        <v>4.4576245729130575</v>
      </c>
      <c r="AG40" s="90">
        <f t="shared" si="20"/>
        <v>4.358049119986747</v>
      </c>
      <c r="AH40" s="90">
        <f t="shared" si="20"/>
        <v>4.9759921233762983</v>
      </c>
      <c r="AI40" s="90">
        <f t="shared" si="20"/>
        <v>4.930674009732761</v>
      </c>
      <c r="AJ40" s="90">
        <f t="shared" si="20"/>
        <v>5.2881284471827463</v>
      </c>
      <c r="AK40" s="90">
        <f t="shared" si="20"/>
        <v>2.8202014594856402</v>
      </c>
      <c r="AL40" s="90">
        <f t="shared" si="20"/>
        <v>3.9848422314052758</v>
      </c>
      <c r="AM40" s="90">
        <f t="shared" si="20"/>
        <v>4.3712895730645558</v>
      </c>
      <c r="AN40" s="90">
        <f t="shared" si="20"/>
        <v>4.0402066275747108</v>
      </c>
      <c r="AO40" s="90">
        <f t="shared" si="20"/>
        <v>2.6812412373755872</v>
      </c>
      <c r="AP40" s="90">
        <f t="shared" si="20"/>
        <v>3.1522883443830563</v>
      </c>
      <c r="AQ40" s="90">
        <f t="shared" si="20"/>
        <v>4.3857670936267761</v>
      </c>
      <c r="AR40" s="90">
        <f t="shared" si="20"/>
        <v>4.2172733261293205</v>
      </c>
      <c r="AS40" s="90">
        <f t="shared" si="20"/>
        <v>4.4723029085749877</v>
      </c>
      <c r="AT40" s="90">
        <f t="shared" si="20"/>
        <v>4.4458843029169106</v>
      </c>
      <c r="AU40" s="90">
        <f t="shared" si="20"/>
        <v>3.873843533223436</v>
      </c>
      <c r="AV40" s="90">
        <f t="shared" si="20"/>
        <v>4.0845405320614843</v>
      </c>
      <c r="AW40" s="90">
        <f t="shared" si="20"/>
        <v>3.330819466495837</v>
      </c>
      <c r="AX40" s="90">
        <f t="shared" si="20"/>
        <v>3.0047511555910011</v>
      </c>
      <c r="AY40" s="90">
        <f t="shared" si="20"/>
        <v>3.199480914862356</v>
      </c>
      <c r="AZ40" s="90">
        <f t="shared" si="20"/>
        <v>2.7466341989375787</v>
      </c>
      <c r="BA40" s="90">
        <f t="shared" si="20"/>
        <v>3.0322157032979815</v>
      </c>
      <c r="BB40" s="90">
        <f t="shared" si="20"/>
        <v>3.6398847419163043</v>
      </c>
      <c r="BC40" s="90">
        <f t="shared" si="20"/>
        <v>3.8046845149069406</v>
      </c>
      <c r="BD40" s="90">
        <f t="shared" si="20"/>
        <v>2.9484129657786009</v>
      </c>
      <c r="BE40" s="90">
        <f t="shared" si="20"/>
        <v>4.610212864974371</v>
      </c>
      <c r="BF40" s="90">
        <f t="shared" si="20"/>
        <v>4.519092613490356</v>
      </c>
      <c r="BG40" s="90">
        <f t="shared" si="20"/>
        <v>4.3181885941517963</v>
      </c>
      <c r="BH40" s="92">
        <f t="shared" si="20"/>
        <v>3.804548308388056</v>
      </c>
      <c r="BI40" s="90">
        <f t="shared" ref="BI40:CP40" si="21">LOG10(BI9)</f>
        <v>4.5877109650189114</v>
      </c>
      <c r="BJ40" s="90">
        <f t="shared" si="21"/>
        <v>2.7543483357110188</v>
      </c>
      <c r="BK40" s="90">
        <f t="shared" si="21"/>
        <v>3.0141003215196207</v>
      </c>
      <c r="BL40" s="90">
        <f t="shared" si="21"/>
        <v>2.5250448070368452</v>
      </c>
      <c r="BM40" s="90">
        <f t="shared" si="21"/>
        <v>4.3141622717099848</v>
      </c>
      <c r="BN40" s="90">
        <f t="shared" si="21"/>
        <v>4.1226090235759898</v>
      </c>
      <c r="BO40" s="90">
        <f t="shared" si="21"/>
        <v>2.2855573090077739</v>
      </c>
      <c r="BP40" s="90">
        <f t="shared" si="21"/>
        <v>3.2622137054764169</v>
      </c>
      <c r="BQ40" s="90">
        <f t="shared" si="21"/>
        <v>3.6314437690131722</v>
      </c>
      <c r="BR40" s="90">
        <f t="shared" si="21"/>
        <v>3.5645477117559481</v>
      </c>
      <c r="BS40" s="90">
        <f t="shared" si="21"/>
        <v>3.3544926005894364</v>
      </c>
      <c r="BT40" s="90">
        <f t="shared" si="21"/>
        <v>4.1208699401791886</v>
      </c>
      <c r="BU40" s="90">
        <f t="shared" si="21"/>
        <v>3.7197454925295768</v>
      </c>
      <c r="BV40" s="90">
        <f t="shared" si="21"/>
        <v>3.8942052591420837</v>
      </c>
      <c r="BW40" s="90">
        <f t="shared" si="21"/>
        <v>4.7504621087811492</v>
      </c>
      <c r="BX40" s="90">
        <f t="shared" si="21"/>
        <v>4.3120503511802379</v>
      </c>
      <c r="BY40" s="90">
        <f t="shared" si="21"/>
        <v>4.5585885831081994</v>
      </c>
      <c r="BZ40" s="90">
        <f t="shared" si="21"/>
        <v>4.7199027871139014</v>
      </c>
      <c r="CA40" s="90">
        <f t="shared" si="21"/>
        <v>4.8259840451176643</v>
      </c>
      <c r="CB40" s="90">
        <f t="shared" si="21"/>
        <v>4.5460241618036505</v>
      </c>
      <c r="CC40" s="90">
        <f t="shared" si="21"/>
        <v>4.7450513577943472</v>
      </c>
      <c r="CD40" s="90">
        <f t="shared" si="21"/>
        <v>5.1266962397980524</v>
      </c>
      <c r="CE40" s="90">
        <f t="shared" si="21"/>
        <v>4.6064028643052781</v>
      </c>
      <c r="CF40" s="90">
        <f t="shared" si="21"/>
        <v>4.7452778314600561</v>
      </c>
      <c r="CG40" s="90">
        <f t="shared" si="21"/>
        <v>5.6076447845249007</v>
      </c>
      <c r="CH40" s="90">
        <f t="shared" si="21"/>
        <v>5.3419269074296771</v>
      </c>
      <c r="CI40" s="90">
        <f t="shared" si="21"/>
        <v>5.4241708368538077</v>
      </c>
      <c r="CJ40" s="90">
        <f t="shared" si="21"/>
        <v>2.4842998393467859</v>
      </c>
      <c r="CK40" s="90">
        <f t="shared" si="21"/>
        <v>2.3891660843645326</v>
      </c>
      <c r="CL40" s="90">
        <f t="shared" si="21"/>
        <v>3.6921416093667836</v>
      </c>
      <c r="CM40" s="90">
        <f t="shared" si="21"/>
        <v>3.6220066730068048</v>
      </c>
      <c r="CN40" s="90">
        <f t="shared" si="21"/>
        <v>3.6921416093667836</v>
      </c>
      <c r="CO40" s="90">
        <f t="shared" si="21"/>
        <v>3.2410481506716442</v>
      </c>
      <c r="CP40" s="90">
        <f t="shared" si="21"/>
        <v>3.2622137054764169</v>
      </c>
      <c r="CQ40" s="76">
        <f t="shared" si="15"/>
        <v>4.102705236120336</v>
      </c>
    </row>
    <row r="41" spans="1:97">
      <c r="A41" s="26" t="s">
        <v>159</v>
      </c>
      <c r="B41" s="20" t="s">
        <v>94</v>
      </c>
      <c r="C41" s="90">
        <f t="shared" ref="C41:AA41" si="22">LOG10(C10)</f>
        <v>2.1958996524092336</v>
      </c>
      <c r="D41" s="90">
        <f t="shared" si="22"/>
        <v>5.1331779107551734</v>
      </c>
      <c r="E41" s="90">
        <f t="shared" si="22"/>
        <v>5.8282769816025342</v>
      </c>
      <c r="F41" s="90">
        <f t="shared" si="22"/>
        <v>4.9596518388514035</v>
      </c>
      <c r="G41" s="92">
        <f t="shared" si="22"/>
        <v>3.0330214446829107</v>
      </c>
      <c r="H41" s="90">
        <f t="shared" si="22"/>
        <v>4.4188314036613088</v>
      </c>
      <c r="I41" s="98">
        <f t="shared" si="22"/>
        <v>2.8325089127062362</v>
      </c>
      <c r="J41" s="90">
        <f t="shared" si="22"/>
        <v>4.3316499545527432</v>
      </c>
      <c r="K41" s="90">
        <f t="shared" si="22"/>
        <v>4.0165737462691231</v>
      </c>
      <c r="L41" s="90">
        <f t="shared" si="22"/>
        <v>4.6717743266725966</v>
      </c>
      <c r="M41" s="90">
        <f t="shared" si="22"/>
        <v>3.5351674851149442</v>
      </c>
      <c r="N41" s="90">
        <f t="shared" si="22"/>
        <v>3.4204508591060683</v>
      </c>
      <c r="O41" s="90">
        <f t="shared" si="22"/>
        <v>4.2083607249783794</v>
      </c>
      <c r="P41" s="90">
        <f t="shared" si="22"/>
        <v>4.6923356838068901</v>
      </c>
      <c r="Q41" s="90">
        <f t="shared" si="22"/>
        <v>3.5487578285737045</v>
      </c>
      <c r="R41" s="90">
        <f t="shared" si="22"/>
        <v>3.7079957464229292</v>
      </c>
      <c r="S41" s="90">
        <f t="shared" si="22"/>
        <v>3.9188687433809846</v>
      </c>
      <c r="T41" s="90">
        <f t="shared" si="22"/>
        <v>4.2940692274708905</v>
      </c>
      <c r="U41" s="90">
        <f t="shared" si="22"/>
        <v>4.2192962979433393</v>
      </c>
      <c r="V41" s="90">
        <f t="shared" si="22"/>
        <v>5.2107223890767864</v>
      </c>
      <c r="W41" s="90">
        <f t="shared" si="22"/>
        <v>4.6634276389895701</v>
      </c>
      <c r="X41" s="90">
        <f t="shared" si="22"/>
        <v>5.0866445206108049</v>
      </c>
      <c r="Y41" s="90">
        <f t="shared" si="22"/>
        <v>5.3195453389236613</v>
      </c>
      <c r="Z41" s="90">
        <f t="shared" si="22"/>
        <v>2.2764618041732443</v>
      </c>
      <c r="AA41" s="90">
        <f t="shared" si="22"/>
        <v>4.0023388808920561</v>
      </c>
      <c r="AB41" s="74">
        <f t="shared" si="12"/>
        <v>4.2192962979433393</v>
      </c>
      <c r="AC41" s="90">
        <f t="shared" ref="AC41:BH41" si="23">LOG10(AC10)</f>
        <v>4.3348556896172914</v>
      </c>
      <c r="AD41" s="90">
        <f t="shared" si="23"/>
        <v>4.3156555252315307</v>
      </c>
      <c r="AE41" s="90">
        <f t="shared" si="23"/>
        <v>4.6615666102472755</v>
      </c>
      <c r="AF41" s="90">
        <f t="shared" si="23"/>
        <v>4.4064550163034921</v>
      </c>
      <c r="AG41" s="90">
        <f t="shared" si="23"/>
        <v>4.2396997966866605</v>
      </c>
      <c r="AH41" s="90">
        <f t="shared" si="23"/>
        <v>4.959022302034187</v>
      </c>
      <c r="AI41" s="90">
        <f t="shared" si="23"/>
        <v>4.8702634099474835</v>
      </c>
      <c r="AJ41" s="90">
        <f t="shared" si="23"/>
        <v>5.2684094628881608</v>
      </c>
      <c r="AK41" s="90">
        <f t="shared" si="23"/>
        <v>2.6757783416740852</v>
      </c>
      <c r="AL41" s="90">
        <f t="shared" si="23"/>
        <v>3.9784087926230391</v>
      </c>
      <c r="AM41" s="90">
        <f t="shared" si="23"/>
        <v>4.4256320235573199</v>
      </c>
      <c r="AN41" s="90">
        <f t="shared" si="23"/>
        <v>3.967875445548033</v>
      </c>
      <c r="AO41" s="90">
        <f t="shared" si="23"/>
        <v>2.4814426285023048</v>
      </c>
      <c r="AP41" s="90">
        <f t="shared" si="23"/>
        <v>3.0289777052087778</v>
      </c>
      <c r="AQ41" s="90">
        <f t="shared" si="23"/>
        <v>4.4598898319706741</v>
      </c>
      <c r="AR41" s="90">
        <f t="shared" si="23"/>
        <v>4.2387735017206962</v>
      </c>
      <c r="AS41" s="90">
        <f t="shared" si="23"/>
        <v>4.5105182010778098</v>
      </c>
      <c r="AT41" s="90">
        <f t="shared" si="23"/>
        <v>4.4239009185284166</v>
      </c>
      <c r="AU41" s="90">
        <f t="shared" si="23"/>
        <v>3.8318058086743911</v>
      </c>
      <c r="AV41" s="90">
        <f t="shared" si="23"/>
        <v>4.0279608597854475</v>
      </c>
      <c r="AW41" s="90">
        <f t="shared" si="23"/>
        <v>3.2605483726369795</v>
      </c>
      <c r="AX41" s="90">
        <f t="shared" si="23"/>
        <v>2.4487063199050798</v>
      </c>
      <c r="AY41" s="90">
        <f t="shared" si="23"/>
        <v>3.2095150145426308</v>
      </c>
      <c r="AZ41" s="90">
        <f t="shared" si="23"/>
        <v>2.6946051989335689</v>
      </c>
      <c r="BA41" s="90">
        <f t="shared" si="23"/>
        <v>2.6646419755561257</v>
      </c>
      <c r="BB41" s="90">
        <f t="shared" si="23"/>
        <v>3.6237660001339309</v>
      </c>
      <c r="BC41" s="90">
        <f t="shared" si="23"/>
        <v>3.8972421028053654</v>
      </c>
      <c r="BD41" s="90">
        <f t="shared" si="23"/>
        <v>2.9339931638312424</v>
      </c>
      <c r="BE41" s="90">
        <f t="shared" si="23"/>
        <v>4.5873854027135259</v>
      </c>
      <c r="BF41" s="90">
        <f t="shared" si="23"/>
        <v>4.5419410053018625</v>
      </c>
      <c r="BG41" s="90">
        <f t="shared" si="23"/>
        <v>4.2689054412120147</v>
      </c>
      <c r="BH41" s="92">
        <f t="shared" si="23"/>
        <v>3.873843533223436</v>
      </c>
      <c r="BI41" s="90">
        <f t="shared" ref="BI41:CP41" si="24">LOG10(BI10)</f>
        <v>4.5332253521421153</v>
      </c>
      <c r="BJ41" s="90">
        <f t="shared" si="24"/>
        <v>2.9628426812012423</v>
      </c>
      <c r="BK41" s="90">
        <f t="shared" si="24"/>
        <v>2.9025467793139912</v>
      </c>
      <c r="BL41" s="90">
        <f t="shared" si="24"/>
        <v>2.419955748489758</v>
      </c>
      <c r="BM41" s="90">
        <f t="shared" si="24"/>
        <v>4.1646204890797112</v>
      </c>
      <c r="BN41" s="90">
        <f t="shared" si="24"/>
        <v>4.1596273406586732</v>
      </c>
      <c r="BO41" s="90">
        <f t="shared" si="24"/>
        <v>2.5171958979499744</v>
      </c>
      <c r="BP41" s="90">
        <f t="shared" si="24"/>
        <v>3.1826999033360424</v>
      </c>
      <c r="BQ41" s="90">
        <f t="shared" si="24"/>
        <v>3.6460114095912393</v>
      </c>
      <c r="BR41" s="90">
        <f t="shared" si="24"/>
        <v>3.6521496054016529</v>
      </c>
      <c r="BS41" s="90">
        <f t="shared" si="24"/>
        <v>3.4785664955938436</v>
      </c>
      <c r="BT41" s="90">
        <f t="shared" si="24"/>
        <v>4.0832158621559973</v>
      </c>
      <c r="BU41" s="90">
        <f t="shared" si="24"/>
        <v>3.1872386198314788</v>
      </c>
      <c r="BV41" s="90">
        <f t="shared" si="24"/>
        <v>3.8994921961381319</v>
      </c>
      <c r="BW41" s="90">
        <f t="shared" si="24"/>
        <v>4.7642882421397559</v>
      </c>
      <c r="BX41" s="90">
        <f t="shared" si="24"/>
        <v>4.2936939507457659</v>
      </c>
      <c r="BY41" s="90">
        <f t="shared" si="24"/>
        <v>4.6847466471350883</v>
      </c>
      <c r="BZ41" s="90">
        <f t="shared" si="24"/>
        <v>4.655724145060252</v>
      </c>
      <c r="CA41" s="90">
        <f t="shared" si="24"/>
        <v>4.7735451032234391</v>
      </c>
      <c r="CB41" s="90">
        <f t="shared" si="24"/>
        <v>4.7403705856857679</v>
      </c>
      <c r="CC41" s="90">
        <f t="shared" si="24"/>
        <v>4.8606134715522726</v>
      </c>
      <c r="CD41" s="90">
        <f t="shared" si="24"/>
        <v>5.1114070303447106</v>
      </c>
      <c r="CE41" s="90">
        <f t="shared" si="24"/>
        <v>4.7192898446933276</v>
      </c>
      <c r="CF41" s="90">
        <f t="shared" si="24"/>
        <v>4.7432745235119338</v>
      </c>
      <c r="CG41" s="90">
        <f t="shared" si="24"/>
        <v>5.5736106670656573</v>
      </c>
      <c r="CH41" s="90">
        <f t="shared" si="24"/>
        <v>5.3087585755471904</v>
      </c>
      <c r="CI41" s="90">
        <f t="shared" si="24"/>
        <v>5.517389901082713</v>
      </c>
      <c r="CJ41" s="90">
        <f t="shared" si="24"/>
        <v>2.1492191126553797</v>
      </c>
      <c r="CK41" s="90">
        <f t="shared" si="24"/>
        <v>2.4132997640812519</v>
      </c>
      <c r="CL41" s="90">
        <f t="shared" si="24"/>
        <v>3.637389650129212</v>
      </c>
      <c r="CM41" s="90">
        <f t="shared" si="24"/>
        <v>3.4504030861553661</v>
      </c>
      <c r="CN41" s="90">
        <f t="shared" si="24"/>
        <v>3.637389650129212</v>
      </c>
      <c r="CO41" s="90">
        <f t="shared" si="24"/>
        <v>3.225050696138049</v>
      </c>
      <c r="CP41" s="90">
        <f t="shared" si="24"/>
        <v>2.9185545305502734</v>
      </c>
      <c r="CQ41" s="76">
        <f t="shared" si="15"/>
        <v>4.055588360970722</v>
      </c>
    </row>
    <row r="42" spans="1:97">
      <c r="A42" s="26" t="s">
        <v>107</v>
      </c>
      <c r="B42" s="20" t="s">
        <v>94</v>
      </c>
      <c r="C42" s="90">
        <f t="shared" ref="C42:AA42" si="25">LOG10(C11)</f>
        <v>2.741939077729199</v>
      </c>
      <c r="D42" s="90">
        <f t="shared" si="25"/>
        <v>5.3563184768972532</v>
      </c>
      <c r="E42" s="90">
        <f t="shared" si="25"/>
        <v>5.8155491928553511</v>
      </c>
      <c r="F42" s="90">
        <f t="shared" si="25"/>
        <v>5.0294690046876926</v>
      </c>
      <c r="G42" s="92">
        <f t="shared" si="25"/>
        <v>3.8078731320033321</v>
      </c>
      <c r="H42" s="90">
        <f t="shared" si="25"/>
        <v>4.295984701409477</v>
      </c>
      <c r="I42" s="98">
        <f t="shared" si="25"/>
        <v>2.9185545305502734</v>
      </c>
      <c r="J42" s="90">
        <f t="shared" si="25"/>
        <v>4.524707611794013</v>
      </c>
      <c r="K42" s="90">
        <f t="shared" si="25"/>
        <v>4.2993547349585066</v>
      </c>
      <c r="L42" s="90">
        <f t="shared" si="25"/>
        <v>4.9732387231442496</v>
      </c>
      <c r="M42" s="90">
        <f t="shared" si="25"/>
        <v>4.0417873189717515</v>
      </c>
      <c r="N42" s="90">
        <f t="shared" si="25"/>
        <v>3.6410773133253742</v>
      </c>
      <c r="O42" s="90">
        <f t="shared" si="25"/>
        <v>4.1618768768282868</v>
      </c>
      <c r="P42" s="90">
        <f t="shared" si="25"/>
        <v>4.7070589406275962</v>
      </c>
      <c r="Q42" s="90">
        <f t="shared" si="25"/>
        <v>3.3615389712692791</v>
      </c>
      <c r="R42" s="90">
        <f t="shared" si="25"/>
        <v>3.7822575736633017</v>
      </c>
      <c r="S42" s="90">
        <f t="shared" si="25"/>
        <v>3.8468935433166251</v>
      </c>
      <c r="T42" s="90">
        <f t="shared" si="25"/>
        <v>4.0723969665217616</v>
      </c>
      <c r="U42" s="90">
        <f t="shared" si="25"/>
        <v>4.1380815464957461</v>
      </c>
      <c r="V42" s="90">
        <f t="shared" si="25"/>
        <v>4.7694807172162301</v>
      </c>
      <c r="W42" s="90">
        <f t="shared" si="25"/>
        <v>4.2939588856216977</v>
      </c>
      <c r="X42" s="90">
        <f t="shared" si="25"/>
        <v>5.0898027047326435</v>
      </c>
      <c r="Y42" s="90">
        <f t="shared" si="25"/>
        <v>5.4111531780672255</v>
      </c>
      <c r="Z42" s="90">
        <f t="shared" si="25"/>
        <v>2.0043213737826426</v>
      </c>
      <c r="AA42" s="90">
        <f t="shared" si="25"/>
        <v>3.9985644582609416</v>
      </c>
      <c r="AB42" s="74">
        <f t="shared" si="12"/>
        <v>4.1618768768282868</v>
      </c>
      <c r="AC42" s="90">
        <f t="shared" ref="AC42:BH42" si="26">LOG10(AC11)</f>
        <v>4.3563892115442755</v>
      </c>
      <c r="AD42" s="90">
        <f t="shared" si="26"/>
        <v>4.3743816980508825</v>
      </c>
      <c r="AE42" s="90">
        <f t="shared" si="26"/>
        <v>4.6917002082901611</v>
      </c>
      <c r="AF42" s="90">
        <f t="shared" si="26"/>
        <v>4.3532620859163158</v>
      </c>
      <c r="AG42" s="90">
        <f t="shared" si="26"/>
        <v>4.466200102446737</v>
      </c>
      <c r="AH42" s="90">
        <f t="shared" si="26"/>
        <v>4.8851066760277986</v>
      </c>
      <c r="AI42" s="90">
        <f t="shared" si="26"/>
        <v>4.9635375638655548</v>
      </c>
      <c r="AJ42" s="90">
        <f t="shared" si="26"/>
        <v>5.2547969336295592</v>
      </c>
      <c r="AK42" s="90">
        <f t="shared" si="26"/>
        <v>2.9180303367848803</v>
      </c>
      <c r="AL42" s="90">
        <f t="shared" si="26"/>
        <v>4.0017769670774399</v>
      </c>
      <c r="AM42" s="90">
        <f t="shared" si="26"/>
        <v>4.581038948772167</v>
      </c>
      <c r="AN42" s="90">
        <f t="shared" si="26"/>
        <v>4.321411997974006</v>
      </c>
      <c r="AO42" s="90">
        <f t="shared" si="26"/>
        <v>2.8155777483242672</v>
      </c>
      <c r="AP42" s="90">
        <f t="shared" si="26"/>
        <v>2.8627275283179747</v>
      </c>
      <c r="AQ42" s="90">
        <f t="shared" si="26"/>
        <v>4.5020308845673762</v>
      </c>
      <c r="AR42" s="90">
        <f t="shared" si="26"/>
        <v>4.4965006742156222</v>
      </c>
      <c r="AS42" s="90">
        <f t="shared" si="26"/>
        <v>4.6460997117374419</v>
      </c>
      <c r="AT42" s="90">
        <f t="shared" si="26"/>
        <v>4.672605777753426</v>
      </c>
      <c r="AU42" s="90">
        <f t="shared" si="26"/>
        <v>3.9288053708932842</v>
      </c>
      <c r="AV42" s="90">
        <f t="shared" si="26"/>
        <v>4.2341881478532022</v>
      </c>
      <c r="AW42" s="90">
        <f t="shared" si="26"/>
        <v>3.5576274884268266</v>
      </c>
      <c r="AX42" s="90">
        <f t="shared" si="26"/>
        <v>3.1598678470925665</v>
      </c>
      <c r="AY42" s="90">
        <f t="shared" si="26"/>
        <v>3.4121244061733171</v>
      </c>
      <c r="AZ42" s="90">
        <f t="shared" si="26"/>
        <v>3.2898118391176214</v>
      </c>
      <c r="BA42" s="90">
        <f t="shared" si="26"/>
        <v>2.9216864754836021</v>
      </c>
      <c r="BB42" s="90">
        <f t="shared" si="26"/>
        <v>3.5886078047426864</v>
      </c>
      <c r="BC42" s="90">
        <f t="shared" si="26"/>
        <v>3.9365640051352662</v>
      </c>
      <c r="BD42" s="90">
        <f t="shared" si="26"/>
        <v>2.7916906490201181</v>
      </c>
      <c r="BE42" s="90">
        <f t="shared" si="26"/>
        <v>4.7322891948606669</v>
      </c>
      <c r="BF42" s="90">
        <f t="shared" si="26"/>
        <v>4.6999590686494157</v>
      </c>
      <c r="BG42" s="90">
        <f t="shared" si="26"/>
        <v>4.4050217561930847</v>
      </c>
      <c r="BH42" s="92">
        <f t="shared" si="26"/>
        <v>4.0006943158663546</v>
      </c>
      <c r="BI42" s="90">
        <f t="shared" ref="BI42:CP42" si="27">LOG10(BI11)</f>
        <v>4.8052901164416584</v>
      </c>
      <c r="BJ42" s="90">
        <f t="shared" si="27"/>
        <v>2.8034571156484138</v>
      </c>
      <c r="BK42" s="90">
        <f t="shared" si="27"/>
        <v>2.8041394323353503</v>
      </c>
      <c r="BL42" s="90">
        <f t="shared" si="27"/>
        <v>2.9680157139936418</v>
      </c>
      <c r="BM42" s="90">
        <f t="shared" si="27"/>
        <v>4.3677471689502072</v>
      </c>
      <c r="BN42" s="90">
        <f t="shared" si="27"/>
        <v>4.0799405971523619</v>
      </c>
      <c r="BO42" s="90">
        <f t="shared" si="27"/>
        <v>2.307496037913213</v>
      </c>
      <c r="BP42" s="90">
        <f t="shared" si="27"/>
        <v>3.2038484637462346</v>
      </c>
      <c r="BQ42" s="90">
        <f t="shared" si="27"/>
        <v>3.604334073102911</v>
      </c>
      <c r="BR42" s="90">
        <f t="shared" si="27"/>
        <v>3.7383047930741049</v>
      </c>
      <c r="BS42" s="90">
        <f t="shared" si="27"/>
        <v>3.269979676645324</v>
      </c>
      <c r="BT42" s="90">
        <f t="shared" si="27"/>
        <v>4.0846834979032502</v>
      </c>
      <c r="BU42" s="90">
        <f t="shared" si="27"/>
        <v>3.7053504628857121</v>
      </c>
      <c r="BV42" s="90">
        <f t="shared" si="27"/>
        <v>3.7806772744333679</v>
      </c>
      <c r="BW42" s="90">
        <f t="shared" si="27"/>
        <v>4.6945613285883718</v>
      </c>
      <c r="BX42" s="90">
        <f t="shared" si="27"/>
        <v>4.181100079728048</v>
      </c>
      <c r="BY42" s="90">
        <f t="shared" si="27"/>
        <v>4.6658904211024606</v>
      </c>
      <c r="BZ42" s="90">
        <f t="shared" si="27"/>
        <v>4.6991263222139743</v>
      </c>
      <c r="CA42" s="90">
        <f t="shared" si="27"/>
        <v>4.702473619078555</v>
      </c>
      <c r="CB42" s="90">
        <f t="shared" si="27"/>
        <v>4.7399756001358559</v>
      </c>
      <c r="CC42" s="90">
        <f t="shared" si="27"/>
        <v>4.7517331816690662</v>
      </c>
      <c r="CD42" s="90">
        <f t="shared" si="27"/>
        <v>5.2129037327649295</v>
      </c>
      <c r="CE42" s="90">
        <f t="shared" si="27"/>
        <v>4.8104274361664947</v>
      </c>
      <c r="CF42" s="90">
        <f t="shared" si="27"/>
        <v>4.709981891514242</v>
      </c>
      <c r="CG42" s="90">
        <f t="shared" si="27"/>
        <v>5.5790068868147316</v>
      </c>
      <c r="CH42" s="90">
        <f t="shared" si="27"/>
        <v>5.3936225782653882</v>
      </c>
      <c r="CI42" s="90">
        <f t="shared" si="27"/>
        <v>5.4795911442890546</v>
      </c>
      <c r="CJ42" s="90">
        <f t="shared" si="27"/>
        <v>2.3541084391474008</v>
      </c>
      <c r="CK42" s="90">
        <f t="shared" si="27"/>
        <v>2.4487063199050798</v>
      </c>
      <c r="CL42" s="90">
        <f t="shared" si="27"/>
        <v>3.1894903136993675</v>
      </c>
      <c r="CM42" s="90">
        <f t="shared" si="27"/>
        <v>3.3884564527002667</v>
      </c>
      <c r="CN42" s="90">
        <f t="shared" si="27"/>
        <v>3.1894903136993675</v>
      </c>
      <c r="CO42" s="90">
        <f t="shared" si="27"/>
        <v>2.6464037262230695</v>
      </c>
      <c r="CP42" s="90">
        <f t="shared" si="27"/>
        <v>2.9523080096621253</v>
      </c>
      <c r="CQ42" s="76">
        <f t="shared" si="15"/>
        <v>4.1328917888156491</v>
      </c>
    </row>
    <row r="43" spans="1:97">
      <c r="A43" s="5"/>
      <c r="B43" s="7" t="s">
        <v>97</v>
      </c>
      <c r="C43" s="62">
        <f>AVERAGE(C37:C42)</f>
        <v>2.4716243851252089</v>
      </c>
      <c r="D43" s="62">
        <f>AVERAGE(D37:D42)</f>
        <v>5.1774279215400041</v>
      </c>
      <c r="E43" s="62">
        <f t="shared" ref="E43:BQ43" si="28">AVERAGE(E37:E42)</f>
        <v>5.8027344290481073</v>
      </c>
      <c r="F43" s="62">
        <f t="shared" si="28"/>
        <v>4.9942416028070724</v>
      </c>
      <c r="G43" s="93">
        <f t="shared" si="28"/>
        <v>3.2240734039665582</v>
      </c>
      <c r="H43" s="62">
        <f t="shared" si="28"/>
        <v>4.4015898235435928</v>
      </c>
      <c r="I43" s="99">
        <f t="shared" si="28"/>
        <v>2.7878701269136799</v>
      </c>
      <c r="J43" s="62">
        <f t="shared" si="28"/>
        <v>4.3571820469135387</v>
      </c>
      <c r="K43" s="62">
        <f t="shared" si="28"/>
        <v>4.0345315655719718</v>
      </c>
      <c r="L43" s="62">
        <f t="shared" si="28"/>
        <v>4.709462699911767</v>
      </c>
      <c r="M43" s="62">
        <f t="shared" si="28"/>
        <v>3.6423576030354461</v>
      </c>
      <c r="N43" s="62">
        <f t="shared" si="28"/>
        <v>3.4177567935196582</v>
      </c>
      <c r="O43" s="62">
        <f t="shared" si="28"/>
        <v>4.1897412800636475</v>
      </c>
      <c r="P43" s="62">
        <f t="shared" si="28"/>
        <v>4.7073533523459323</v>
      </c>
      <c r="Q43" s="62">
        <f t="shared" si="28"/>
        <v>3.4398997681871415</v>
      </c>
      <c r="R43" s="62">
        <f t="shared" si="28"/>
        <v>3.7066296866081836</v>
      </c>
      <c r="S43" s="62">
        <f t="shared" si="28"/>
        <v>3.9299188003936769</v>
      </c>
      <c r="T43" s="62">
        <f t="shared" si="28"/>
        <v>4.2656996611750042</v>
      </c>
      <c r="U43" s="62">
        <f t="shared" si="28"/>
        <v>4.1785633382260814</v>
      </c>
      <c r="V43" s="62">
        <f t="shared" si="28"/>
        <v>5.070079035091104</v>
      </c>
      <c r="W43" s="62">
        <f t="shared" si="28"/>
        <v>4.5600309931972189</v>
      </c>
      <c r="X43" s="62">
        <f t="shared" si="28"/>
        <v>5.0816058253623595</v>
      </c>
      <c r="Y43" s="62">
        <f t="shared" si="28"/>
        <v>5.323215798309195</v>
      </c>
      <c r="Z43" s="62">
        <f t="shared" si="28"/>
        <v>2.2041594058967298</v>
      </c>
      <c r="AA43" s="62">
        <f>AVERAGE(AA37:AA42)</f>
        <v>4.0422733151526495</v>
      </c>
      <c r="AC43" s="62">
        <f t="shared" si="28"/>
        <v>4.3101218028212687</v>
      </c>
      <c r="AD43" s="62">
        <f t="shared" si="28"/>
        <v>4.2632707261645262</v>
      </c>
      <c r="AE43" s="62">
        <f t="shared" si="28"/>
        <v>4.6728763871199108</v>
      </c>
      <c r="AF43" s="62">
        <f t="shared" si="28"/>
        <v>4.3460437825240943</v>
      </c>
      <c r="AG43" s="62">
        <f t="shared" si="28"/>
        <v>4.2862324923685717</v>
      </c>
      <c r="AH43" s="62">
        <f t="shared" si="28"/>
        <v>4.9164025072622746</v>
      </c>
      <c r="AI43" s="62">
        <f t="shared" si="28"/>
        <v>4.9113051141319577</v>
      </c>
      <c r="AJ43" s="62">
        <f t="shared" si="28"/>
        <v>5.2489273509517416</v>
      </c>
      <c r="AK43" s="62">
        <f t="shared" si="28"/>
        <v>2.7674377593146162</v>
      </c>
      <c r="AL43" s="62">
        <f t="shared" si="28"/>
        <v>3.9407220426837575</v>
      </c>
      <c r="AM43" s="62">
        <f t="shared" si="28"/>
        <v>4.4019706196175887</v>
      </c>
      <c r="AN43" s="62">
        <f t="shared" si="28"/>
        <v>4.0731054589342355</v>
      </c>
      <c r="AO43" s="62">
        <f t="shared" si="28"/>
        <v>2.6564396598809727</v>
      </c>
      <c r="AP43" s="62">
        <f t="shared" si="28"/>
        <v>3.0435774102513036</v>
      </c>
      <c r="AQ43" s="62">
        <f t="shared" si="28"/>
        <v>4.3775699495754496</v>
      </c>
      <c r="AR43" s="62">
        <f t="shared" si="28"/>
        <v>4.1731157919065049</v>
      </c>
      <c r="AS43" s="62">
        <f t="shared" si="28"/>
        <v>4.4723333284085305</v>
      </c>
      <c r="AT43" s="62">
        <f t="shared" si="28"/>
        <v>4.441154273787455</v>
      </c>
      <c r="AU43" s="62">
        <f t="shared" si="28"/>
        <v>3.8299614026246389</v>
      </c>
      <c r="AV43" s="62">
        <f t="shared" si="28"/>
        <v>4.0786272117820888</v>
      </c>
      <c r="AW43" s="62">
        <f t="shared" si="28"/>
        <v>3.3694632709763219</v>
      </c>
      <c r="AX43" s="62">
        <f t="shared" si="28"/>
        <v>2.7648097041540836</v>
      </c>
      <c r="AY43" s="62">
        <f t="shared" si="28"/>
        <v>3.2234898881666081</v>
      </c>
      <c r="AZ43" s="62">
        <f t="shared" si="28"/>
        <v>2.8965544432770418</v>
      </c>
      <c r="BA43" s="62">
        <f t="shared" si="28"/>
        <v>2.7299784127931943</v>
      </c>
      <c r="BB43" s="62">
        <f t="shared" si="28"/>
        <v>3.6070799157252496</v>
      </c>
      <c r="BC43" s="62">
        <f t="shared" si="28"/>
        <v>3.7871416190856144</v>
      </c>
      <c r="BD43" s="62">
        <f t="shared" si="28"/>
        <v>2.7913659996008153</v>
      </c>
      <c r="BE43" s="62">
        <f t="shared" si="28"/>
        <v>4.5783339400609986</v>
      </c>
      <c r="BF43" s="62">
        <f t="shared" si="28"/>
        <v>4.4719108519240747</v>
      </c>
      <c r="BG43" s="62">
        <f t="shared" si="28"/>
        <v>4.2957232072120517</v>
      </c>
      <c r="BH43" s="62">
        <f t="shared" si="28"/>
        <v>3.8766153946945927</v>
      </c>
      <c r="BI43" s="62">
        <f t="shared" si="28"/>
        <v>4.5667085950673991</v>
      </c>
      <c r="BJ43" s="62">
        <f t="shared" si="28"/>
        <v>2.7685319645795445</v>
      </c>
      <c r="BK43" s="62">
        <f t="shared" si="28"/>
        <v>2.810864498038832</v>
      </c>
      <c r="BL43" s="62">
        <f t="shared" si="28"/>
        <v>2.7234305288739882</v>
      </c>
      <c r="BM43" s="62">
        <f t="shared" si="28"/>
        <v>4.2169696180829082</v>
      </c>
      <c r="BN43" s="62">
        <f t="shared" si="28"/>
        <v>4.0855347235439163</v>
      </c>
      <c r="BO43" s="62">
        <f t="shared" si="28"/>
        <v>2.2919662857503926</v>
      </c>
      <c r="BP43" s="62">
        <f t="shared" si="28"/>
        <v>3.1600064204606366</v>
      </c>
      <c r="BQ43" s="62">
        <f t="shared" si="28"/>
        <v>3.627269655565843</v>
      </c>
      <c r="BR43" s="62">
        <f t="shared" ref="BR43:CP43" si="29">AVERAGE(BR37:BR42)</f>
        <v>3.5858036864965523</v>
      </c>
      <c r="BS43" s="62">
        <f t="shared" si="29"/>
        <v>3.3000464232338111</v>
      </c>
      <c r="BT43" s="62">
        <f t="shared" si="29"/>
        <v>4.0651597006308222</v>
      </c>
      <c r="BU43" s="62">
        <f t="shared" si="29"/>
        <v>3.348953227605453</v>
      </c>
      <c r="BV43" s="62">
        <f t="shared" si="29"/>
        <v>3.8567434939773446</v>
      </c>
      <c r="BW43" s="62">
        <f t="shared" si="29"/>
        <v>4.7214547035563141</v>
      </c>
      <c r="BX43" s="62">
        <f t="shared" si="29"/>
        <v>4.231165061190242</v>
      </c>
      <c r="BY43" s="62">
        <f t="shared" si="29"/>
        <v>4.5745429257406016</v>
      </c>
      <c r="BZ43" s="62">
        <f t="shared" si="29"/>
        <v>4.6771524378352494</v>
      </c>
      <c r="CA43" s="62">
        <f t="shared" si="29"/>
        <v>4.7425580784744943</v>
      </c>
      <c r="CB43" s="62">
        <f t="shared" si="29"/>
        <v>4.6289232721558227</v>
      </c>
      <c r="CC43" s="62">
        <f t="shared" si="29"/>
        <v>4.6890314575053891</v>
      </c>
      <c r="CD43" s="62">
        <f t="shared" si="29"/>
        <v>5.1206655638737333</v>
      </c>
      <c r="CE43" s="62">
        <f t="shared" si="29"/>
        <v>4.652903869611845</v>
      </c>
      <c r="CF43" s="62">
        <f t="shared" si="29"/>
        <v>4.7188211306886414</v>
      </c>
      <c r="CG43" s="62">
        <f t="shared" si="29"/>
        <v>5.5636728475222776</v>
      </c>
      <c r="CH43" s="62">
        <f t="shared" si="29"/>
        <v>5.3050295608694773</v>
      </c>
      <c r="CI43" s="62">
        <f t="shared" si="29"/>
        <v>5.4141240797868804</v>
      </c>
      <c r="CJ43" s="62">
        <f t="shared" si="29"/>
        <v>1.2380999016472547</v>
      </c>
      <c r="CK43" s="62">
        <f t="shared" si="29"/>
        <v>1.3565230190714843</v>
      </c>
      <c r="CL43" s="62">
        <f t="shared" si="29"/>
        <v>3.3157659154501982</v>
      </c>
      <c r="CM43" s="62">
        <f t="shared" si="29"/>
        <v>3.4260697851523312</v>
      </c>
      <c r="CN43" s="62">
        <f t="shared" si="29"/>
        <v>3.3157659154501982</v>
      </c>
      <c r="CO43" s="62">
        <f t="shared" si="29"/>
        <v>3.0512448833492001</v>
      </c>
      <c r="CP43" s="62">
        <f t="shared" si="29"/>
        <v>2.9426978788189442</v>
      </c>
      <c r="CQ43" s="12"/>
    </row>
    <row r="44" spans="1:97">
      <c r="A44" s="5"/>
      <c r="B44" s="7" t="s">
        <v>98</v>
      </c>
      <c r="C44" s="62">
        <f>_xlfn.STDEV.S(C37:C42)</f>
        <v>0.20760659050959002</v>
      </c>
      <c r="D44" s="62">
        <f>_xlfn.STDEV.S(D37:D42)</f>
        <v>0.13179513986670904</v>
      </c>
      <c r="E44" s="62">
        <f t="shared" ref="E44:BQ44" si="30">_xlfn.STDEV.S(E37:E42)</f>
        <v>5.3505232143766665E-2</v>
      </c>
      <c r="F44" s="62">
        <f t="shared" si="30"/>
        <v>9.7294284440421056E-2</v>
      </c>
      <c r="G44" s="93">
        <f t="shared" si="30"/>
        <v>0.41297969718034688</v>
      </c>
      <c r="H44" s="62">
        <f t="shared" si="30"/>
        <v>8.1244343578966247E-2</v>
      </c>
      <c r="I44" s="99">
        <f t="shared" si="30"/>
        <v>0.15786241420811598</v>
      </c>
      <c r="J44" s="62">
        <f t="shared" si="30"/>
        <v>0.16848958751522111</v>
      </c>
      <c r="K44" s="62">
        <f t="shared" si="30"/>
        <v>0.2208269625897672</v>
      </c>
      <c r="L44" s="62">
        <f t="shared" si="30"/>
        <v>0.18440820924365345</v>
      </c>
      <c r="M44" s="62">
        <f t="shared" si="30"/>
        <v>0.29719028739275233</v>
      </c>
      <c r="N44" s="62">
        <f t="shared" si="30"/>
        <v>0.15173154865403482</v>
      </c>
      <c r="O44" s="62">
        <f t="shared" si="30"/>
        <v>4.251762659667925E-2</v>
      </c>
      <c r="P44" s="62">
        <f t="shared" si="30"/>
        <v>5.9283384828460496E-2</v>
      </c>
      <c r="Q44" s="62">
        <f t="shared" si="30"/>
        <v>0.12028610665493117</v>
      </c>
      <c r="R44" s="62">
        <f t="shared" si="30"/>
        <v>0.2223541019455855</v>
      </c>
      <c r="S44" s="62">
        <f t="shared" si="30"/>
        <v>0.11653987810554549</v>
      </c>
      <c r="T44" s="62">
        <f t="shared" si="30"/>
        <v>0.12343334457526695</v>
      </c>
      <c r="U44" s="62">
        <f t="shared" si="30"/>
        <v>4.6457975902112605E-2</v>
      </c>
      <c r="V44" s="62">
        <f t="shared" si="30"/>
        <v>0.17900384576396311</v>
      </c>
      <c r="W44" s="62">
        <f t="shared" si="30"/>
        <v>0.15704009901988489</v>
      </c>
      <c r="X44" s="62">
        <f t="shared" si="30"/>
        <v>6.8466366074293905E-2</v>
      </c>
      <c r="Y44" s="62">
        <f t="shared" si="30"/>
        <v>6.9170589051218354E-2</v>
      </c>
      <c r="Z44" s="62">
        <f t="shared" si="30"/>
        <v>0.10793519894462507</v>
      </c>
      <c r="AA44" s="62">
        <f>_xlfn.STDEV.S(AA37:AA42)</f>
        <v>3.6341008910746632E-2</v>
      </c>
      <c r="AC44" s="62">
        <f t="shared" si="30"/>
        <v>0.15477302596836201</v>
      </c>
      <c r="AD44" s="62">
        <f t="shared" si="30"/>
        <v>0.11795297915572288</v>
      </c>
      <c r="AE44" s="62">
        <f t="shared" si="30"/>
        <v>0.10992672702326886</v>
      </c>
      <c r="AF44" s="62">
        <f t="shared" si="30"/>
        <v>0.13178667894248328</v>
      </c>
      <c r="AG44" s="62">
        <f t="shared" si="30"/>
        <v>0.11223909979810973</v>
      </c>
      <c r="AH44" s="62">
        <f t="shared" si="30"/>
        <v>7.8961015904741069E-2</v>
      </c>
      <c r="AI44" s="62">
        <f t="shared" si="30"/>
        <v>7.0253297607321755E-2</v>
      </c>
      <c r="AJ44" s="62">
        <f t="shared" si="30"/>
        <v>3.2189169062750156E-2</v>
      </c>
      <c r="AK44" s="62">
        <f t="shared" si="30"/>
        <v>0.11320485570899526</v>
      </c>
      <c r="AL44" s="62">
        <f t="shared" si="30"/>
        <v>0.13523010271966193</v>
      </c>
      <c r="AM44" s="62">
        <f t="shared" si="30"/>
        <v>0.13958865851940774</v>
      </c>
      <c r="AN44" s="62">
        <f t="shared" si="30"/>
        <v>0.15783239272981947</v>
      </c>
      <c r="AO44" s="62">
        <f t="shared" si="30"/>
        <v>0.14055252352440731</v>
      </c>
      <c r="AP44" s="62">
        <f t="shared" si="30"/>
        <v>0.15107768304926433</v>
      </c>
      <c r="AQ44" s="62">
        <f t="shared" si="30"/>
        <v>0.11853604464285719</v>
      </c>
      <c r="AR44" s="62">
        <f t="shared" si="30"/>
        <v>0.21381186894396867</v>
      </c>
      <c r="AS44" s="62">
        <f t="shared" si="30"/>
        <v>0.11662424695227534</v>
      </c>
      <c r="AT44" s="62">
        <f t="shared" si="30"/>
        <v>0.13669768486030184</v>
      </c>
      <c r="AU44" s="62">
        <f t="shared" si="30"/>
        <v>6.638635836607483E-2</v>
      </c>
      <c r="AV44" s="62">
        <f t="shared" si="30"/>
        <v>8.9399352558750311E-2</v>
      </c>
      <c r="AW44" s="62">
        <f t="shared" si="30"/>
        <v>0.10961302209898412</v>
      </c>
      <c r="AX44" s="62">
        <f t="shared" si="30"/>
        <v>0.36411195341029562</v>
      </c>
      <c r="AY44" s="62">
        <f t="shared" si="30"/>
        <v>0.14683455381489224</v>
      </c>
      <c r="AZ44" s="62">
        <f t="shared" si="30"/>
        <v>0.22340385254372874</v>
      </c>
      <c r="BA44" s="62">
        <f t="shared" si="30"/>
        <v>0.2533667720973683</v>
      </c>
      <c r="BB44" s="62">
        <f t="shared" si="30"/>
        <v>0.10414141165456259</v>
      </c>
      <c r="BC44" s="62">
        <f t="shared" si="30"/>
        <v>0.12808886028985786</v>
      </c>
      <c r="BD44" s="62">
        <f t="shared" si="30"/>
        <v>0.15548431299532459</v>
      </c>
      <c r="BE44" s="62">
        <f t="shared" si="30"/>
        <v>9.2904525683315864E-2</v>
      </c>
      <c r="BF44" s="62">
        <f t="shared" si="30"/>
        <v>0.1544112841695737</v>
      </c>
      <c r="BG44" s="62">
        <f t="shared" si="30"/>
        <v>9.6363656491673541E-2</v>
      </c>
      <c r="BH44" s="62">
        <f t="shared" si="30"/>
        <v>0.11169232088493317</v>
      </c>
      <c r="BI44" s="62">
        <f t="shared" si="30"/>
        <v>0.20010779315323957</v>
      </c>
      <c r="BJ44" s="62">
        <f t="shared" si="30"/>
        <v>0.11664438092666109</v>
      </c>
      <c r="BK44" s="62">
        <f t="shared" si="30"/>
        <v>0.21899706954265002</v>
      </c>
      <c r="BL44" s="62">
        <f t="shared" si="30"/>
        <v>0.2191333660465784</v>
      </c>
      <c r="BM44" s="62">
        <f t="shared" si="30"/>
        <v>0.13882346897837392</v>
      </c>
      <c r="BN44" s="62">
        <f t="shared" si="30"/>
        <v>0.11345019747403853</v>
      </c>
      <c r="BO44" s="62">
        <f t="shared" si="30"/>
        <v>0.24348965088403973</v>
      </c>
      <c r="BP44" s="62">
        <f t="shared" si="30"/>
        <v>0.10224505209867006</v>
      </c>
      <c r="BQ44" s="62">
        <f t="shared" si="30"/>
        <v>9.6679074767670306E-2</v>
      </c>
      <c r="BR44" s="62">
        <f t="shared" ref="BR44:CP44" si="31">_xlfn.STDEV.S(BR37:BR42)</f>
        <v>0.15144384565390395</v>
      </c>
      <c r="BS44" s="62">
        <f t="shared" si="31"/>
        <v>0.14869081213602678</v>
      </c>
      <c r="BT44" s="62">
        <f t="shared" si="31"/>
        <v>9.2031483045489568E-2</v>
      </c>
      <c r="BU44" s="62">
        <f t="shared" si="31"/>
        <v>0.28721136938391156</v>
      </c>
      <c r="BV44" s="62">
        <f t="shared" si="31"/>
        <v>9.816155304002093E-2</v>
      </c>
      <c r="BW44" s="62">
        <f t="shared" si="31"/>
        <v>7.8001186860954017E-2</v>
      </c>
      <c r="BX44" s="62">
        <f t="shared" si="31"/>
        <v>5.6448110150769011E-2</v>
      </c>
      <c r="BY44" s="62">
        <f t="shared" si="31"/>
        <v>0.11781456231209871</v>
      </c>
      <c r="BZ44" s="62">
        <f t="shared" si="31"/>
        <v>0.12034027642956323</v>
      </c>
      <c r="CA44" s="62">
        <f t="shared" si="31"/>
        <v>8.3665032267975351E-2</v>
      </c>
      <c r="CB44" s="62">
        <f t="shared" si="31"/>
        <v>0.14544922728850299</v>
      </c>
      <c r="CC44" s="62">
        <f t="shared" si="31"/>
        <v>0.11900770602330117</v>
      </c>
      <c r="CD44" s="62">
        <f t="shared" si="31"/>
        <v>8.9575043526042564E-2</v>
      </c>
      <c r="CE44" s="62">
        <f t="shared" si="31"/>
        <v>0.1006310118423699</v>
      </c>
      <c r="CF44" s="62">
        <f t="shared" si="31"/>
        <v>5.6110555486201474E-2</v>
      </c>
      <c r="CG44" s="62">
        <f t="shared" si="31"/>
        <v>3.4605310255612004E-2</v>
      </c>
      <c r="CH44" s="62">
        <f t="shared" si="31"/>
        <v>9.0235838051022144E-2</v>
      </c>
      <c r="CI44" s="62">
        <f t="shared" si="31"/>
        <v>9.4481688704760217E-2</v>
      </c>
      <c r="CJ44" s="62">
        <f t="shared" si="31"/>
        <v>2.5695884171290335</v>
      </c>
      <c r="CK44" s="62">
        <f t="shared" si="31"/>
        <v>2.6246164358122712</v>
      </c>
      <c r="CL44" s="62">
        <f t="shared" si="31"/>
        <v>0.27342238205054264</v>
      </c>
      <c r="CM44" s="62">
        <f t="shared" si="31"/>
        <v>0.10325642874582805</v>
      </c>
      <c r="CN44" s="62">
        <f t="shared" si="31"/>
        <v>0.27342238205054264</v>
      </c>
      <c r="CO44" s="62">
        <f t="shared" si="31"/>
        <v>0.22514822363395232</v>
      </c>
      <c r="CP44" s="62">
        <f t="shared" si="31"/>
        <v>0.19538788442684188</v>
      </c>
      <c r="CQ44" s="12"/>
    </row>
    <row r="45" spans="1:97">
      <c r="A45" s="5"/>
      <c r="B45" s="27" t="s">
        <v>139</v>
      </c>
      <c r="C45" s="62">
        <f>MEDIAN(C37:C42)</f>
        <v>2.4333090520641445</v>
      </c>
      <c r="D45" s="62">
        <f>MEDIAN(D37:D42)</f>
        <v>5.1658858865124397</v>
      </c>
      <c r="E45" s="62">
        <f t="shared" ref="E45:BQ45" si="32">MEDIAN(E37:E42)</f>
        <v>5.8219130872289426</v>
      </c>
      <c r="F45" s="62">
        <f t="shared" si="32"/>
        <v>5.0037658943235144</v>
      </c>
      <c r="G45" s="93">
        <f t="shared" si="32"/>
        <v>3.0299815363209701</v>
      </c>
      <c r="H45" s="62">
        <f t="shared" si="32"/>
        <v>4.4203081244382805</v>
      </c>
      <c r="I45" s="99">
        <f t="shared" si="32"/>
        <v>2.8440140341870181</v>
      </c>
      <c r="J45" s="62">
        <f t="shared" si="32"/>
        <v>4.386648983539196</v>
      </c>
      <c r="K45" s="62">
        <f t="shared" si="32"/>
        <v>4.0695913849225569</v>
      </c>
      <c r="L45" s="62">
        <f t="shared" si="32"/>
        <v>4.6947640099416557</v>
      </c>
      <c r="M45" s="62">
        <f t="shared" si="32"/>
        <v>3.5154252763659297</v>
      </c>
      <c r="N45" s="62">
        <f t="shared" si="32"/>
        <v>3.4061338913596586</v>
      </c>
      <c r="O45" s="62">
        <f t="shared" si="32"/>
        <v>4.201201526432401</v>
      </c>
      <c r="P45" s="62">
        <f t="shared" si="32"/>
        <v>4.6996973122172427</v>
      </c>
      <c r="Q45" s="62">
        <f t="shared" si="32"/>
        <v>3.4503410004487178</v>
      </c>
      <c r="R45" s="62">
        <f t="shared" si="32"/>
        <v>3.7983524760928944</v>
      </c>
      <c r="S45" s="62">
        <f t="shared" si="32"/>
        <v>3.9505926065365249</v>
      </c>
      <c r="T45" s="62">
        <f t="shared" si="32"/>
        <v>4.2956740688520014</v>
      </c>
      <c r="U45" s="62">
        <f t="shared" si="32"/>
        <v>4.1813098625888614</v>
      </c>
      <c r="V45" s="62">
        <f t="shared" si="32"/>
        <v>5.1350817270191396</v>
      </c>
      <c r="W45" s="62">
        <f t="shared" si="32"/>
        <v>4.6421365641611576</v>
      </c>
      <c r="X45" s="62">
        <f t="shared" si="32"/>
        <v>5.0882236126717242</v>
      </c>
      <c r="Y45" s="62">
        <f t="shared" si="32"/>
        <v>5.3245366927060562</v>
      </c>
      <c r="Z45" s="62">
        <f t="shared" si="32"/>
        <v>2.2288501361090538</v>
      </c>
      <c r="AA45" s="62">
        <f>MEDIAN(AA37:AA42)</f>
        <v>4.0490929469592727</v>
      </c>
      <c r="AC45" s="62">
        <f t="shared" si="32"/>
        <v>4.3528819428741627</v>
      </c>
      <c r="AD45" s="62">
        <f t="shared" si="32"/>
        <v>4.2995349183663629</v>
      </c>
      <c r="AE45" s="62">
        <f t="shared" si="32"/>
        <v>4.6952960162915112</v>
      </c>
      <c r="AF45" s="62">
        <f t="shared" si="32"/>
        <v>4.3819757690495269</v>
      </c>
      <c r="AG45" s="62">
        <f t="shared" si="32"/>
        <v>4.2672482890479513</v>
      </c>
      <c r="AH45" s="62">
        <f t="shared" si="32"/>
        <v>4.954839018542172</v>
      </c>
      <c r="AI45" s="62">
        <f t="shared" si="32"/>
        <v>4.9206758822377328</v>
      </c>
      <c r="AJ45" s="62">
        <f t="shared" si="32"/>
        <v>5.2560829366747708</v>
      </c>
      <c r="AK45" s="62">
        <f t="shared" si="32"/>
        <v>2.7899346520876351</v>
      </c>
      <c r="AL45" s="62">
        <f t="shared" si="32"/>
        <v>3.9833304192879697</v>
      </c>
      <c r="AM45" s="62">
        <f t="shared" si="32"/>
        <v>4.3984607983109374</v>
      </c>
      <c r="AN45" s="62">
        <f t="shared" si="32"/>
        <v>4.0319558350983744</v>
      </c>
      <c r="AO45" s="62">
        <f t="shared" si="32"/>
        <v>2.6638224817993281</v>
      </c>
      <c r="AP45" s="62">
        <f t="shared" si="32"/>
        <v>3.0737865352162697</v>
      </c>
      <c r="AQ45" s="62">
        <f t="shared" si="32"/>
        <v>4.3995501963333439</v>
      </c>
      <c r="AR45" s="62">
        <f t="shared" si="32"/>
        <v>4.2040965125209464</v>
      </c>
      <c r="AS45" s="62">
        <f t="shared" si="32"/>
        <v>4.4847614556447368</v>
      </c>
      <c r="AT45" s="62">
        <f t="shared" si="32"/>
        <v>4.4348926107226632</v>
      </c>
      <c r="AU45" s="62">
        <f t="shared" si="32"/>
        <v>3.8230933015721646</v>
      </c>
      <c r="AV45" s="62">
        <f t="shared" si="32"/>
        <v>4.0577521872198794</v>
      </c>
      <c r="AW45" s="62">
        <f t="shared" si="32"/>
        <v>3.3391723132472633</v>
      </c>
      <c r="AX45" s="62">
        <f t="shared" si="32"/>
        <v>2.876408215594136</v>
      </c>
      <c r="AY45" s="62">
        <f t="shared" si="32"/>
        <v>3.2044979647024934</v>
      </c>
      <c r="AZ45" s="62">
        <f t="shared" si="32"/>
        <v>2.8108710790750919</v>
      </c>
      <c r="BA45" s="62">
        <f t="shared" si="32"/>
        <v>2.7301481633787379</v>
      </c>
      <c r="BB45" s="62">
        <f t="shared" si="32"/>
        <v>3.6318253710251174</v>
      </c>
      <c r="BC45" s="62">
        <f t="shared" si="32"/>
        <v>3.808564958889848</v>
      </c>
      <c r="BD45" s="62">
        <f t="shared" si="32"/>
        <v>2.8226944303981463</v>
      </c>
      <c r="BE45" s="62">
        <f t="shared" si="32"/>
        <v>4.5807488655895501</v>
      </c>
      <c r="BF45" s="62">
        <f t="shared" si="32"/>
        <v>4.4888652312580026</v>
      </c>
      <c r="BG45" s="62">
        <f t="shared" si="32"/>
        <v>4.2975778161494436</v>
      </c>
      <c r="BH45" s="62">
        <f t="shared" si="32"/>
        <v>3.8779562388297921</v>
      </c>
      <c r="BI45" s="62">
        <f t="shared" si="32"/>
        <v>4.5870309655979336</v>
      </c>
      <c r="BJ45" s="62">
        <f t="shared" si="32"/>
        <v>2.7588881646369781</v>
      </c>
      <c r="BK45" s="62">
        <f t="shared" si="32"/>
        <v>2.8533431058246705</v>
      </c>
      <c r="BL45" s="62">
        <f t="shared" si="32"/>
        <v>2.7730911234765561</v>
      </c>
      <c r="BM45" s="62">
        <f t="shared" si="32"/>
        <v>4.2393913803948475</v>
      </c>
      <c r="BN45" s="62">
        <f t="shared" si="32"/>
        <v>4.1012748103641758</v>
      </c>
      <c r="BO45" s="62">
        <f t="shared" si="32"/>
        <v>2.2965266734604937</v>
      </c>
      <c r="BP45" s="62">
        <f t="shared" si="32"/>
        <v>3.1874942579520811</v>
      </c>
      <c r="BQ45" s="62">
        <f t="shared" si="32"/>
        <v>3.6387275893022055</v>
      </c>
      <c r="BR45" s="62">
        <f t="shared" ref="BR45:CP45" si="33">MEDIAN(BR37:BR42)</f>
        <v>3.6083486585788007</v>
      </c>
      <c r="BS45" s="62">
        <f t="shared" si="33"/>
        <v>3.3196871576224449</v>
      </c>
      <c r="BT45" s="62">
        <f t="shared" si="33"/>
        <v>4.0881928098101987</v>
      </c>
      <c r="BU45" s="62">
        <f t="shared" si="33"/>
        <v>3.2156341044307504</v>
      </c>
      <c r="BV45" s="62">
        <f t="shared" si="33"/>
        <v>3.8968487276401076</v>
      </c>
      <c r="BW45" s="62">
        <f t="shared" si="33"/>
        <v>4.7516469428965307</v>
      </c>
      <c r="BX45" s="62">
        <f t="shared" si="33"/>
        <v>4.2029962746611531</v>
      </c>
      <c r="BY45" s="62">
        <f t="shared" si="33"/>
        <v>4.5912392510777202</v>
      </c>
      <c r="BZ45" s="62">
        <f t="shared" si="33"/>
        <v>4.7095145546639383</v>
      </c>
      <c r="CA45" s="62">
        <f t="shared" si="33"/>
        <v>4.7760616000079237</v>
      </c>
      <c r="CB45" s="62">
        <f t="shared" si="33"/>
        <v>4.6854513247197795</v>
      </c>
      <c r="CC45" s="62">
        <f t="shared" si="33"/>
        <v>4.6871845974241095</v>
      </c>
      <c r="CD45" s="62">
        <f t="shared" si="33"/>
        <v>5.1190516350713811</v>
      </c>
      <c r="CE45" s="62">
        <f t="shared" si="33"/>
        <v>4.6382593903953833</v>
      </c>
      <c r="CF45" s="62">
        <f t="shared" si="33"/>
        <v>4.7442761774859949</v>
      </c>
      <c r="CG45" s="62">
        <f t="shared" si="33"/>
        <v>5.5722040191548849</v>
      </c>
      <c r="CH45" s="62">
        <f t="shared" si="33"/>
        <v>5.3272376110786155</v>
      </c>
      <c r="CI45" s="62">
        <f t="shared" si="33"/>
        <v>5.4352032824135392</v>
      </c>
      <c r="CJ45" s="62">
        <f t="shared" si="33"/>
        <v>2.2315431665122665</v>
      </c>
      <c r="CK45" s="62">
        <f t="shared" si="33"/>
        <v>2.4012329242228923</v>
      </c>
      <c r="CL45" s="62">
        <f t="shared" si="33"/>
        <v>3.1822109536139047</v>
      </c>
      <c r="CM45" s="62">
        <f t="shared" si="33"/>
        <v>3.3869419837526986</v>
      </c>
      <c r="CN45" s="62">
        <f t="shared" si="33"/>
        <v>3.1822109536139047</v>
      </c>
      <c r="CO45" s="62">
        <f t="shared" si="33"/>
        <v>3.1137093754217871</v>
      </c>
      <c r="CP45" s="62">
        <f t="shared" si="33"/>
        <v>2.9383536505008889</v>
      </c>
      <c r="CQ45" s="12"/>
    </row>
    <row r="46" spans="1:97">
      <c r="A46" s="5"/>
      <c r="B46" s="5"/>
      <c r="C46" s="53"/>
      <c r="D46" s="53"/>
      <c r="E46" s="53"/>
      <c r="F46" s="53"/>
      <c r="G46" s="94"/>
      <c r="H46" s="53"/>
      <c r="I46" s="100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94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  <c r="CG46" s="53"/>
      <c r="CH46" s="53"/>
      <c r="CI46" s="53"/>
      <c r="CJ46" s="53"/>
      <c r="CK46" s="53"/>
      <c r="CL46" s="53"/>
      <c r="CM46" s="53"/>
      <c r="CN46" s="53"/>
      <c r="CO46" s="53"/>
      <c r="CP46" s="53"/>
      <c r="CQ46" s="12"/>
    </row>
    <row r="47" spans="1:97">
      <c r="A47" s="6" t="s">
        <v>101</v>
      </c>
      <c r="B47" s="5"/>
      <c r="C47" s="53"/>
      <c r="D47" s="53"/>
      <c r="E47" s="53"/>
      <c r="F47" s="53"/>
      <c r="G47" s="94"/>
      <c r="H47" s="53"/>
      <c r="I47" s="100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94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  <c r="CG47" s="53"/>
      <c r="CH47" s="53"/>
      <c r="CI47" s="53"/>
      <c r="CJ47" s="53"/>
      <c r="CK47" s="53"/>
      <c r="CL47" s="53"/>
      <c r="CM47" s="53"/>
      <c r="CN47" s="53"/>
      <c r="CO47" s="53"/>
      <c r="CP47" s="53"/>
      <c r="CQ47" s="12"/>
    </row>
    <row r="48" spans="1:97">
      <c r="A48" s="18" t="s">
        <v>158</v>
      </c>
      <c r="B48" s="61" t="s">
        <v>95</v>
      </c>
      <c r="C48" s="54">
        <f t="shared" ref="C48:AA48" si="34">LOG10(C17)</f>
        <v>2.6414741105040997</v>
      </c>
      <c r="D48" s="54">
        <f t="shared" si="34"/>
        <v>5.3366058083451131</v>
      </c>
      <c r="E48" s="54">
        <f t="shared" si="34"/>
        <v>5.7180630209623651</v>
      </c>
      <c r="F48" s="54">
        <f t="shared" si="34"/>
        <v>5.0280422950907493</v>
      </c>
      <c r="G48" s="95">
        <f t="shared" si="34"/>
        <v>3.0707764628434346</v>
      </c>
      <c r="H48" s="54">
        <f t="shared" si="34"/>
        <v>4.2638253655212148</v>
      </c>
      <c r="I48" s="101">
        <f t="shared" si="34"/>
        <v>2.7566361082458481</v>
      </c>
      <c r="J48" s="54">
        <f t="shared" si="34"/>
        <v>4.4362421808715622</v>
      </c>
      <c r="K48" s="54">
        <f t="shared" si="34"/>
        <v>4.1943200453034226</v>
      </c>
      <c r="L48" s="54">
        <f t="shared" si="34"/>
        <v>4.9236118211728526</v>
      </c>
      <c r="M48" s="54">
        <f t="shared" si="34"/>
        <v>3.7052648623174043</v>
      </c>
      <c r="N48" s="54">
        <f t="shared" si="34"/>
        <v>3.616685520895512</v>
      </c>
      <c r="O48" s="54">
        <f t="shared" si="34"/>
        <v>4.1315545097612398</v>
      </c>
      <c r="P48" s="54">
        <f t="shared" si="34"/>
        <v>4.5718485287429012</v>
      </c>
      <c r="Q48" s="54">
        <f t="shared" si="34"/>
        <v>3.3912880485952974</v>
      </c>
      <c r="R48" s="54">
        <f t="shared" si="34"/>
        <v>3.5384480517102173</v>
      </c>
      <c r="S48" s="54">
        <f t="shared" si="34"/>
        <v>3.6382895354142568</v>
      </c>
      <c r="T48" s="54">
        <f t="shared" si="34"/>
        <v>4.0843975191411497</v>
      </c>
      <c r="U48" s="54">
        <f t="shared" si="34"/>
        <v>4.1103876658750869</v>
      </c>
      <c r="V48" s="54">
        <f t="shared" si="34"/>
        <v>4.7303299864975887</v>
      </c>
      <c r="W48" s="54">
        <f t="shared" si="34"/>
        <v>4.1591760317934696</v>
      </c>
      <c r="X48" s="54">
        <f t="shared" si="34"/>
        <v>4.8527909639989231</v>
      </c>
      <c r="Y48" s="54">
        <f t="shared" si="34"/>
        <v>5.3023872144512501</v>
      </c>
      <c r="Z48" s="54">
        <f t="shared" si="34"/>
        <v>2.3654879848908998</v>
      </c>
      <c r="AA48" s="54">
        <f t="shared" si="34"/>
        <v>4.0466902213700573</v>
      </c>
      <c r="AB48" s="77">
        <f>MEDIAN(C48:AA48)</f>
        <v>4.1315545097612398</v>
      </c>
      <c r="AC48" s="54">
        <f t="shared" ref="AC48:BH48" si="35">LOG10(AC17)</f>
        <v>4.2369401320944888</v>
      </c>
      <c r="AD48" s="54">
        <f t="shared" si="35"/>
        <v>4.1480162082398726</v>
      </c>
      <c r="AE48" s="54">
        <f t="shared" si="35"/>
        <v>4.808298768532504</v>
      </c>
      <c r="AF48" s="54">
        <f t="shared" si="35"/>
        <v>4.2518328186286398</v>
      </c>
      <c r="AG48" s="54">
        <f t="shared" si="35"/>
        <v>4.4456508990945016</v>
      </c>
      <c r="AH48" s="54">
        <f t="shared" si="35"/>
        <v>5.0351254253194426</v>
      </c>
      <c r="AI48" s="54">
        <f t="shared" si="35"/>
        <v>5.0650416480543798</v>
      </c>
      <c r="AJ48" s="54">
        <f t="shared" si="35"/>
        <v>5.3398011212199963</v>
      </c>
      <c r="AK48" s="54">
        <f t="shared" si="35"/>
        <v>3.1451964061141817</v>
      </c>
      <c r="AL48" s="54">
        <f t="shared" si="35"/>
        <v>3.9411137270371017</v>
      </c>
      <c r="AM48" s="54">
        <f t="shared" si="35"/>
        <v>4.5654818185991433</v>
      </c>
      <c r="AN48" s="54">
        <f t="shared" si="35"/>
        <v>4.224895470849483</v>
      </c>
      <c r="AO48" s="54">
        <f t="shared" si="35"/>
        <v>2.9618954736678504</v>
      </c>
      <c r="AP48" s="54">
        <f t="shared" si="35"/>
        <v>3.4061994236633129</v>
      </c>
      <c r="AQ48" s="54">
        <f t="shared" si="35"/>
        <v>4.5237724716905818</v>
      </c>
      <c r="AR48" s="54">
        <f t="shared" si="35"/>
        <v>4.3116691124006108</v>
      </c>
      <c r="AS48" s="54">
        <f t="shared" si="35"/>
        <v>4.6612351347180807</v>
      </c>
      <c r="AT48" s="54">
        <f t="shared" si="35"/>
        <v>4.7383603259022484</v>
      </c>
      <c r="AU48" s="54">
        <f t="shared" si="35"/>
        <v>3.8397293752063879</v>
      </c>
      <c r="AV48" s="54">
        <f t="shared" si="35"/>
        <v>4.3949242442359875</v>
      </c>
      <c r="AW48" s="54">
        <f t="shared" si="35"/>
        <v>3.6900187807886953</v>
      </c>
      <c r="AX48" s="54">
        <f t="shared" si="35"/>
        <v>3.0224283711854865</v>
      </c>
      <c r="AY48" s="54">
        <f t="shared" si="35"/>
        <v>3.400365273349939</v>
      </c>
      <c r="AZ48" s="54">
        <f t="shared" si="35"/>
        <v>3.5748411950633847</v>
      </c>
      <c r="BA48" s="54">
        <f t="shared" si="35"/>
        <v>2.9464522650130731</v>
      </c>
      <c r="BB48" s="54">
        <f t="shared" si="35"/>
        <v>3.8683504996479683</v>
      </c>
      <c r="BC48" s="54">
        <f t="shared" si="35"/>
        <v>3.9655779579105279</v>
      </c>
      <c r="BD48" s="54">
        <f t="shared" si="35"/>
        <v>3.2817149700272958</v>
      </c>
      <c r="BE48" s="54">
        <f t="shared" si="35"/>
        <v>4.871794695992417</v>
      </c>
      <c r="BF48" s="54">
        <f t="shared" si="35"/>
        <v>4.5289038511384092</v>
      </c>
      <c r="BG48" s="54">
        <f t="shared" si="35"/>
        <v>4.5389631173252685</v>
      </c>
      <c r="BH48" s="54">
        <f t="shared" si="35"/>
        <v>4.1992339305369022</v>
      </c>
      <c r="BI48" s="54">
        <f t="shared" ref="BI48:CP48" si="36">LOG10(BI17)</f>
        <v>4.7455744114035134</v>
      </c>
      <c r="BJ48" s="54">
        <f t="shared" si="36"/>
        <v>2.9547247909790628</v>
      </c>
      <c r="BK48" s="54">
        <f t="shared" si="36"/>
        <v>3.3893433112520781</v>
      </c>
      <c r="BL48" s="54">
        <f t="shared" si="36"/>
        <v>3.2678754193188975</v>
      </c>
      <c r="BM48" s="54">
        <f t="shared" si="36"/>
        <v>4.3439400576457103</v>
      </c>
      <c r="BN48" s="54">
        <f t="shared" si="36"/>
        <v>4.198327117723478</v>
      </c>
      <c r="BO48" s="54">
        <f t="shared" si="36"/>
        <v>2.6095944092252199</v>
      </c>
      <c r="BP48" s="54">
        <f t="shared" si="36"/>
        <v>2.8779469516291885</v>
      </c>
      <c r="BQ48" s="54">
        <f t="shared" si="36"/>
        <v>3.6395860866734266</v>
      </c>
      <c r="BR48" s="54">
        <f t="shared" si="36"/>
        <v>3.5085297189712867</v>
      </c>
      <c r="BS48" s="54">
        <f t="shared" si="36"/>
        <v>3.0870712059065353</v>
      </c>
      <c r="BT48" s="54">
        <f t="shared" si="36"/>
        <v>4.1164749119083313</v>
      </c>
      <c r="BU48" s="54">
        <f t="shared" si="36"/>
        <v>3.1051694279993316</v>
      </c>
      <c r="BV48" s="54">
        <f t="shared" si="36"/>
        <v>3.8024316264307236</v>
      </c>
      <c r="BW48" s="54">
        <f t="shared" si="36"/>
        <v>4.6920445396145594</v>
      </c>
      <c r="BX48" s="54">
        <f t="shared" si="36"/>
        <v>4.2906577664091321</v>
      </c>
      <c r="BY48" s="54">
        <f t="shared" si="36"/>
        <v>4.4380357720930794</v>
      </c>
      <c r="BZ48" s="54">
        <f t="shared" si="36"/>
        <v>4.6064995975128875</v>
      </c>
      <c r="CA48" s="54">
        <f t="shared" si="36"/>
        <v>4.8399052181895765</v>
      </c>
      <c r="CB48" s="54">
        <f t="shared" si="36"/>
        <v>4.53382287980914</v>
      </c>
      <c r="CC48" s="54">
        <f t="shared" si="36"/>
        <v>4.5358129375388927</v>
      </c>
      <c r="CD48" s="54">
        <f t="shared" si="36"/>
        <v>5.2583355180157083</v>
      </c>
      <c r="CE48" s="54">
        <f t="shared" si="36"/>
        <v>4.7282238801338012</v>
      </c>
      <c r="CF48" s="54">
        <f t="shared" si="36"/>
        <v>4.7629410113007813</v>
      </c>
      <c r="CG48" s="54">
        <f t="shared" si="36"/>
        <v>5.6624848957062488</v>
      </c>
      <c r="CH48" s="54">
        <f t="shared" si="36"/>
        <v>5.3741835793715422</v>
      </c>
      <c r="CI48" s="54">
        <f t="shared" si="36"/>
        <v>5.4284652506407607</v>
      </c>
      <c r="CJ48" s="54">
        <f t="shared" si="36"/>
        <v>2.7126497016272113</v>
      </c>
      <c r="CK48" s="54">
        <f t="shared" si="36"/>
        <v>2.9493900066449128</v>
      </c>
      <c r="CL48" s="54">
        <f t="shared" si="36"/>
        <v>3.3675422735205767</v>
      </c>
      <c r="CM48" s="54">
        <f t="shared" si="36"/>
        <v>3.6898414091375047</v>
      </c>
      <c r="CN48" s="54">
        <f t="shared" si="36"/>
        <v>3.3675422735205767</v>
      </c>
      <c r="CO48" s="54">
        <f t="shared" si="36"/>
        <v>3.2671717284030137</v>
      </c>
      <c r="CP48" s="54">
        <f t="shared" si="36"/>
        <v>2.9143431571194407</v>
      </c>
      <c r="CQ48" s="76">
        <f>MEDIAN(AC48:CP48)</f>
        <v>4.1987805241301901</v>
      </c>
    </row>
    <row r="49" spans="1:97">
      <c r="A49" s="18" t="s">
        <v>154</v>
      </c>
      <c r="B49" s="28" t="s">
        <v>95</v>
      </c>
      <c r="C49" s="54">
        <f t="shared" ref="C49:AA49" si="37">LOG10(C18)</f>
        <v>2.4149733479708178</v>
      </c>
      <c r="D49" s="54">
        <f t="shared" si="37"/>
        <v>5.0329167827997914</v>
      </c>
      <c r="E49" s="54">
        <f t="shared" si="37"/>
        <v>5.5649724473552666</v>
      </c>
      <c r="F49" s="54">
        <f t="shared" si="37"/>
        <v>4.9310915663388011</v>
      </c>
      <c r="G49" s="95">
        <f t="shared" si="37"/>
        <v>2.7972675408307164</v>
      </c>
      <c r="H49" s="54">
        <f t="shared" si="37"/>
        <v>4.1791207296092994</v>
      </c>
      <c r="I49" s="101">
        <f t="shared" si="37"/>
        <v>2.6242820958356683</v>
      </c>
      <c r="J49" s="54">
        <f t="shared" si="37"/>
        <v>4.1499884564914762</v>
      </c>
      <c r="K49" s="54">
        <f t="shared" si="37"/>
        <v>3.483016420144132</v>
      </c>
      <c r="L49" s="54">
        <f t="shared" si="37"/>
        <v>4.4244569306684021</v>
      </c>
      <c r="M49" s="54">
        <f t="shared" si="37"/>
        <v>3.4665710723863543</v>
      </c>
      <c r="N49" s="54">
        <f t="shared" si="37"/>
        <v>3.274850320016665</v>
      </c>
      <c r="O49" s="54">
        <f t="shared" si="37"/>
        <v>3.9592799501309388</v>
      </c>
      <c r="P49" s="54">
        <f t="shared" si="37"/>
        <v>4.3018977171952084</v>
      </c>
      <c r="Q49" s="54">
        <f t="shared" si="37"/>
        <v>3.1571544399062814</v>
      </c>
      <c r="R49" s="54">
        <f t="shared" si="37"/>
        <v>3.4525530632289252</v>
      </c>
      <c r="S49" s="54">
        <f t="shared" si="37"/>
        <v>3.6809697184658972</v>
      </c>
      <c r="T49" s="54">
        <f t="shared" si="37"/>
        <v>4.0216027160282426</v>
      </c>
      <c r="U49" s="54">
        <f t="shared" si="37"/>
        <v>3.9783174967467509</v>
      </c>
      <c r="V49" s="54">
        <f t="shared" si="37"/>
        <v>4.7199358945051921</v>
      </c>
      <c r="W49" s="54">
        <f t="shared" si="37"/>
        <v>4.1760333492640225</v>
      </c>
      <c r="X49" s="54">
        <f t="shared" si="37"/>
        <v>4.7702774797561718</v>
      </c>
      <c r="Y49" s="54">
        <f t="shared" si="37"/>
        <v>5.0254901964395593</v>
      </c>
      <c r="Z49" s="54">
        <f t="shared" si="37"/>
        <v>2.0334237554869499</v>
      </c>
      <c r="AA49" s="54">
        <f t="shared" si="37"/>
        <v>3.8884041677370464</v>
      </c>
      <c r="AB49" s="77">
        <f t="shared" ref="AB49:AB54" si="38">MEDIAN(C49:AA49)</f>
        <v>3.9783174967467509</v>
      </c>
      <c r="AC49" s="54">
        <f t="shared" ref="AC49:BH49" si="39">LOG10(AC18)</f>
        <v>4.2582300904491293</v>
      </c>
      <c r="AD49" s="54">
        <f t="shared" si="39"/>
        <v>4.2687417374124763</v>
      </c>
      <c r="AE49" s="54">
        <f t="shared" si="39"/>
        <v>4.7498135852929382</v>
      </c>
      <c r="AF49" s="54">
        <f t="shared" si="39"/>
        <v>4.3450991461328954</v>
      </c>
      <c r="AG49" s="54">
        <f t="shared" si="39"/>
        <v>4.374528394381243</v>
      </c>
      <c r="AH49" s="54">
        <f t="shared" si="39"/>
        <v>4.9572384350433438</v>
      </c>
      <c r="AI49" s="54">
        <f t="shared" si="39"/>
        <v>4.8868064609056932</v>
      </c>
      <c r="AJ49" s="54">
        <f t="shared" si="39"/>
        <v>5.1625733671145246</v>
      </c>
      <c r="AK49" s="54">
        <f t="shared" si="39"/>
        <v>3.166133970305109</v>
      </c>
      <c r="AL49" s="54">
        <f t="shared" si="39"/>
        <v>4.0392951180843104</v>
      </c>
      <c r="AM49" s="54">
        <f t="shared" si="39"/>
        <v>4.3967919551414818</v>
      </c>
      <c r="AN49" s="54">
        <f t="shared" si="39"/>
        <v>3.910143961064513</v>
      </c>
      <c r="AO49" s="54">
        <f t="shared" si="39"/>
        <v>2.9666109866819341</v>
      </c>
      <c r="AP49" s="54">
        <f t="shared" si="39"/>
        <v>3.3077099234048069</v>
      </c>
      <c r="AQ49" s="54">
        <f t="shared" si="39"/>
        <v>4.4771791567905304</v>
      </c>
      <c r="AR49" s="54">
        <f t="shared" si="39"/>
        <v>4.1836968086346804</v>
      </c>
      <c r="AS49" s="54">
        <f t="shared" si="39"/>
        <v>4.444996700267696</v>
      </c>
      <c r="AT49" s="54">
        <f t="shared" si="39"/>
        <v>4.4731949092049375</v>
      </c>
      <c r="AU49" s="54">
        <f t="shared" si="39"/>
        <v>3.7401257369657306</v>
      </c>
      <c r="AV49" s="54">
        <f t="shared" si="39"/>
        <v>4.1959826306883583</v>
      </c>
      <c r="AW49" s="54">
        <f t="shared" si="39"/>
        <v>3.4667193716815987</v>
      </c>
      <c r="AX49" s="54">
        <f t="shared" si="39"/>
        <v>2.8267225201689921</v>
      </c>
      <c r="AY49" s="54">
        <f t="shared" si="39"/>
        <v>2.8561244442423002</v>
      </c>
      <c r="AZ49" s="54">
        <f t="shared" si="39"/>
        <v>3.0056094453602804</v>
      </c>
      <c r="BA49" s="54">
        <f t="shared" si="39"/>
        <v>2.6294095991027189</v>
      </c>
      <c r="BB49" s="54">
        <f t="shared" si="39"/>
        <v>3.5881596163830922</v>
      </c>
      <c r="BC49" s="54">
        <f t="shared" si="39"/>
        <v>3.7012224842565571</v>
      </c>
      <c r="BD49" s="54">
        <f t="shared" si="39"/>
        <v>3.1089031276673134</v>
      </c>
      <c r="BE49" s="54">
        <f t="shared" si="39"/>
        <v>4.4674749113845991</v>
      </c>
      <c r="BF49" s="54">
        <f t="shared" si="39"/>
        <v>4.3391134147714006</v>
      </c>
      <c r="BG49" s="54">
        <f t="shared" si="39"/>
        <v>4.3075816047506299</v>
      </c>
      <c r="BH49" s="54">
        <f t="shared" si="39"/>
        <v>3.8555191556678001</v>
      </c>
      <c r="BI49" s="54">
        <f t="shared" ref="BI49:CP49" si="40">LOG10(BI18)</f>
        <v>4.3589432196323346</v>
      </c>
      <c r="BJ49" s="54">
        <f t="shared" si="40"/>
        <v>2.7839035792727351</v>
      </c>
      <c r="BK49" s="54">
        <f t="shared" si="40"/>
        <v>3.1604685311190375</v>
      </c>
      <c r="BL49" s="54">
        <f t="shared" si="40"/>
        <v>3.0464951643347082</v>
      </c>
      <c r="BM49" s="54">
        <f t="shared" si="40"/>
        <v>4.0729113158540802</v>
      </c>
      <c r="BN49" s="54">
        <f t="shared" si="40"/>
        <v>4.0796876276113361</v>
      </c>
      <c r="BO49" s="54">
        <f t="shared" si="40"/>
        <v>2.3263358609287512</v>
      </c>
      <c r="BP49" s="54">
        <f t="shared" si="40"/>
        <v>2.9344984512435679</v>
      </c>
      <c r="BQ49" s="54">
        <f t="shared" si="40"/>
        <v>3.804548308388056</v>
      </c>
      <c r="BR49" s="54">
        <f t="shared" si="40"/>
        <v>3.550105999347593</v>
      </c>
      <c r="BS49" s="54">
        <f t="shared" si="40"/>
        <v>3.1482940974347455</v>
      </c>
      <c r="BT49" s="54">
        <f t="shared" si="40"/>
        <v>4.0174090085362106</v>
      </c>
      <c r="BU49" s="54">
        <f t="shared" si="40"/>
        <v>3.1752218003430523</v>
      </c>
      <c r="BV49" s="54">
        <f t="shared" si="40"/>
        <v>3.9393694700746598</v>
      </c>
      <c r="BW49" s="54">
        <f t="shared" si="40"/>
        <v>4.7363885334974443</v>
      </c>
      <c r="BX49" s="54">
        <f t="shared" si="40"/>
        <v>4.1149110840818919</v>
      </c>
      <c r="BY49" s="54">
        <f t="shared" si="40"/>
        <v>4.4989442989823996</v>
      </c>
      <c r="BZ49" s="54">
        <f t="shared" si="40"/>
        <v>4.7268901407418218</v>
      </c>
      <c r="CA49" s="54">
        <f t="shared" si="40"/>
        <v>4.7641836072740569</v>
      </c>
      <c r="CB49" s="54">
        <f t="shared" si="40"/>
        <v>3.8142475957319202</v>
      </c>
      <c r="CC49" s="54">
        <f t="shared" si="40"/>
        <v>4.5725928210962863</v>
      </c>
      <c r="CD49" s="54">
        <f t="shared" si="40"/>
        <v>5.0763709737367337</v>
      </c>
      <c r="CE49" s="54">
        <f t="shared" si="40"/>
        <v>4.4995908674874316</v>
      </c>
      <c r="CF49" s="54">
        <f t="shared" si="40"/>
        <v>4.7103797250098678</v>
      </c>
      <c r="CG49" s="54">
        <f t="shared" si="40"/>
        <v>5.4971536530516376</v>
      </c>
      <c r="CH49" s="54">
        <f t="shared" si="40"/>
        <v>5.1967370053379831</v>
      </c>
      <c r="CI49" s="54">
        <f t="shared" si="40"/>
        <v>5.3038373024934513</v>
      </c>
      <c r="CJ49" s="54">
        <f t="shared" si="40"/>
        <v>2.5538830266438746</v>
      </c>
      <c r="CK49" s="54">
        <f t="shared" si="40"/>
        <v>2.8750612633917001</v>
      </c>
      <c r="CL49" s="54">
        <f t="shared" si="40"/>
        <v>3.1245042248342823</v>
      </c>
      <c r="CM49" s="54">
        <f t="shared" si="40"/>
        <v>3.5625307688622612</v>
      </c>
      <c r="CN49" s="54">
        <f t="shared" si="40"/>
        <v>3.1245042248342823</v>
      </c>
      <c r="CO49" s="54">
        <f t="shared" si="40"/>
        <v>3.2489536154957075</v>
      </c>
      <c r="CP49" s="54">
        <f t="shared" si="40"/>
        <v>2.9527924430440922</v>
      </c>
      <c r="CQ49" s="76">
        <f t="shared" ref="CQ49:CQ54" si="41">MEDIAN(AC49:CP49)</f>
        <v>4.0283520633102601</v>
      </c>
    </row>
    <row r="50" spans="1:97">
      <c r="A50" s="18" t="s">
        <v>114</v>
      </c>
      <c r="B50" s="28" t="s">
        <v>95</v>
      </c>
      <c r="C50" s="54">
        <f t="shared" ref="C50:AA50" si="42">LOG10(C19)</f>
        <v>2.214843848047698</v>
      </c>
      <c r="D50" s="54">
        <f t="shared" si="42"/>
        <v>5.2710373013039176</v>
      </c>
      <c r="E50" s="54">
        <f t="shared" si="42"/>
        <v>5.7446512260890747</v>
      </c>
      <c r="F50" s="54">
        <f t="shared" si="42"/>
        <v>4.9000665693754861</v>
      </c>
      <c r="G50" s="95">
        <f t="shared" si="42"/>
        <v>3.3346547668832414</v>
      </c>
      <c r="H50" s="54">
        <f t="shared" si="42"/>
        <v>4.2062590352092828</v>
      </c>
      <c r="I50" s="101">
        <f t="shared" si="42"/>
        <v>3.0132586652835167</v>
      </c>
      <c r="J50" s="54">
        <f t="shared" si="42"/>
        <v>4.4226718983272866</v>
      </c>
      <c r="K50" s="54">
        <f t="shared" si="42"/>
        <v>4.0943313492770965</v>
      </c>
      <c r="L50" s="54">
        <f t="shared" si="42"/>
        <v>4.9411734060993631</v>
      </c>
      <c r="M50" s="54">
        <f t="shared" si="42"/>
        <v>3.6680129716418319</v>
      </c>
      <c r="N50" s="54">
        <f t="shared" si="42"/>
        <v>3.5006480633719121</v>
      </c>
      <c r="O50" s="54">
        <f t="shared" si="42"/>
        <v>4.1197176591054951</v>
      </c>
      <c r="P50" s="54">
        <f t="shared" si="42"/>
        <v>4.7600075943994371</v>
      </c>
      <c r="Q50" s="54">
        <f t="shared" si="42"/>
        <v>3.6454222693490919</v>
      </c>
      <c r="R50" s="54">
        <f t="shared" si="42"/>
        <v>3.5280163411892014</v>
      </c>
      <c r="S50" s="54">
        <f t="shared" si="42"/>
        <v>3.6931111154621412</v>
      </c>
      <c r="T50" s="54">
        <f t="shared" si="42"/>
        <v>3.9976047874604546</v>
      </c>
      <c r="U50" s="54">
        <f t="shared" si="42"/>
        <v>4.0957619594775005</v>
      </c>
      <c r="V50" s="54">
        <f t="shared" si="42"/>
        <v>4.7541035938156133</v>
      </c>
      <c r="W50" s="54">
        <f t="shared" si="42"/>
        <v>4.2572944983622563</v>
      </c>
      <c r="X50" s="54">
        <f t="shared" si="42"/>
        <v>4.9481341061635336</v>
      </c>
      <c r="Y50" s="54">
        <f t="shared" si="42"/>
        <v>5.3683798716238016</v>
      </c>
      <c r="Z50" s="54">
        <f t="shared" si="42"/>
        <v>2.2833012287035497</v>
      </c>
      <c r="AA50" s="54">
        <f t="shared" si="42"/>
        <v>4.1460970135358695</v>
      </c>
      <c r="AB50" s="77">
        <f t="shared" si="38"/>
        <v>4.1197176591054951</v>
      </c>
      <c r="AC50" s="54">
        <f t="shared" ref="AC50:BH50" si="43">LOG10(AC19)</f>
        <v>4.2126935424210261</v>
      </c>
      <c r="AD50" s="54">
        <f t="shared" si="43"/>
        <v>4.1543631006663162</v>
      </c>
      <c r="AE50" s="54">
        <f t="shared" si="43"/>
        <v>4.5700990789919578</v>
      </c>
      <c r="AF50" s="54">
        <f t="shared" si="43"/>
        <v>4.2562606065122068</v>
      </c>
      <c r="AG50" s="54">
        <f t="shared" si="43"/>
        <v>4.3240765797394864</v>
      </c>
      <c r="AH50" s="54">
        <f t="shared" si="43"/>
        <v>4.8741976068378001</v>
      </c>
      <c r="AI50" s="54">
        <f t="shared" si="43"/>
        <v>4.8289433197188796</v>
      </c>
      <c r="AJ50" s="54">
        <f t="shared" si="43"/>
        <v>5.2251955230353619</v>
      </c>
      <c r="AK50" s="54">
        <f t="shared" si="43"/>
        <v>2.5774917998372255</v>
      </c>
      <c r="AL50" s="54">
        <f t="shared" si="43"/>
        <v>3.9089137400209713</v>
      </c>
      <c r="AM50" s="54">
        <f t="shared" si="43"/>
        <v>4.5073160400764136</v>
      </c>
      <c r="AN50" s="54">
        <f t="shared" si="43"/>
        <v>4.2246107469783354</v>
      </c>
      <c r="AO50" s="54">
        <f t="shared" si="43"/>
        <v>2.4502491083193609</v>
      </c>
      <c r="AP50" s="54">
        <f t="shared" si="43"/>
        <v>3.2030328870147105</v>
      </c>
      <c r="AQ50" s="54">
        <f t="shared" si="43"/>
        <v>4.4149733479708182</v>
      </c>
      <c r="AR50" s="54">
        <f t="shared" si="43"/>
        <v>4.0896932087848388</v>
      </c>
      <c r="AS50" s="54">
        <f t="shared" si="43"/>
        <v>4.5891338357230085</v>
      </c>
      <c r="AT50" s="54">
        <f t="shared" si="43"/>
        <v>4.5191583230939045</v>
      </c>
      <c r="AU50" s="54">
        <f t="shared" si="43"/>
        <v>3.8938172239674631</v>
      </c>
      <c r="AV50" s="54">
        <f t="shared" si="43"/>
        <v>4.1987395401044161</v>
      </c>
      <c r="AW50" s="54">
        <f t="shared" si="43"/>
        <v>3.497758718287268</v>
      </c>
      <c r="AX50" s="54">
        <f t="shared" si="43"/>
        <v>2.842609239610562</v>
      </c>
      <c r="AY50" s="54">
        <f t="shared" si="43"/>
        <v>3.3802112417116059</v>
      </c>
      <c r="AZ50" s="54">
        <f t="shared" si="43"/>
        <v>2.5899496013257077</v>
      </c>
      <c r="BA50" s="54">
        <f t="shared" si="43"/>
        <v>3.1132746924643504</v>
      </c>
      <c r="BB50" s="54">
        <f t="shared" si="43"/>
        <v>3.5706596700215343</v>
      </c>
      <c r="BC50" s="54">
        <f t="shared" si="43"/>
        <v>3.8335932939984563</v>
      </c>
      <c r="BD50" s="54">
        <f t="shared" si="43"/>
        <v>2.7242758696007892</v>
      </c>
      <c r="BE50" s="54">
        <f t="shared" si="43"/>
        <v>4.6341345360625708</v>
      </c>
      <c r="BF50" s="54">
        <f t="shared" si="43"/>
        <v>4.3535700415980036</v>
      </c>
      <c r="BG50" s="54">
        <f t="shared" si="43"/>
        <v>4.360801612967852</v>
      </c>
      <c r="BH50" s="54">
        <f t="shared" si="43"/>
        <v>3.9153998352122699</v>
      </c>
      <c r="BI50" s="54">
        <f t="shared" ref="BI50:CP50" si="44">LOG10(BI19)</f>
        <v>4.6316872303753751</v>
      </c>
      <c r="BJ50" s="54">
        <f t="shared" si="44"/>
        <v>2.7944880466591697</v>
      </c>
      <c r="BK50" s="54">
        <f t="shared" si="44"/>
        <v>2.9047155452786808</v>
      </c>
      <c r="BL50" s="54">
        <f t="shared" si="44"/>
        <v>2.885926339801431</v>
      </c>
      <c r="BM50" s="54">
        <f t="shared" si="44"/>
        <v>4.0687052196919415</v>
      </c>
      <c r="BN50" s="54">
        <f t="shared" si="44"/>
        <v>4.0733883811151781</v>
      </c>
      <c r="BO50" s="54">
        <f t="shared" si="44"/>
        <v>2.0827853703164503</v>
      </c>
      <c r="BP50" s="54">
        <f t="shared" si="44"/>
        <v>3.0663259253620376</v>
      </c>
      <c r="BQ50" s="54">
        <f t="shared" si="44"/>
        <v>3.6874397745458944</v>
      </c>
      <c r="BR50" s="54">
        <f t="shared" si="44"/>
        <v>3.4114513421379375</v>
      </c>
      <c r="BS50" s="54">
        <f t="shared" si="44"/>
        <v>3.2702128548962426</v>
      </c>
      <c r="BT50" s="54">
        <f t="shared" si="44"/>
        <v>3.9590891143673921</v>
      </c>
      <c r="BU50" s="54">
        <f t="shared" si="44"/>
        <v>2.9982593384236988</v>
      </c>
      <c r="BV50" s="54">
        <f t="shared" si="44"/>
        <v>3.823474229170301</v>
      </c>
      <c r="BW50" s="54">
        <f t="shared" si="44"/>
        <v>4.60182106365178</v>
      </c>
      <c r="BX50" s="54">
        <f t="shared" si="44"/>
        <v>4.1742633809951215</v>
      </c>
      <c r="BY50" s="54">
        <f t="shared" si="44"/>
        <v>4.5149725425040597</v>
      </c>
      <c r="BZ50" s="54">
        <f t="shared" si="44"/>
        <v>4.6412658371898399</v>
      </c>
      <c r="CA50" s="54">
        <f t="shared" si="44"/>
        <v>4.7045194245933173</v>
      </c>
      <c r="CB50" s="54">
        <f t="shared" si="44"/>
        <v>4.5754765086018994</v>
      </c>
      <c r="CC50" s="54">
        <f t="shared" si="44"/>
        <v>4.6278879251893148</v>
      </c>
      <c r="CD50" s="54">
        <f t="shared" si="44"/>
        <v>5.124161740574622</v>
      </c>
      <c r="CE50" s="54">
        <f t="shared" si="44"/>
        <v>4.4911374839780267</v>
      </c>
      <c r="CF50" s="54">
        <f t="shared" si="44"/>
        <v>4.6469719565811607</v>
      </c>
      <c r="CG50" s="54">
        <f t="shared" si="44"/>
        <v>5.5478103825058511</v>
      </c>
      <c r="CH50" s="54">
        <f t="shared" si="44"/>
        <v>5.3132342916947239</v>
      </c>
      <c r="CI50" s="54">
        <f t="shared" si="44"/>
        <v>5.3673466013019464</v>
      </c>
      <c r="CJ50" s="54">
        <f t="shared" si="44"/>
        <v>2.2121876044039577</v>
      </c>
      <c r="CK50" s="54">
        <f t="shared" si="44"/>
        <v>2.0413926851582249</v>
      </c>
      <c r="CL50" s="54">
        <f t="shared" si="44"/>
        <v>3.2100508498751372</v>
      </c>
      <c r="CM50" s="54">
        <f t="shared" si="44"/>
        <v>3.4094258686714434</v>
      </c>
      <c r="CN50" s="54">
        <f t="shared" si="44"/>
        <v>3.2100508498751372</v>
      </c>
      <c r="CO50" s="54">
        <f t="shared" si="44"/>
        <v>3.1122697684172707</v>
      </c>
      <c r="CP50" s="54">
        <f t="shared" si="44"/>
        <v>2.8375884382355112</v>
      </c>
      <c r="CQ50" s="76">
        <f t="shared" si="41"/>
        <v>4.0710468004035594</v>
      </c>
    </row>
    <row r="51" spans="1:97">
      <c r="A51" s="18" t="s">
        <v>115</v>
      </c>
      <c r="B51" s="28" t="s">
        <v>96</v>
      </c>
      <c r="C51" s="54">
        <f t="shared" ref="C51:AA51" si="45">LOG10(C20)</f>
        <v>2.4517864355242902</v>
      </c>
      <c r="D51" s="54">
        <f t="shared" si="45"/>
        <v>5.1745743729846643</v>
      </c>
      <c r="E51" s="54">
        <f t="shared" si="45"/>
        <v>5.5404508600295905</v>
      </c>
      <c r="F51" s="54">
        <f t="shared" si="45"/>
        <v>4.6682647446745609</v>
      </c>
      <c r="G51" s="95">
        <f t="shared" si="45"/>
        <v>3.1852587652965849</v>
      </c>
      <c r="H51" s="54">
        <f t="shared" si="45"/>
        <v>4.0310851480394811</v>
      </c>
      <c r="I51" s="101">
        <f t="shared" si="45"/>
        <v>2.6324572921847245</v>
      </c>
      <c r="J51" s="54">
        <f t="shared" si="45"/>
        <v>4.2706089708231785</v>
      </c>
      <c r="K51" s="54">
        <f t="shared" si="45"/>
        <v>4.0277979433502997</v>
      </c>
      <c r="L51" s="54">
        <f t="shared" si="45"/>
        <v>4.9696628121964173</v>
      </c>
      <c r="M51" s="54">
        <f t="shared" si="45"/>
        <v>3.6119356250401227</v>
      </c>
      <c r="N51" s="54">
        <f t="shared" si="45"/>
        <v>3.584218112117405</v>
      </c>
      <c r="O51" s="54">
        <f t="shared" si="45"/>
        <v>4.0421815945157666</v>
      </c>
      <c r="P51" s="54">
        <f t="shared" si="45"/>
        <v>4.6318291865006298</v>
      </c>
      <c r="Q51" s="54">
        <f t="shared" si="45"/>
        <v>3.4491697321652008</v>
      </c>
      <c r="R51" s="54">
        <f t="shared" si="45"/>
        <v>3.1522883443830563</v>
      </c>
      <c r="S51" s="54">
        <f t="shared" si="45"/>
        <v>3.3662361237182932</v>
      </c>
      <c r="T51" s="54">
        <f t="shared" si="45"/>
        <v>3.5956064348656032</v>
      </c>
      <c r="U51" s="54">
        <f t="shared" si="45"/>
        <v>4.031287248876998</v>
      </c>
      <c r="V51" s="54">
        <f t="shared" si="45"/>
        <v>4.5164560434577483</v>
      </c>
      <c r="W51" s="54">
        <f t="shared" si="45"/>
        <v>3.9666578842017577</v>
      </c>
      <c r="X51" s="54">
        <f t="shared" si="45"/>
        <v>4.6479596900461457</v>
      </c>
      <c r="Y51" s="54">
        <f t="shared" si="45"/>
        <v>5.3298085866699152</v>
      </c>
      <c r="Z51" s="54">
        <f t="shared" si="45"/>
        <v>2.0644579892269186</v>
      </c>
      <c r="AA51" s="54">
        <f t="shared" si="45"/>
        <v>4.1379235120404152</v>
      </c>
      <c r="AB51" s="77">
        <f t="shared" si="38"/>
        <v>4.0310851480394811</v>
      </c>
      <c r="AC51" s="54">
        <f t="shared" ref="AC51:BH51" si="46">LOG10(AC20)</f>
        <v>4.0083020242120018</v>
      </c>
      <c r="AD51" s="54">
        <f t="shared" si="46"/>
        <v>4.0129636998257778</v>
      </c>
      <c r="AE51" s="54">
        <f t="shared" si="46"/>
        <v>4.5452576213968889</v>
      </c>
      <c r="AF51" s="54">
        <f t="shared" si="46"/>
        <v>4.1886191672078485</v>
      </c>
      <c r="AG51" s="54">
        <f t="shared" si="46"/>
        <v>4.4548600981440503</v>
      </c>
      <c r="AH51" s="54">
        <f t="shared" si="46"/>
        <v>4.6746131640144348</v>
      </c>
      <c r="AI51" s="54">
        <f t="shared" si="46"/>
        <v>4.8790844052538631</v>
      </c>
      <c r="AJ51" s="54">
        <f t="shared" si="46"/>
        <v>5.1979060430265509</v>
      </c>
      <c r="AK51" s="54">
        <f t="shared" si="46"/>
        <v>2.8970770032094202</v>
      </c>
      <c r="AL51" s="54">
        <f t="shared" si="46"/>
        <v>3.8702282790117946</v>
      </c>
      <c r="AM51" s="54">
        <f t="shared" si="46"/>
        <v>4.6588886439657742</v>
      </c>
      <c r="AN51" s="54">
        <f t="shared" si="46"/>
        <v>4.5412796271827807</v>
      </c>
      <c r="AO51" s="54">
        <f t="shared" si="46"/>
        <v>2.847572659142112</v>
      </c>
      <c r="AP51" s="54">
        <f t="shared" si="46"/>
        <v>3.42845877351558</v>
      </c>
      <c r="AQ51" s="54">
        <f t="shared" si="46"/>
        <v>4.6168429595348668</v>
      </c>
      <c r="AR51" s="54">
        <f t="shared" si="46"/>
        <v>4.349180358996378</v>
      </c>
      <c r="AS51" s="54">
        <f t="shared" si="46"/>
        <v>4.9143748948987254</v>
      </c>
      <c r="AT51" s="54">
        <f t="shared" si="46"/>
        <v>4.9516774373433003</v>
      </c>
      <c r="AU51" s="54">
        <f t="shared" si="46"/>
        <v>4.1542717759930952</v>
      </c>
      <c r="AV51" s="54">
        <f t="shared" si="46"/>
        <v>4.632204133050827</v>
      </c>
      <c r="AW51" s="54">
        <f t="shared" si="46"/>
        <v>3.9617057840025054</v>
      </c>
      <c r="AX51" s="54">
        <f t="shared" si="46"/>
        <v>3.3178544893314692</v>
      </c>
      <c r="AY51" s="54">
        <f t="shared" si="46"/>
        <v>3.5787537844264348</v>
      </c>
      <c r="AZ51" s="54">
        <f t="shared" si="46"/>
        <v>3.497758718287268</v>
      </c>
      <c r="BA51" s="54">
        <f t="shared" si="46"/>
        <v>3.4684950245070691</v>
      </c>
      <c r="BB51" s="54">
        <f t="shared" si="46"/>
        <v>3.7741518589547103</v>
      </c>
      <c r="BC51" s="54">
        <f t="shared" si="46"/>
        <v>4.0633333589517493</v>
      </c>
      <c r="BD51" s="54">
        <f t="shared" si="46"/>
        <v>3.1798389280231869</v>
      </c>
      <c r="BE51" s="54">
        <f t="shared" si="46"/>
        <v>4.8394026206541367</v>
      </c>
      <c r="BF51" s="54">
        <f t="shared" si="46"/>
        <v>4.7178701327377484</v>
      </c>
      <c r="BG51" s="54">
        <f t="shared" si="46"/>
        <v>4.7327555211782499</v>
      </c>
      <c r="BH51" s="54">
        <f t="shared" si="46"/>
        <v>4.1297543228027722</v>
      </c>
      <c r="BI51" s="54">
        <f t="shared" ref="BI51:CP51" si="47">LOG10(BI20)</f>
        <v>5.0048585346203289</v>
      </c>
      <c r="BJ51" s="54">
        <f t="shared" si="47"/>
        <v>3.1705550585212086</v>
      </c>
      <c r="BK51" s="54">
        <f t="shared" si="47"/>
        <v>3.1420764610732848</v>
      </c>
      <c r="BL51" s="54">
        <f t="shared" si="47"/>
        <v>3.2762319579218335</v>
      </c>
      <c r="BM51" s="54">
        <f t="shared" si="47"/>
        <v>4.3490831687795906</v>
      </c>
      <c r="BN51" s="54">
        <f t="shared" si="47"/>
        <v>4.3768141119681969</v>
      </c>
      <c r="BO51" s="54">
        <f t="shared" si="47"/>
        <v>2.5390760987927767</v>
      </c>
      <c r="BP51" s="54">
        <f t="shared" si="47"/>
        <v>3.1072099696478683</v>
      </c>
      <c r="BQ51" s="54">
        <f t="shared" si="47"/>
        <v>3.3283796034387376</v>
      </c>
      <c r="BR51" s="54">
        <f t="shared" si="47"/>
        <v>3.1844074854123203</v>
      </c>
      <c r="BS51" s="54">
        <f t="shared" si="47"/>
        <v>3.2281436075977417</v>
      </c>
      <c r="BT51" s="54">
        <f t="shared" si="47"/>
        <v>3.9593276459721709</v>
      </c>
      <c r="BU51" s="54">
        <f t="shared" si="47"/>
        <v>3.7871060930365701</v>
      </c>
      <c r="BV51" s="54">
        <f t="shared" si="47"/>
        <v>3.4835872969688944</v>
      </c>
      <c r="BW51" s="54">
        <f t="shared" si="47"/>
        <v>4.4661704111578828</v>
      </c>
      <c r="BX51" s="54">
        <f t="shared" si="47"/>
        <v>4.3114783674380677</v>
      </c>
      <c r="BY51" s="54">
        <f t="shared" si="47"/>
        <v>4.5589004814871963</v>
      </c>
      <c r="BZ51" s="54">
        <f t="shared" si="47"/>
        <v>4.3444905192418926</v>
      </c>
      <c r="CA51" s="54">
        <f t="shared" si="47"/>
        <v>4.540604732747191</v>
      </c>
      <c r="CB51" s="54">
        <f t="shared" si="47"/>
        <v>4.5896257134868232</v>
      </c>
      <c r="CC51" s="54">
        <f t="shared" si="47"/>
        <v>4.7816046016387794</v>
      </c>
      <c r="CD51" s="54">
        <f t="shared" si="47"/>
        <v>5.2629112454805043</v>
      </c>
      <c r="CE51" s="54">
        <f t="shared" si="47"/>
        <v>4.9559089292668101</v>
      </c>
      <c r="CF51" s="54">
        <f t="shared" si="47"/>
        <v>4.5606716490928418</v>
      </c>
      <c r="CG51" s="54">
        <f t="shared" si="47"/>
        <v>5.5370757527751406</v>
      </c>
      <c r="CH51" s="54">
        <f t="shared" si="47"/>
        <v>5.549482684151898</v>
      </c>
      <c r="CI51" s="54">
        <f t="shared" si="47"/>
        <v>5.6500276190574299</v>
      </c>
      <c r="CJ51" s="54">
        <f t="shared" si="47"/>
        <v>2.8836614351536176</v>
      </c>
      <c r="CK51" s="54">
        <f t="shared" si="47"/>
        <v>2.8762178405916421</v>
      </c>
      <c r="CL51" s="54">
        <f t="shared" si="47"/>
        <v>3.7691556907143986</v>
      </c>
      <c r="CM51" s="54">
        <f t="shared" si="47"/>
        <v>3.327563260187278</v>
      </c>
      <c r="CN51" s="54">
        <f t="shared" si="47"/>
        <v>3.7691556907143986</v>
      </c>
      <c r="CO51" s="54">
        <f t="shared" si="47"/>
        <v>3.0464951643347082</v>
      </c>
      <c r="CP51" s="54">
        <f t="shared" si="47"/>
        <v>2.6981005456233897</v>
      </c>
      <c r="CQ51" s="76">
        <f t="shared" si="41"/>
        <v>4.1420130493979332</v>
      </c>
    </row>
    <row r="52" spans="1:97">
      <c r="A52" s="18" t="s">
        <v>155</v>
      </c>
      <c r="B52" s="28" t="s">
        <v>96</v>
      </c>
      <c r="C52" s="54">
        <f t="shared" ref="C52:AA52" si="48">LOG10(C21)</f>
        <v>2.2922560713564759</v>
      </c>
      <c r="D52" s="54">
        <f t="shared" si="48"/>
        <v>5.3050352084095174</v>
      </c>
      <c r="E52" s="54">
        <f t="shared" si="48"/>
        <v>5.7077915247105233</v>
      </c>
      <c r="F52" s="54">
        <f t="shared" si="48"/>
        <v>4.8554040554075915</v>
      </c>
      <c r="G52" s="95">
        <f t="shared" si="48"/>
        <v>3.1451964061141817</v>
      </c>
      <c r="H52" s="54">
        <f t="shared" si="48"/>
        <v>4.2335798566790164</v>
      </c>
      <c r="I52" s="101">
        <f t="shared" si="48"/>
        <v>2.8149131812750738</v>
      </c>
      <c r="J52" s="54">
        <f t="shared" si="48"/>
        <v>4.4542654143162768</v>
      </c>
      <c r="K52" s="54">
        <f t="shared" si="48"/>
        <v>4.2150027072149525</v>
      </c>
      <c r="L52" s="54">
        <f t="shared" si="48"/>
        <v>5.0330053444963658</v>
      </c>
      <c r="M52" s="54">
        <f t="shared" si="48"/>
        <v>3.6881527555915663</v>
      </c>
      <c r="N52" s="54">
        <f t="shared" si="48"/>
        <v>3.6420686273415042</v>
      </c>
      <c r="O52" s="54">
        <f t="shared" si="48"/>
        <v>4.2296562496672125</v>
      </c>
      <c r="P52" s="54">
        <f t="shared" si="48"/>
        <v>4.7460111077519258</v>
      </c>
      <c r="Q52" s="54">
        <f t="shared" si="48"/>
        <v>3.2723058444020863</v>
      </c>
      <c r="R52" s="54">
        <f t="shared" si="48"/>
        <v>3.4000196350651586</v>
      </c>
      <c r="S52" s="54">
        <f t="shared" si="48"/>
        <v>3.5567847823070253</v>
      </c>
      <c r="T52" s="54">
        <f t="shared" si="48"/>
        <v>4.0343476584468485</v>
      </c>
      <c r="U52" s="54">
        <f t="shared" si="48"/>
        <v>4.1836114492184322</v>
      </c>
      <c r="V52" s="54">
        <f t="shared" si="48"/>
        <v>4.7900669061366488</v>
      </c>
      <c r="W52" s="54">
        <f t="shared" si="48"/>
        <v>4.2238851518758853</v>
      </c>
      <c r="X52" s="54">
        <f t="shared" si="48"/>
        <v>4.8660154506453628</v>
      </c>
      <c r="Y52" s="54">
        <f t="shared" si="48"/>
        <v>5.4315149366649251</v>
      </c>
      <c r="Z52" s="54">
        <f t="shared" si="48"/>
        <v>2.12057393120585</v>
      </c>
      <c r="AA52" s="54">
        <f t="shared" si="48"/>
        <v>4.1919816808003292</v>
      </c>
      <c r="AB52" s="77">
        <f t="shared" si="38"/>
        <v>4.2150027072149525</v>
      </c>
      <c r="AC52" s="54">
        <f t="shared" ref="AC52:BH52" si="49">LOG10(AC21)</f>
        <v>4.0184508323863559</v>
      </c>
      <c r="AD52" s="54">
        <f t="shared" si="49"/>
        <v>4.107006346381544</v>
      </c>
      <c r="AE52" s="54">
        <f t="shared" si="49"/>
        <v>4.646589952546603</v>
      </c>
      <c r="AF52" s="54">
        <f t="shared" si="49"/>
        <v>4.168762575622357</v>
      </c>
      <c r="AG52" s="54">
        <f t="shared" si="49"/>
        <v>4.4380991265033893</v>
      </c>
      <c r="AH52" s="54">
        <f t="shared" si="49"/>
        <v>4.8346686195072364</v>
      </c>
      <c r="AI52" s="54">
        <f t="shared" si="49"/>
        <v>4.9741062234071682</v>
      </c>
      <c r="AJ52" s="54">
        <f t="shared" si="49"/>
        <v>5.2112700880226095</v>
      </c>
      <c r="AK52" s="54">
        <f t="shared" si="49"/>
        <v>2.7774268223893115</v>
      </c>
      <c r="AL52" s="54">
        <f t="shared" si="49"/>
        <v>3.8816699076720615</v>
      </c>
      <c r="AM52" s="54">
        <f t="shared" si="49"/>
        <v>4.6137572794421047</v>
      </c>
      <c r="AN52" s="54">
        <f t="shared" si="49"/>
        <v>4.4184007366848874</v>
      </c>
      <c r="AO52" s="54">
        <f t="shared" si="49"/>
        <v>2.9242792860618816</v>
      </c>
      <c r="AP52" s="54">
        <f t="shared" si="49"/>
        <v>3.0633333589517497</v>
      </c>
      <c r="AQ52" s="54">
        <f t="shared" si="49"/>
        <v>4.4951556574241911</v>
      </c>
      <c r="AR52" s="54">
        <f t="shared" si="49"/>
        <v>4.2221700086817648</v>
      </c>
      <c r="AS52" s="54">
        <f t="shared" si="49"/>
        <v>4.7912062704511627</v>
      </c>
      <c r="AT52" s="54">
        <f t="shared" si="49"/>
        <v>4.705239178856508</v>
      </c>
      <c r="AU52" s="54">
        <f t="shared" si="49"/>
        <v>4.0379441552030988</v>
      </c>
      <c r="AV52" s="54">
        <f t="shared" si="49"/>
        <v>4.440373751816356</v>
      </c>
      <c r="AW52" s="54">
        <f t="shared" si="49"/>
        <v>3.7663384752512874</v>
      </c>
      <c r="AX52" s="54">
        <f t="shared" si="49"/>
        <v>3.0622058088197126</v>
      </c>
      <c r="AY52" s="54">
        <f t="shared" si="49"/>
        <v>3.5203525040833181</v>
      </c>
      <c r="AZ52" s="54">
        <f t="shared" si="49"/>
        <v>3.4586378490256493</v>
      </c>
      <c r="BA52" s="54">
        <f t="shared" si="49"/>
        <v>2.9907826918031377</v>
      </c>
      <c r="BB52" s="54">
        <f t="shared" si="49"/>
        <v>3.6148972160331345</v>
      </c>
      <c r="BC52" s="54">
        <f t="shared" si="49"/>
        <v>3.9132308711135604</v>
      </c>
      <c r="BD52" s="54">
        <f t="shared" si="49"/>
        <v>3.0170333392987803</v>
      </c>
      <c r="BE52" s="54">
        <f t="shared" si="49"/>
        <v>4.7773253059721288</v>
      </c>
      <c r="BF52" s="54">
        <f t="shared" si="49"/>
        <v>4.5076400195632047</v>
      </c>
      <c r="BG52" s="54">
        <f t="shared" si="49"/>
        <v>4.4995633735344027</v>
      </c>
      <c r="BH52" s="54">
        <f t="shared" si="49"/>
        <v>4.1652443261253111</v>
      </c>
      <c r="BI52" s="54">
        <f t="shared" ref="BI52:CP52" si="50">LOG10(BI21)</f>
        <v>4.7941533087799968</v>
      </c>
      <c r="BJ52" s="54">
        <f t="shared" si="50"/>
        <v>3.0064660422492318</v>
      </c>
      <c r="BK52" s="54">
        <f t="shared" si="50"/>
        <v>3.271841606536499</v>
      </c>
      <c r="BL52" s="54">
        <f t="shared" si="50"/>
        <v>3.237040791379191</v>
      </c>
      <c r="BM52" s="54">
        <f t="shared" si="50"/>
        <v>4.3388945514383552</v>
      </c>
      <c r="BN52" s="54">
        <f t="shared" si="50"/>
        <v>4.1012313867906993</v>
      </c>
      <c r="BO52" s="54">
        <f t="shared" si="50"/>
        <v>2.4116197059632301</v>
      </c>
      <c r="BP52" s="54">
        <f t="shared" si="50"/>
        <v>2.9590413923210934</v>
      </c>
      <c r="BQ52" s="54">
        <f t="shared" si="50"/>
        <v>3.5705429398818973</v>
      </c>
      <c r="BR52" s="54">
        <f t="shared" si="50"/>
        <v>2.741939077729199</v>
      </c>
      <c r="BS52" s="54">
        <f t="shared" si="50"/>
        <v>3.0220157398177201</v>
      </c>
      <c r="BT52" s="54">
        <f t="shared" si="50"/>
        <v>3.9883359558560505</v>
      </c>
      <c r="BU52" s="54">
        <f t="shared" si="50"/>
        <v>3.0017337128090005</v>
      </c>
      <c r="BV52" s="54">
        <f t="shared" si="50"/>
        <v>3.7138264243805246</v>
      </c>
      <c r="BW52" s="54">
        <f t="shared" si="50"/>
        <v>4.5426387273151629</v>
      </c>
      <c r="BX52" s="54">
        <f t="shared" si="50"/>
        <v>4.17539583139403</v>
      </c>
      <c r="BY52" s="54">
        <f t="shared" si="50"/>
        <v>4.4591511460014761</v>
      </c>
      <c r="BZ52" s="54">
        <f t="shared" si="50"/>
        <v>4.5235123528028929</v>
      </c>
      <c r="CA52" s="54">
        <f t="shared" si="50"/>
        <v>4.6603436319308198</v>
      </c>
      <c r="CB52" s="54">
        <f t="shared" si="50"/>
        <v>4.5966300787649823</v>
      </c>
      <c r="CC52" s="54">
        <f t="shared" si="50"/>
        <v>4.6256724985186635</v>
      </c>
      <c r="CD52" s="54">
        <f t="shared" si="50"/>
        <v>5.185425987500853</v>
      </c>
      <c r="CE52" s="54">
        <f t="shared" si="50"/>
        <v>4.7759088546638981</v>
      </c>
      <c r="CF52" s="54">
        <f t="shared" si="50"/>
        <v>4.6034258688165481</v>
      </c>
      <c r="CG52" s="54">
        <f t="shared" si="50"/>
        <v>5.5270289475093426</v>
      </c>
      <c r="CH52" s="54">
        <f t="shared" si="50"/>
        <v>5.3793472225250563</v>
      </c>
      <c r="CI52" s="54">
        <f t="shared" si="50"/>
        <v>5.4480659978597332</v>
      </c>
      <c r="CJ52" s="54">
        <f t="shared" si="50"/>
        <v>2.5211380837040362</v>
      </c>
      <c r="CK52" s="54">
        <f t="shared" si="50"/>
        <v>2.7566361082458481</v>
      </c>
      <c r="CL52" s="54">
        <f t="shared" si="50"/>
        <v>3.2915908256580013</v>
      </c>
      <c r="CM52" s="54">
        <f t="shared" si="50"/>
        <v>3.5828584622244994</v>
      </c>
      <c r="CN52" s="54">
        <f t="shared" si="50"/>
        <v>3.2915908256580013</v>
      </c>
      <c r="CO52" s="54">
        <f t="shared" si="50"/>
        <v>2.9294189257142929</v>
      </c>
      <c r="CP52" s="54">
        <f t="shared" si="50"/>
        <v>2.7671558660821804</v>
      </c>
      <c r="CQ52" s="76">
        <f t="shared" si="41"/>
        <v>4.1041188665861217</v>
      </c>
    </row>
    <row r="53" spans="1:97">
      <c r="A53" s="18" t="s">
        <v>156</v>
      </c>
      <c r="B53" s="28" t="s">
        <v>96</v>
      </c>
      <c r="C53" s="54">
        <f t="shared" ref="C53:AA53" si="51">LOG10(C22)</f>
        <v>2.655138434811382</v>
      </c>
      <c r="D53" s="54">
        <f t="shared" si="51"/>
        <v>5.1778163204940126</v>
      </c>
      <c r="E53" s="54">
        <f t="shared" si="51"/>
        <v>5.6723435806041289</v>
      </c>
      <c r="F53" s="54">
        <f t="shared" si="51"/>
        <v>4.7702258820173142</v>
      </c>
      <c r="G53" s="95">
        <f t="shared" si="51"/>
        <v>3.1439511164239633</v>
      </c>
      <c r="H53" s="54">
        <f t="shared" si="51"/>
        <v>4.1594167882167392</v>
      </c>
      <c r="I53" s="101">
        <f t="shared" si="51"/>
        <v>2.7363965022766426</v>
      </c>
      <c r="J53" s="54">
        <f t="shared" si="51"/>
        <v>4.3446083845805674</v>
      </c>
      <c r="K53" s="54">
        <f t="shared" si="51"/>
        <v>4.1860517905262791</v>
      </c>
      <c r="L53" s="54">
        <f t="shared" si="51"/>
        <v>4.8383074585565522</v>
      </c>
      <c r="M53" s="54">
        <f t="shared" si="51"/>
        <v>3.6200318951262975</v>
      </c>
      <c r="N53" s="54">
        <f t="shared" si="51"/>
        <v>3.5453071164658239</v>
      </c>
      <c r="O53" s="54">
        <f t="shared" si="51"/>
        <v>4.0841471331544481</v>
      </c>
      <c r="P53" s="54">
        <f t="shared" si="51"/>
        <v>4.6284706719067366</v>
      </c>
      <c r="Q53" s="54">
        <f t="shared" si="51"/>
        <v>3.1568519010700111</v>
      </c>
      <c r="R53" s="54">
        <f t="shared" si="51"/>
        <v>3.5141491344754372</v>
      </c>
      <c r="S53" s="54">
        <f t="shared" si="51"/>
        <v>3.6844862921887342</v>
      </c>
      <c r="T53" s="54">
        <f t="shared" si="51"/>
        <v>3.8948696567452528</v>
      </c>
      <c r="U53" s="54">
        <f t="shared" si="51"/>
        <v>4.0483252509312218</v>
      </c>
      <c r="V53" s="54">
        <f t="shared" si="51"/>
        <v>4.7687046830317161</v>
      </c>
      <c r="W53" s="54">
        <f t="shared" si="51"/>
        <v>4.2489046505616797</v>
      </c>
      <c r="X53" s="54">
        <f t="shared" si="51"/>
        <v>4.9109337428525235</v>
      </c>
      <c r="Y53" s="54">
        <f t="shared" si="51"/>
        <v>5.3027074714828117</v>
      </c>
      <c r="Z53" s="54">
        <f t="shared" si="51"/>
        <v>2.0170333392987803</v>
      </c>
      <c r="AA53" s="54">
        <f t="shared" si="51"/>
        <v>3.9883805652220086</v>
      </c>
      <c r="AB53" s="77">
        <f t="shared" si="38"/>
        <v>4.0841471331544481</v>
      </c>
      <c r="AC53" s="54">
        <f t="shared" ref="AC53:BH53" si="52">LOG10(AC22)</f>
        <v>4.0960057397151131</v>
      </c>
      <c r="AD53" s="54">
        <f t="shared" si="52"/>
        <v>4.037067758042558</v>
      </c>
      <c r="AE53" s="54">
        <f t="shared" si="52"/>
        <v>4.5445145176704393</v>
      </c>
      <c r="AF53" s="54">
        <f t="shared" si="52"/>
        <v>4.2214142378423389</v>
      </c>
      <c r="AG53" s="54">
        <f t="shared" si="52"/>
        <v>4.3089910290001638</v>
      </c>
      <c r="AH53" s="54">
        <f t="shared" si="52"/>
        <v>4.6770865825738692</v>
      </c>
      <c r="AI53" s="54">
        <f t="shared" si="52"/>
        <v>4.7835748768504169</v>
      </c>
      <c r="AJ53" s="54">
        <f t="shared" si="52"/>
        <v>5.1294417450948506</v>
      </c>
      <c r="AK53" s="54">
        <f t="shared" si="52"/>
        <v>2.8228216453031045</v>
      </c>
      <c r="AL53" s="54">
        <f t="shared" si="52"/>
        <v>3.8261396179359148</v>
      </c>
      <c r="AM53" s="54">
        <f t="shared" si="52"/>
        <v>4.5778133803642502</v>
      </c>
      <c r="AN53" s="54">
        <f t="shared" si="52"/>
        <v>4.3659557226656798</v>
      </c>
      <c r="AO53" s="54">
        <f t="shared" si="52"/>
        <v>2.8494194137968996</v>
      </c>
      <c r="AP53" s="54">
        <f t="shared" si="52"/>
        <v>3.3577443251803754</v>
      </c>
      <c r="AQ53" s="54">
        <f t="shared" si="52"/>
        <v>4.5373404780963122</v>
      </c>
      <c r="AR53" s="54">
        <f t="shared" si="52"/>
        <v>4.1483249630388173</v>
      </c>
      <c r="AS53" s="54">
        <f t="shared" si="52"/>
        <v>4.7193147105421165</v>
      </c>
      <c r="AT53" s="54">
        <f t="shared" si="52"/>
        <v>4.7087777078901549</v>
      </c>
      <c r="AU53" s="54">
        <f t="shared" si="52"/>
        <v>4.022304622935069</v>
      </c>
      <c r="AV53" s="54">
        <f t="shared" si="52"/>
        <v>4.3742716432759794</v>
      </c>
      <c r="AW53" s="54">
        <f t="shared" si="52"/>
        <v>3.6907275438703668</v>
      </c>
      <c r="AX53" s="54">
        <f t="shared" si="52"/>
        <v>3.372175286115064</v>
      </c>
      <c r="AY53" s="54">
        <f t="shared" si="52"/>
        <v>3.2516382204482119</v>
      </c>
      <c r="AZ53" s="54">
        <f t="shared" si="52"/>
        <v>2.9415114326344032</v>
      </c>
      <c r="BA53" s="54">
        <f t="shared" si="52"/>
        <v>3.2711443179490782</v>
      </c>
      <c r="BB53" s="54">
        <f t="shared" si="52"/>
        <v>3.4933186082321015</v>
      </c>
      <c r="BC53" s="54">
        <f t="shared" si="52"/>
        <v>3.8101652845431495</v>
      </c>
      <c r="BD53" s="54">
        <f t="shared" si="52"/>
        <v>3.0318122713303706</v>
      </c>
      <c r="BE53" s="54">
        <f t="shared" si="52"/>
        <v>4.6211347205058608</v>
      </c>
      <c r="BF53" s="54">
        <f t="shared" si="52"/>
        <v>4.4142712280965801</v>
      </c>
      <c r="BG53" s="54">
        <f t="shared" si="52"/>
        <v>4.448737229444391</v>
      </c>
      <c r="BH53" s="54">
        <f t="shared" si="52"/>
        <v>4.0402066275747108</v>
      </c>
      <c r="BI53" s="54">
        <f t="shared" ref="BI53:CP53" si="53">LOG10(BI22)</f>
        <v>4.7814250416807491</v>
      </c>
      <c r="BJ53" s="54">
        <f t="shared" si="53"/>
        <v>3.0884904701823963</v>
      </c>
      <c r="BK53" s="54">
        <f t="shared" si="53"/>
        <v>3.0969100130080562</v>
      </c>
      <c r="BL53" s="54">
        <f t="shared" si="53"/>
        <v>3.0813473078041325</v>
      </c>
      <c r="BM53" s="54">
        <f t="shared" si="53"/>
        <v>4.1839527862665795</v>
      </c>
      <c r="BN53" s="54">
        <f t="shared" si="53"/>
        <v>4.1316507380895411</v>
      </c>
      <c r="BO53" s="54">
        <f t="shared" si="53"/>
        <v>2.5538830266438746</v>
      </c>
      <c r="BP53" s="54">
        <f t="shared" si="53"/>
        <v>3.0958664534785427</v>
      </c>
      <c r="BQ53" s="54">
        <f t="shared" si="53"/>
        <v>3.4583356259919475</v>
      </c>
      <c r="BR53" s="54">
        <f t="shared" si="53"/>
        <v>3.3488887230714379</v>
      </c>
      <c r="BS53" s="54">
        <f t="shared" si="53"/>
        <v>3.3310221710418286</v>
      </c>
      <c r="BT53" s="54">
        <f t="shared" si="53"/>
        <v>3.886547123391106</v>
      </c>
      <c r="BU53" s="54">
        <f t="shared" si="53"/>
        <v>3.6511810624446879</v>
      </c>
      <c r="BV53" s="54">
        <f t="shared" si="53"/>
        <v>3.6227319651647192</v>
      </c>
      <c r="BW53" s="54">
        <f t="shared" si="53"/>
        <v>4.5094175994591357</v>
      </c>
      <c r="BX53" s="54">
        <f t="shared" si="53"/>
        <v>4.2267287568569909</v>
      </c>
      <c r="BY53" s="54">
        <f t="shared" si="53"/>
        <v>4.6292770476967871</v>
      </c>
      <c r="BZ53" s="54">
        <f t="shared" si="53"/>
        <v>4.5251225841582485</v>
      </c>
      <c r="CA53" s="54">
        <f t="shared" si="53"/>
        <v>4.5400164697453222</v>
      </c>
      <c r="CB53" s="54">
        <f t="shared" si="53"/>
        <v>4.6519560695330746</v>
      </c>
      <c r="CC53" s="54">
        <f t="shared" si="53"/>
        <v>4.7833532195946198</v>
      </c>
      <c r="CD53" s="54">
        <f t="shared" si="53"/>
        <v>5.1351103792937982</v>
      </c>
      <c r="CE53" s="54">
        <f t="shared" si="53"/>
        <v>4.7725490649187723</v>
      </c>
      <c r="CF53" s="54">
        <f t="shared" si="53"/>
        <v>4.5496774897105556</v>
      </c>
      <c r="CG53" s="54">
        <f t="shared" si="53"/>
        <v>5.4702546227410211</v>
      </c>
      <c r="CH53" s="54">
        <f t="shared" si="53"/>
        <v>5.3638224958836167</v>
      </c>
      <c r="CI53" s="54">
        <f t="shared" si="53"/>
        <v>5.5236671423119628</v>
      </c>
      <c r="CJ53" s="54">
        <f t="shared" si="53"/>
        <v>2.2253092817258628</v>
      </c>
      <c r="CK53" s="54">
        <f t="shared" si="53"/>
        <v>2.5786392099680722</v>
      </c>
      <c r="CL53" s="54">
        <f t="shared" si="53"/>
        <v>3.2709116394104814</v>
      </c>
      <c r="CM53" s="54">
        <f t="shared" si="53"/>
        <v>3.4850112145785732</v>
      </c>
      <c r="CN53" s="54">
        <f t="shared" si="53"/>
        <v>3.2709116394104814</v>
      </c>
      <c r="CO53" s="54">
        <f t="shared" si="53"/>
        <v>3.1367205671564067</v>
      </c>
      <c r="CP53" s="54">
        <f t="shared" si="53"/>
        <v>2.6693168805661123</v>
      </c>
      <c r="CQ53" s="76">
        <f t="shared" si="41"/>
        <v>4.0681061836449119</v>
      </c>
    </row>
    <row r="54" spans="1:97">
      <c r="A54" s="18" t="s">
        <v>157</v>
      </c>
      <c r="B54" s="28" t="s">
        <v>96</v>
      </c>
      <c r="C54" s="54">
        <f t="shared" ref="C54:AA54" si="54">LOG10(C23)</f>
        <v>2.4517864355242902</v>
      </c>
      <c r="D54" s="54">
        <f t="shared" si="54"/>
        <v>4.9836172674154637</v>
      </c>
      <c r="E54" s="54">
        <f t="shared" si="54"/>
        <v>5.6735130130436966</v>
      </c>
      <c r="F54" s="54">
        <f t="shared" si="54"/>
        <v>4.8518818169990716</v>
      </c>
      <c r="G54" s="95">
        <f t="shared" si="54"/>
        <v>2.8512583487190755</v>
      </c>
      <c r="H54" s="54">
        <f t="shared" si="54"/>
        <v>4.3265201921035406</v>
      </c>
      <c r="I54" s="101">
        <f t="shared" si="54"/>
        <v>2.4969296480732148</v>
      </c>
      <c r="J54" s="54">
        <f t="shared" si="54"/>
        <v>4.0847192320112979</v>
      </c>
      <c r="K54" s="54">
        <f t="shared" si="54"/>
        <v>3.8194123112093252</v>
      </c>
      <c r="L54" s="54">
        <f t="shared" si="54"/>
        <v>4.4485826597442495</v>
      </c>
      <c r="M54" s="54">
        <f t="shared" si="54"/>
        <v>3.4488608456074408</v>
      </c>
      <c r="N54" s="54">
        <f t="shared" si="54"/>
        <v>3.2669369111591728</v>
      </c>
      <c r="O54" s="54">
        <f t="shared" si="54"/>
        <v>4.0772588636929479</v>
      </c>
      <c r="P54" s="54">
        <f t="shared" si="54"/>
        <v>4.4447784148194787</v>
      </c>
      <c r="Q54" s="54">
        <f t="shared" si="54"/>
        <v>3.2716093013788319</v>
      </c>
      <c r="R54" s="54">
        <f t="shared" si="54"/>
        <v>3.4554539687786283</v>
      </c>
      <c r="S54" s="54">
        <f t="shared" si="54"/>
        <v>3.8279505283026301</v>
      </c>
      <c r="T54" s="54">
        <f t="shared" si="54"/>
        <v>4.1926510706679796</v>
      </c>
      <c r="U54" s="54">
        <f t="shared" si="54"/>
        <v>4.0848978584613551</v>
      </c>
      <c r="V54" s="54">
        <f t="shared" si="54"/>
        <v>5.0124280362245672</v>
      </c>
      <c r="W54" s="54">
        <f t="shared" si="54"/>
        <v>4.5222616088453931</v>
      </c>
      <c r="X54" s="54">
        <f t="shared" si="54"/>
        <v>4.8428026323056006</v>
      </c>
      <c r="Y54" s="54">
        <f t="shared" si="54"/>
        <v>5.1686212133061931</v>
      </c>
      <c r="Z54" s="54">
        <f t="shared" si="54"/>
        <v>1.8512583487190752</v>
      </c>
      <c r="AA54" s="54">
        <f t="shared" si="54"/>
        <v>3.7917608040129047</v>
      </c>
      <c r="AB54" s="77">
        <f t="shared" si="38"/>
        <v>4.0847192320112979</v>
      </c>
      <c r="AC54" s="54">
        <f t="shared" ref="AC54:BH54" si="55">LOG10(AC23)</f>
        <v>4.1902476330381964</v>
      </c>
      <c r="AD54" s="54">
        <f t="shared" si="55"/>
        <v>3.8763910618191875</v>
      </c>
      <c r="AE54" s="54">
        <f t="shared" si="55"/>
        <v>4.4987239707479043</v>
      </c>
      <c r="AF54" s="54">
        <f t="shared" si="55"/>
        <v>4.2417705426461243</v>
      </c>
      <c r="AG54" s="54">
        <f t="shared" si="55"/>
        <v>4.2463508364562559</v>
      </c>
      <c r="AH54" s="54">
        <f t="shared" si="55"/>
        <v>4.7249800027309918</v>
      </c>
      <c r="AI54" s="54">
        <f t="shared" si="55"/>
        <v>4.7862757085899892</v>
      </c>
      <c r="AJ54" s="54">
        <f t="shared" si="55"/>
        <v>5.1587031589792254</v>
      </c>
      <c r="AK54" s="54">
        <f t="shared" si="55"/>
        <v>2.6532125137753435</v>
      </c>
      <c r="AL54" s="54">
        <f t="shared" si="55"/>
        <v>3.7782236267660965</v>
      </c>
      <c r="AM54" s="54">
        <f t="shared" si="55"/>
        <v>4.3228599233832607</v>
      </c>
      <c r="AN54" s="54">
        <f t="shared" si="55"/>
        <v>4.0029863408567854</v>
      </c>
      <c r="AO54" s="54">
        <f t="shared" si="55"/>
        <v>2.4653828514484184</v>
      </c>
      <c r="AP54" s="54">
        <f t="shared" si="55"/>
        <v>3.1058506743851435</v>
      </c>
      <c r="AQ54" s="54">
        <f t="shared" si="55"/>
        <v>4.3634239329171765</v>
      </c>
      <c r="AR54" s="54">
        <f t="shared" si="55"/>
        <v>4.01000297412706</v>
      </c>
      <c r="AS54" s="54">
        <f t="shared" si="55"/>
        <v>4.4165905855631928</v>
      </c>
      <c r="AT54" s="54">
        <f t="shared" si="55"/>
        <v>4.4581239446610619</v>
      </c>
      <c r="AU54" s="54">
        <f t="shared" si="55"/>
        <v>3.7184186418296554</v>
      </c>
      <c r="AV54" s="54">
        <f t="shared" si="55"/>
        <v>4.1134419539653218</v>
      </c>
      <c r="AW54" s="54">
        <f t="shared" si="55"/>
        <v>3.2940250940953226</v>
      </c>
      <c r="AX54" s="54">
        <f t="shared" si="55"/>
        <v>2.8202014594856402</v>
      </c>
      <c r="AY54" s="54">
        <f t="shared" si="55"/>
        <v>2.8721562727482928</v>
      </c>
      <c r="AZ54" s="54">
        <f t="shared" si="55"/>
        <v>2.7649229846498886</v>
      </c>
      <c r="BA54" s="54">
        <f t="shared" si="55"/>
        <v>3.0468851908377101</v>
      </c>
      <c r="BB54" s="54">
        <f t="shared" si="55"/>
        <v>3.3469394626989906</v>
      </c>
      <c r="BC54" s="54">
        <f t="shared" si="55"/>
        <v>3.7103712642607629</v>
      </c>
      <c r="BD54" s="54">
        <f t="shared" si="55"/>
        <v>2.8254261177678233</v>
      </c>
      <c r="BE54" s="54">
        <f t="shared" si="55"/>
        <v>4.4183675907599023</v>
      </c>
      <c r="BF54" s="54">
        <f t="shared" si="55"/>
        <v>4.4973996488315899</v>
      </c>
      <c r="BG54" s="54">
        <f t="shared" si="55"/>
        <v>4.3181677201289661</v>
      </c>
      <c r="BH54" s="54">
        <f t="shared" si="55"/>
        <v>3.8456560599835443</v>
      </c>
      <c r="BI54" s="54">
        <f t="shared" ref="BI54:CP54" si="56">LOG10(BI23)</f>
        <v>4.6056174533523677</v>
      </c>
      <c r="BJ54" s="54">
        <f t="shared" si="56"/>
        <v>2.8615344108590377</v>
      </c>
      <c r="BK54" s="54">
        <f t="shared" si="56"/>
        <v>2.9132839017604186</v>
      </c>
      <c r="BL54" s="54">
        <f t="shared" si="56"/>
        <v>2.7291647896927702</v>
      </c>
      <c r="BM54" s="54">
        <f t="shared" si="56"/>
        <v>4.2153202513299304</v>
      </c>
      <c r="BN54" s="54">
        <f t="shared" si="56"/>
        <v>4.2452411489044595</v>
      </c>
      <c r="BO54" s="54">
        <f t="shared" si="56"/>
        <v>2.2304489213782741</v>
      </c>
      <c r="BP54" s="54">
        <f t="shared" si="56"/>
        <v>3.2909245593827543</v>
      </c>
      <c r="BQ54" s="54">
        <f t="shared" si="56"/>
        <v>3.5794405971397971</v>
      </c>
      <c r="BR54" s="54">
        <f t="shared" si="56"/>
        <v>3.629919035503542</v>
      </c>
      <c r="BS54" s="54">
        <f t="shared" si="56"/>
        <v>3.357934847000454</v>
      </c>
      <c r="BT54" s="54">
        <f t="shared" si="56"/>
        <v>3.9250025076809774</v>
      </c>
      <c r="BU54" s="54">
        <f t="shared" si="56"/>
        <v>3.553640336231354</v>
      </c>
      <c r="BV54" s="54">
        <f t="shared" si="56"/>
        <v>3.7967130632808965</v>
      </c>
      <c r="BW54" s="54">
        <f t="shared" si="56"/>
        <v>4.6083120426973272</v>
      </c>
      <c r="BX54" s="54">
        <f t="shared" si="56"/>
        <v>4.2449941661396693</v>
      </c>
      <c r="BY54" s="54">
        <f t="shared" si="56"/>
        <v>4.6352424050571575</v>
      </c>
      <c r="BZ54" s="54">
        <f t="shared" si="56"/>
        <v>4.5009085345095095</v>
      </c>
      <c r="CA54" s="54">
        <f t="shared" si="56"/>
        <v>4.5955623530058514</v>
      </c>
      <c r="CB54" s="54">
        <f t="shared" si="56"/>
        <v>4.5471837614500821</v>
      </c>
      <c r="CC54" s="54">
        <f t="shared" si="56"/>
        <v>4.7549672229302944</v>
      </c>
      <c r="CD54" s="54">
        <f t="shared" si="56"/>
        <v>5.0788879982900843</v>
      </c>
      <c r="CE54" s="54">
        <f t="shared" si="56"/>
        <v>4.699976400565288</v>
      </c>
      <c r="CF54" s="54">
        <f t="shared" si="56"/>
        <v>4.5956615308989033</v>
      </c>
      <c r="CG54" s="54">
        <f t="shared" si="56"/>
        <v>5.4797954964955089</v>
      </c>
      <c r="CH54" s="54">
        <f t="shared" si="56"/>
        <v>5.323252100171687</v>
      </c>
      <c r="CI54" s="54">
        <f t="shared" si="56"/>
        <v>5.5435030942266055</v>
      </c>
      <c r="CJ54" s="54">
        <f t="shared" si="56"/>
        <v>2.1760912590556813</v>
      </c>
      <c r="CK54" s="54">
        <f t="shared" si="56"/>
        <v>2.5276299008713385</v>
      </c>
      <c r="CL54" s="54">
        <f t="shared" si="56"/>
        <v>3.3463529744506388</v>
      </c>
      <c r="CM54" s="54">
        <f t="shared" si="56"/>
        <v>3.3350565194390915</v>
      </c>
      <c r="CN54" s="54">
        <f t="shared" si="56"/>
        <v>3.3463529744506388</v>
      </c>
      <c r="CO54" s="54">
        <f t="shared" si="56"/>
        <v>3.3126004392612596</v>
      </c>
      <c r="CP54" s="54">
        <f t="shared" si="56"/>
        <v>2.8981764834976764</v>
      </c>
      <c r="CQ54" s="76">
        <f t="shared" si="41"/>
        <v>3.9639944242688814</v>
      </c>
    </row>
    <row r="55" spans="1:97">
      <c r="A55" s="5"/>
      <c r="B55" s="18" t="s">
        <v>105</v>
      </c>
      <c r="C55" s="62">
        <f>AVERAGE(C48:C54)</f>
        <v>2.4460369548198648</v>
      </c>
      <c r="D55" s="62">
        <f t="shared" ref="D55:BP55" si="57">AVERAGE(D48:D54)</f>
        <v>5.1830861516789257</v>
      </c>
      <c r="E55" s="62">
        <f t="shared" si="57"/>
        <v>5.660255096113521</v>
      </c>
      <c r="F55" s="62">
        <f t="shared" si="57"/>
        <v>4.8578538471290829</v>
      </c>
      <c r="G55" s="93">
        <f t="shared" si="57"/>
        <v>3.075480486730171</v>
      </c>
      <c r="H55" s="62">
        <f t="shared" si="57"/>
        <v>4.1999724450540823</v>
      </c>
      <c r="I55" s="99">
        <f t="shared" si="57"/>
        <v>2.7249819275963842</v>
      </c>
      <c r="J55" s="62">
        <f t="shared" si="57"/>
        <v>4.3090149339173784</v>
      </c>
      <c r="K55" s="62">
        <f t="shared" si="57"/>
        <v>4.0028475095750728</v>
      </c>
      <c r="L55" s="62">
        <f t="shared" si="57"/>
        <v>4.796971490419172</v>
      </c>
      <c r="M55" s="62">
        <f t="shared" si="57"/>
        <v>3.6012614325301451</v>
      </c>
      <c r="N55" s="62">
        <f t="shared" si="57"/>
        <v>3.4901020959097138</v>
      </c>
      <c r="O55" s="62">
        <f t="shared" si="57"/>
        <v>4.0919708514325785</v>
      </c>
      <c r="P55" s="62">
        <f t="shared" si="57"/>
        <v>4.5835490316166174</v>
      </c>
      <c r="Q55" s="62">
        <f t="shared" si="57"/>
        <v>3.3348287909809713</v>
      </c>
      <c r="R55" s="62">
        <f t="shared" si="57"/>
        <v>3.434418362690089</v>
      </c>
      <c r="S55" s="62">
        <f t="shared" si="57"/>
        <v>3.6354040136941395</v>
      </c>
      <c r="T55" s="62">
        <f t="shared" si="57"/>
        <v>3.974439977622219</v>
      </c>
      <c r="U55" s="62">
        <f t="shared" si="57"/>
        <v>4.0760841327981918</v>
      </c>
      <c r="V55" s="62">
        <f t="shared" si="57"/>
        <v>4.7560035919527257</v>
      </c>
      <c r="W55" s="62">
        <f t="shared" si="57"/>
        <v>4.2220304535577808</v>
      </c>
      <c r="X55" s="62">
        <f t="shared" si="57"/>
        <v>4.8341305808240378</v>
      </c>
      <c r="Y55" s="62">
        <f t="shared" si="57"/>
        <v>5.2755584986626376</v>
      </c>
      <c r="Z55" s="62">
        <f t="shared" si="57"/>
        <v>2.1050766539331462</v>
      </c>
      <c r="AA55" s="62">
        <f>AVERAGE(AA48:AA54)</f>
        <v>4.0273197092455186</v>
      </c>
      <c r="AC55" s="62">
        <f t="shared" si="57"/>
        <v>4.1458385706166156</v>
      </c>
      <c r="AD55" s="62">
        <f t="shared" si="57"/>
        <v>4.0863642731982477</v>
      </c>
      <c r="AE55" s="62">
        <f t="shared" si="57"/>
        <v>4.6233282135970342</v>
      </c>
      <c r="AF55" s="62">
        <f t="shared" si="57"/>
        <v>4.2391084420846301</v>
      </c>
      <c r="AG55" s="62">
        <f t="shared" si="57"/>
        <v>4.3703652804741555</v>
      </c>
      <c r="AH55" s="62">
        <f t="shared" si="57"/>
        <v>4.8254156908610168</v>
      </c>
      <c r="AI55" s="62">
        <f t="shared" si="57"/>
        <v>4.8862618061114844</v>
      </c>
      <c r="AJ55" s="62">
        <f t="shared" si="57"/>
        <v>5.2035558637847306</v>
      </c>
      <c r="AK55" s="62">
        <f t="shared" si="57"/>
        <v>2.8627657372762423</v>
      </c>
      <c r="AL55" s="62">
        <f t="shared" si="57"/>
        <v>3.8922262880754639</v>
      </c>
      <c r="AM55" s="62">
        <f t="shared" si="57"/>
        <v>4.5204155772817751</v>
      </c>
      <c r="AN55" s="62">
        <f t="shared" si="57"/>
        <v>4.2411818008974951</v>
      </c>
      <c r="AO55" s="62">
        <f t="shared" si="57"/>
        <v>2.7807728255883508</v>
      </c>
      <c r="AP55" s="62">
        <f t="shared" si="57"/>
        <v>3.2674756237308111</v>
      </c>
      <c r="AQ55" s="62">
        <f t="shared" si="57"/>
        <v>4.4898125720606394</v>
      </c>
      <c r="AR55" s="62">
        <f t="shared" si="57"/>
        <v>4.1878196335234508</v>
      </c>
      <c r="AS55" s="62">
        <f t="shared" si="57"/>
        <v>4.648121733166283</v>
      </c>
      <c r="AT55" s="62">
        <f t="shared" si="57"/>
        <v>4.6506474038503018</v>
      </c>
      <c r="AU55" s="62">
        <f t="shared" si="57"/>
        <v>3.9152302188715002</v>
      </c>
      <c r="AV55" s="62">
        <f t="shared" si="57"/>
        <v>4.3357054138767497</v>
      </c>
      <c r="AW55" s="62">
        <f t="shared" si="57"/>
        <v>3.6238991097110058</v>
      </c>
      <c r="AX55" s="62">
        <f t="shared" si="57"/>
        <v>3.0377424535309894</v>
      </c>
      <c r="AY55" s="62">
        <f t="shared" si="57"/>
        <v>3.2656573915728715</v>
      </c>
      <c r="AZ55" s="62">
        <f t="shared" si="57"/>
        <v>3.1190330323352264</v>
      </c>
      <c r="BA55" s="62">
        <f t="shared" si="57"/>
        <v>3.0666348259538769</v>
      </c>
      <c r="BB55" s="62">
        <f t="shared" si="57"/>
        <v>3.60806813313879</v>
      </c>
      <c r="BC55" s="62">
        <f t="shared" si="57"/>
        <v>3.8567849307192512</v>
      </c>
      <c r="BD55" s="62">
        <f t="shared" si="57"/>
        <v>3.0241435176736511</v>
      </c>
      <c r="BE55" s="62">
        <f t="shared" si="57"/>
        <v>4.6613763401902313</v>
      </c>
      <c r="BF55" s="62">
        <f t="shared" si="57"/>
        <v>4.4798240481052769</v>
      </c>
      <c r="BG55" s="62">
        <f t="shared" si="57"/>
        <v>4.4580814541899656</v>
      </c>
      <c r="BH55" s="62">
        <f t="shared" si="57"/>
        <v>4.0215734654147584</v>
      </c>
      <c r="BI55" s="62">
        <f t="shared" si="57"/>
        <v>4.7031798856920943</v>
      </c>
      <c r="BJ55" s="62">
        <f t="shared" si="57"/>
        <v>2.9514517712461199</v>
      </c>
      <c r="BK55" s="62">
        <f t="shared" si="57"/>
        <v>3.1255199100040083</v>
      </c>
      <c r="BL55" s="62">
        <f t="shared" si="57"/>
        <v>3.0748688243218525</v>
      </c>
      <c r="BM55" s="62">
        <f t="shared" si="57"/>
        <v>4.224686764429455</v>
      </c>
      <c r="BN55" s="62">
        <f t="shared" si="57"/>
        <v>4.1723343588861272</v>
      </c>
      <c r="BO55" s="62">
        <f t="shared" si="57"/>
        <v>2.3933919133212251</v>
      </c>
      <c r="BP55" s="62">
        <f t="shared" si="57"/>
        <v>3.0474019575807221</v>
      </c>
      <c r="BQ55" s="62">
        <f t="shared" ref="BQ55:CP55" si="58">AVERAGE(BQ48:BQ54)</f>
        <v>3.5811818480085362</v>
      </c>
      <c r="BR55" s="62">
        <f t="shared" si="58"/>
        <v>3.3393201974533304</v>
      </c>
      <c r="BS55" s="62">
        <f t="shared" si="58"/>
        <v>3.2063849319564666</v>
      </c>
      <c r="BT55" s="62">
        <f t="shared" si="58"/>
        <v>3.97888375253032</v>
      </c>
      <c r="BU55" s="62">
        <f t="shared" si="58"/>
        <v>3.3246159673268134</v>
      </c>
      <c r="BV55" s="62">
        <f t="shared" si="58"/>
        <v>3.7403048679243889</v>
      </c>
      <c r="BW55" s="62">
        <f t="shared" si="58"/>
        <v>4.5938275596276128</v>
      </c>
      <c r="BX55" s="62">
        <f t="shared" si="58"/>
        <v>4.2197756219021292</v>
      </c>
      <c r="BY55" s="62">
        <f t="shared" si="58"/>
        <v>4.5335033848317368</v>
      </c>
      <c r="BZ55" s="62">
        <f t="shared" si="58"/>
        <v>4.5526699380224418</v>
      </c>
      <c r="CA55" s="62">
        <f t="shared" si="58"/>
        <v>4.6635907767837335</v>
      </c>
      <c r="CB55" s="62">
        <f t="shared" si="58"/>
        <v>4.4727060867682749</v>
      </c>
      <c r="CC55" s="62">
        <f t="shared" si="58"/>
        <v>4.668841603786694</v>
      </c>
      <c r="CD55" s="62">
        <f t="shared" si="58"/>
        <v>5.1601719775560424</v>
      </c>
      <c r="CE55" s="62">
        <f t="shared" si="58"/>
        <v>4.7033279258591474</v>
      </c>
      <c r="CF55" s="62">
        <f t="shared" si="58"/>
        <v>4.6328184616300936</v>
      </c>
      <c r="CG55" s="62">
        <f t="shared" si="58"/>
        <v>5.5316576786835361</v>
      </c>
      <c r="CH55" s="62">
        <f t="shared" si="58"/>
        <v>5.3571513398766433</v>
      </c>
      <c r="CI55" s="62">
        <f t="shared" si="58"/>
        <v>5.4664161439845556</v>
      </c>
      <c r="CJ55" s="62">
        <f t="shared" si="58"/>
        <v>2.4692743417591774</v>
      </c>
      <c r="CK55" s="62">
        <f t="shared" si="58"/>
        <v>2.657852430695963</v>
      </c>
      <c r="CL55" s="62">
        <f t="shared" si="58"/>
        <v>3.3400154969233595</v>
      </c>
      <c r="CM55" s="62">
        <f t="shared" si="58"/>
        <v>3.48461250044295</v>
      </c>
      <c r="CN55" s="62">
        <f t="shared" si="58"/>
        <v>3.3400154969233595</v>
      </c>
      <c r="CO55" s="62">
        <f t="shared" si="58"/>
        <v>3.150518601254666</v>
      </c>
      <c r="CP55" s="62">
        <f t="shared" si="58"/>
        <v>2.8196391163097716</v>
      </c>
      <c r="CQ55" s="12"/>
    </row>
    <row r="56" spans="1:97">
      <c r="A56" s="5"/>
      <c r="B56" s="18" t="s">
        <v>106</v>
      </c>
      <c r="C56" s="62">
        <f>_xlfn.STDEV.S(C49:C54)</f>
        <v>0.15197852179125781</v>
      </c>
      <c r="D56" s="62">
        <f t="shared" ref="D56:BP56" si="59">_xlfn.STDEV.S(D49:D54)</f>
        <v>0.12737176005442774</v>
      </c>
      <c r="E56" s="62">
        <f t="shared" si="59"/>
        <v>8.0720754942831929E-2</v>
      </c>
      <c r="F56" s="62">
        <f t="shared" si="59"/>
        <v>9.5898572245596475E-2</v>
      </c>
      <c r="G56" s="93">
        <f t="shared" si="59"/>
        <v>0.20806029748654825</v>
      </c>
      <c r="H56" s="62">
        <f t="shared" si="59"/>
        <v>9.7063127366919133E-2</v>
      </c>
      <c r="I56" s="99">
        <f t="shared" si="59"/>
        <v>0.17992415569152123</v>
      </c>
      <c r="J56" s="62">
        <f t="shared" si="59"/>
        <v>0.14809301561365668</v>
      </c>
      <c r="K56" s="62">
        <f t="shared" si="59"/>
        <v>0.2776069157635408</v>
      </c>
      <c r="L56" s="62">
        <f t="shared" si="59"/>
        <v>0.2703723506469724</v>
      </c>
      <c r="M56" s="62">
        <f t="shared" si="59"/>
        <v>0.10201645464442188</v>
      </c>
      <c r="N56" s="62">
        <f t="shared" si="59"/>
        <v>0.16035955165576832</v>
      </c>
      <c r="O56" s="62">
        <f t="shared" si="59"/>
        <v>8.9251900183847363E-2</v>
      </c>
      <c r="P56" s="62">
        <f t="shared" si="59"/>
        <v>0.17913258091361731</v>
      </c>
      <c r="Q56" s="62">
        <f t="shared" si="59"/>
        <v>0.18982131392125673</v>
      </c>
      <c r="R56" s="62">
        <f t="shared" si="59"/>
        <v>0.13774314160418763</v>
      </c>
      <c r="S56" s="62">
        <f t="shared" si="59"/>
        <v>0.15717539389352592</v>
      </c>
      <c r="T56" s="62">
        <f t="shared" si="59"/>
        <v>0.20089655177959229</v>
      </c>
      <c r="U56" s="62">
        <f t="shared" si="59"/>
        <v>6.9521984713039109E-2</v>
      </c>
      <c r="V56" s="62">
        <f t="shared" si="59"/>
        <v>0.1585262021373392</v>
      </c>
      <c r="W56" s="62">
        <f t="shared" si="59"/>
        <v>0.17820235589096384</v>
      </c>
      <c r="X56" s="62">
        <f t="shared" si="59"/>
        <v>0.10832004707668219</v>
      </c>
      <c r="Y56" s="62">
        <f t="shared" si="59"/>
        <v>0.14863924922514388</v>
      </c>
      <c r="Z56" s="62">
        <f t="shared" si="59"/>
        <v>0.14118157967541931</v>
      </c>
      <c r="AA56" s="62">
        <f>_xlfn.STDEV.S(AA49:AA54)</f>
        <v>0.16105530752162606</v>
      </c>
      <c r="AC56" s="62">
        <f t="shared" si="59"/>
        <v>0.10518327358513904</v>
      </c>
      <c r="AD56" s="62">
        <f t="shared" si="59"/>
        <v>0.13385404120500616</v>
      </c>
      <c r="AE56" s="62">
        <f t="shared" si="59"/>
        <v>9.1108156450145319E-2</v>
      </c>
      <c r="AF56" s="62">
        <f t="shared" si="59"/>
        <v>6.2159666309492399E-2</v>
      </c>
      <c r="AG56" s="62">
        <f t="shared" si="59"/>
        <v>8.0111110903928986E-2</v>
      </c>
      <c r="AH56" s="62">
        <f t="shared" si="59"/>
        <v>0.11605437205288399</v>
      </c>
      <c r="AI56" s="62">
        <f t="shared" si="59"/>
        <v>7.2482616889013557E-2</v>
      </c>
      <c r="AJ56" s="62">
        <f t="shared" si="59"/>
        <v>3.6469555260827395E-2</v>
      </c>
      <c r="AK56" s="62">
        <f t="shared" si="59"/>
        <v>0.20692369015501086</v>
      </c>
      <c r="AL56" s="62">
        <f t="shared" si="59"/>
        <v>8.8846818577788006E-2</v>
      </c>
      <c r="AM56" s="62">
        <f t="shared" si="59"/>
        <v>0.13063392455256376</v>
      </c>
      <c r="AN56" s="62">
        <f t="shared" si="59"/>
        <v>0.24640913501129014</v>
      </c>
      <c r="AO56" s="62">
        <f t="shared" si="59"/>
        <v>0.23132388232772105</v>
      </c>
      <c r="AP56" s="62">
        <f t="shared" si="59"/>
        <v>0.14451642437492154</v>
      </c>
      <c r="AQ56" s="62">
        <f t="shared" si="59"/>
        <v>8.9405322033610138E-2</v>
      </c>
      <c r="AR56" s="62">
        <f t="shared" si="59"/>
        <v>0.11617673550954154</v>
      </c>
      <c r="AS56" s="62">
        <f t="shared" si="59"/>
        <v>0.19735740882911423</v>
      </c>
      <c r="AT56" s="62">
        <f t="shared" si="59"/>
        <v>0.19054672094473721</v>
      </c>
      <c r="AU56" s="62">
        <f t="shared" si="59"/>
        <v>0.17468218804423261</v>
      </c>
      <c r="AV56" s="62">
        <f t="shared" si="59"/>
        <v>0.19362488451094842</v>
      </c>
      <c r="AW56" s="62">
        <f t="shared" si="59"/>
        <v>0.23982220959993089</v>
      </c>
      <c r="AX56" s="62">
        <f t="shared" si="59"/>
        <v>0.25329741749600249</v>
      </c>
      <c r="AY56" s="62">
        <f t="shared" si="59"/>
        <v>0.31488222238118418</v>
      </c>
      <c r="AZ56" s="62">
        <f t="shared" si="59"/>
        <v>0.36710754858325267</v>
      </c>
      <c r="BA56" s="62">
        <f t="shared" si="59"/>
        <v>0.28298170046509002</v>
      </c>
      <c r="BB56" s="62">
        <f t="shared" si="59"/>
        <v>0.14106074349653852</v>
      </c>
      <c r="BC56" s="62">
        <f t="shared" si="59"/>
        <v>0.1358113570337352</v>
      </c>
      <c r="BD56" s="62">
        <f t="shared" si="59"/>
        <v>0.17313962722853463</v>
      </c>
      <c r="BE56" s="62">
        <f t="shared" si="59"/>
        <v>0.16539088570099506</v>
      </c>
      <c r="BF56" s="62">
        <f t="shared" si="59"/>
        <v>0.13955918167122652</v>
      </c>
      <c r="BG56" s="62">
        <f t="shared" si="59"/>
        <v>0.15990811434961291</v>
      </c>
      <c r="BH56" s="62">
        <f t="shared" si="59"/>
        <v>0.13944524070730441</v>
      </c>
      <c r="BI56" s="62">
        <f t="shared" si="59"/>
        <v>0.21828304390844747</v>
      </c>
      <c r="BJ56" s="62">
        <f t="shared" si="59"/>
        <v>0.16162040665745842</v>
      </c>
      <c r="BK56" s="62">
        <f t="shared" si="59"/>
        <v>0.14554883493361367</v>
      </c>
      <c r="BL56" s="62">
        <f t="shared" si="59"/>
        <v>0.20818061622795858</v>
      </c>
      <c r="BM56" s="62">
        <f t="shared" si="59"/>
        <v>0.12268714440000102</v>
      </c>
      <c r="BN56" s="62">
        <f t="shared" si="59"/>
        <v>0.12008270359006307</v>
      </c>
      <c r="BO56" s="62">
        <f t="shared" si="59"/>
        <v>0.18278200271395795</v>
      </c>
      <c r="BP56" s="62">
        <f t="shared" si="59"/>
        <v>0.12755872206762328</v>
      </c>
      <c r="BQ56" s="62">
        <f t="shared" ref="BQ56:CP56" si="60">_xlfn.STDEV.S(BQ49:BQ54)</f>
        <v>0.1671712899011962</v>
      </c>
      <c r="BR56" s="62">
        <f t="shared" si="60"/>
        <v>0.31945671731813435</v>
      </c>
      <c r="BS56" s="62">
        <f t="shared" si="60"/>
        <v>0.12493452553808651</v>
      </c>
      <c r="BT56" s="62">
        <f t="shared" si="60"/>
        <v>4.6090842776460292E-2</v>
      </c>
      <c r="BU56" s="62">
        <f t="shared" si="60"/>
        <v>0.34584624483055398</v>
      </c>
      <c r="BV56" s="62">
        <f t="shared" si="60"/>
        <v>0.16094151772329526</v>
      </c>
      <c r="BW56" s="62">
        <f t="shared" si="60"/>
        <v>9.490126509734427E-2</v>
      </c>
      <c r="BX56" s="62">
        <f t="shared" si="60"/>
        <v>6.8255162490726412E-2</v>
      </c>
      <c r="BY56" s="62">
        <f t="shared" si="60"/>
        <v>7.1715273628046416E-2</v>
      </c>
      <c r="BZ56" s="62">
        <f t="shared" si="60"/>
        <v>0.1306490784171418</v>
      </c>
      <c r="CA56" s="62">
        <f t="shared" si="60"/>
        <v>9.126612532812782E-2</v>
      </c>
      <c r="CB56" s="62">
        <f t="shared" si="60"/>
        <v>0.31944064723869936</v>
      </c>
      <c r="CC56" s="62">
        <f t="shared" si="60"/>
        <v>9.2845239025100793E-2</v>
      </c>
      <c r="CD56" s="62">
        <f t="shared" si="60"/>
        <v>7.0910680644549515E-2</v>
      </c>
      <c r="CE56" s="62">
        <f t="shared" si="60"/>
        <v>0.17905207314049557</v>
      </c>
      <c r="CF56" s="62">
        <f t="shared" si="60"/>
        <v>5.9592343678707714E-2</v>
      </c>
      <c r="CG56" s="62">
        <f t="shared" si="60"/>
        <v>3.196752333057893E-2</v>
      </c>
      <c r="CH56" s="62">
        <f t="shared" si="60"/>
        <v>0.11514406826965753</v>
      </c>
      <c r="CI56" s="62">
        <f t="shared" si="60"/>
        <v>0.12591789808072801</v>
      </c>
      <c r="CJ56" s="62">
        <f t="shared" si="60"/>
        <v>0.27686172500042583</v>
      </c>
      <c r="CK56" s="62">
        <f t="shared" si="60"/>
        <v>0.31423268787285946</v>
      </c>
      <c r="CL56" s="62">
        <f t="shared" si="60"/>
        <v>0.22562419732832439</v>
      </c>
      <c r="CM56" s="62">
        <f t="shared" si="60"/>
        <v>0.11080464968120152</v>
      </c>
      <c r="CN56" s="62">
        <f t="shared" si="60"/>
        <v>0.22562419732832439</v>
      </c>
      <c r="CO56" s="62">
        <f t="shared" si="60"/>
        <v>0.13787768720070695</v>
      </c>
      <c r="CP56" s="62">
        <f t="shared" si="60"/>
        <v>0.11211439307818721</v>
      </c>
      <c r="CQ56" s="12"/>
    </row>
    <row r="57" spans="1:97">
      <c r="A57" s="5"/>
      <c r="B57" s="7" t="s">
        <v>139</v>
      </c>
      <c r="C57" s="63">
        <f>MEDIAN(C48:C54)</f>
        <v>2.4517864355242902</v>
      </c>
      <c r="D57" s="63">
        <f t="shared" ref="D57:BP57" si="61">MEDIAN(D48:D54)</f>
        <v>5.1778163204940126</v>
      </c>
      <c r="E57" s="63">
        <f t="shared" si="61"/>
        <v>5.6735130130436966</v>
      </c>
      <c r="F57" s="63">
        <f t="shared" si="61"/>
        <v>4.8554040554075915</v>
      </c>
      <c r="G57" s="96">
        <f t="shared" si="61"/>
        <v>3.1439511164239633</v>
      </c>
      <c r="H57" s="63">
        <f t="shared" si="61"/>
        <v>4.2062590352092828</v>
      </c>
      <c r="I57" s="102">
        <f t="shared" si="61"/>
        <v>2.7363965022766426</v>
      </c>
      <c r="J57" s="63">
        <f t="shared" si="61"/>
        <v>4.3446083845805674</v>
      </c>
      <c r="K57" s="63">
        <f t="shared" si="61"/>
        <v>4.0943313492770965</v>
      </c>
      <c r="L57" s="63">
        <f t="shared" si="61"/>
        <v>4.9236118211728526</v>
      </c>
      <c r="M57" s="63">
        <f t="shared" si="61"/>
        <v>3.6200318951262975</v>
      </c>
      <c r="N57" s="63">
        <f t="shared" si="61"/>
        <v>3.5453071164658239</v>
      </c>
      <c r="O57" s="63">
        <f t="shared" si="61"/>
        <v>4.0841471331544481</v>
      </c>
      <c r="P57" s="63">
        <f t="shared" si="61"/>
        <v>4.6284706719067366</v>
      </c>
      <c r="Q57" s="63">
        <f t="shared" si="61"/>
        <v>3.2723058444020863</v>
      </c>
      <c r="R57" s="63">
        <f t="shared" si="61"/>
        <v>3.4554539687786283</v>
      </c>
      <c r="S57" s="63">
        <f t="shared" si="61"/>
        <v>3.6809697184658972</v>
      </c>
      <c r="T57" s="63">
        <f t="shared" si="61"/>
        <v>4.0216027160282426</v>
      </c>
      <c r="U57" s="63">
        <f t="shared" si="61"/>
        <v>4.0848978584613551</v>
      </c>
      <c r="V57" s="63">
        <f t="shared" si="61"/>
        <v>4.7541035938156133</v>
      </c>
      <c r="W57" s="63">
        <f t="shared" si="61"/>
        <v>4.2238851518758853</v>
      </c>
      <c r="X57" s="63">
        <f t="shared" si="61"/>
        <v>4.8527909639989231</v>
      </c>
      <c r="Y57" s="63">
        <f t="shared" si="61"/>
        <v>5.3027074714828117</v>
      </c>
      <c r="Z57" s="63">
        <f t="shared" si="61"/>
        <v>2.0644579892269186</v>
      </c>
      <c r="AA57" s="63">
        <f>MEDIAN(AA48:AA54)</f>
        <v>4.0466902213700573</v>
      </c>
      <c r="AC57" s="63">
        <f t="shared" si="61"/>
        <v>4.1902476330381964</v>
      </c>
      <c r="AD57" s="63">
        <f t="shared" si="61"/>
        <v>4.107006346381544</v>
      </c>
      <c r="AE57" s="63">
        <f t="shared" si="61"/>
        <v>4.5700990789919578</v>
      </c>
      <c r="AF57" s="63">
        <f t="shared" si="61"/>
        <v>4.2417705426461243</v>
      </c>
      <c r="AG57" s="63">
        <f t="shared" si="61"/>
        <v>4.374528394381243</v>
      </c>
      <c r="AH57" s="63">
        <f t="shared" si="61"/>
        <v>4.8346686195072364</v>
      </c>
      <c r="AI57" s="63">
        <f t="shared" si="61"/>
        <v>4.8790844052538631</v>
      </c>
      <c r="AJ57" s="63">
        <f t="shared" si="61"/>
        <v>5.1979060430265509</v>
      </c>
      <c r="AK57" s="63">
        <f t="shared" si="61"/>
        <v>2.8228216453031045</v>
      </c>
      <c r="AL57" s="63">
        <f t="shared" si="61"/>
        <v>3.8816699076720615</v>
      </c>
      <c r="AM57" s="63">
        <f t="shared" si="61"/>
        <v>4.5654818185991433</v>
      </c>
      <c r="AN57" s="63">
        <f t="shared" si="61"/>
        <v>4.224895470849483</v>
      </c>
      <c r="AO57" s="63">
        <f t="shared" si="61"/>
        <v>2.8494194137968996</v>
      </c>
      <c r="AP57" s="63">
        <f t="shared" si="61"/>
        <v>3.3077099234048069</v>
      </c>
      <c r="AQ57" s="63">
        <f t="shared" si="61"/>
        <v>4.4951556574241911</v>
      </c>
      <c r="AR57" s="63">
        <f t="shared" si="61"/>
        <v>4.1836968086346804</v>
      </c>
      <c r="AS57" s="63">
        <f t="shared" si="61"/>
        <v>4.6612351347180807</v>
      </c>
      <c r="AT57" s="63">
        <f t="shared" si="61"/>
        <v>4.705239178856508</v>
      </c>
      <c r="AU57" s="63">
        <f t="shared" si="61"/>
        <v>3.8938172239674631</v>
      </c>
      <c r="AV57" s="63">
        <f t="shared" si="61"/>
        <v>4.3742716432759794</v>
      </c>
      <c r="AW57" s="63">
        <f t="shared" si="61"/>
        <v>3.6900187807886953</v>
      </c>
      <c r="AX57" s="63">
        <f t="shared" si="61"/>
        <v>3.0224283711854865</v>
      </c>
      <c r="AY57" s="63">
        <f t="shared" si="61"/>
        <v>3.3802112417116059</v>
      </c>
      <c r="AZ57" s="63">
        <f t="shared" si="61"/>
        <v>3.0056094453602804</v>
      </c>
      <c r="BA57" s="63">
        <f t="shared" si="61"/>
        <v>3.0468851908377101</v>
      </c>
      <c r="BB57" s="63">
        <f t="shared" si="61"/>
        <v>3.5881596163830922</v>
      </c>
      <c r="BC57" s="63">
        <f t="shared" si="61"/>
        <v>3.8335932939984563</v>
      </c>
      <c r="BD57" s="63">
        <f t="shared" si="61"/>
        <v>3.0318122713303706</v>
      </c>
      <c r="BE57" s="63">
        <f t="shared" si="61"/>
        <v>4.6341345360625708</v>
      </c>
      <c r="BF57" s="63">
        <f t="shared" si="61"/>
        <v>4.4973996488315899</v>
      </c>
      <c r="BG57" s="63">
        <f t="shared" si="61"/>
        <v>4.448737229444391</v>
      </c>
      <c r="BH57" s="63">
        <f t="shared" si="61"/>
        <v>4.0402066275747108</v>
      </c>
      <c r="BI57" s="63">
        <f t="shared" si="61"/>
        <v>4.7455744114035134</v>
      </c>
      <c r="BJ57" s="63">
        <f t="shared" si="61"/>
        <v>2.9547247909790628</v>
      </c>
      <c r="BK57" s="63">
        <f t="shared" si="61"/>
        <v>3.1420764610732848</v>
      </c>
      <c r="BL57" s="63">
        <f t="shared" si="61"/>
        <v>3.0813473078041325</v>
      </c>
      <c r="BM57" s="63">
        <f t="shared" si="61"/>
        <v>4.2153202513299304</v>
      </c>
      <c r="BN57" s="63">
        <f t="shared" si="61"/>
        <v>4.1316507380895411</v>
      </c>
      <c r="BO57" s="63">
        <f t="shared" si="61"/>
        <v>2.4116197059632301</v>
      </c>
      <c r="BP57" s="63">
        <f t="shared" si="61"/>
        <v>3.0663259253620376</v>
      </c>
      <c r="BQ57" s="63">
        <f t="shared" ref="BQ57:CP57" si="62">MEDIAN(BQ48:BQ54)</f>
        <v>3.5794405971397971</v>
      </c>
      <c r="BR57" s="63">
        <f t="shared" si="62"/>
        <v>3.4114513421379375</v>
      </c>
      <c r="BS57" s="63">
        <f t="shared" si="62"/>
        <v>3.2281436075977417</v>
      </c>
      <c r="BT57" s="63">
        <f t="shared" si="62"/>
        <v>3.9593276459721709</v>
      </c>
      <c r="BU57" s="63">
        <f t="shared" si="62"/>
        <v>3.1752218003430523</v>
      </c>
      <c r="BV57" s="63">
        <f t="shared" si="62"/>
        <v>3.7967130632808965</v>
      </c>
      <c r="BW57" s="63">
        <f t="shared" si="62"/>
        <v>4.60182106365178</v>
      </c>
      <c r="BX57" s="63">
        <f t="shared" si="62"/>
        <v>4.2267287568569909</v>
      </c>
      <c r="BY57" s="63">
        <f t="shared" si="62"/>
        <v>4.5149725425040597</v>
      </c>
      <c r="BZ57" s="63">
        <f t="shared" si="62"/>
        <v>4.5251225841582485</v>
      </c>
      <c r="CA57" s="63">
        <f t="shared" si="62"/>
        <v>4.6603436319308198</v>
      </c>
      <c r="CB57" s="63">
        <f t="shared" si="62"/>
        <v>4.5754765086018994</v>
      </c>
      <c r="CC57" s="63">
        <f t="shared" si="62"/>
        <v>4.6278879251893148</v>
      </c>
      <c r="CD57" s="63">
        <f t="shared" si="62"/>
        <v>5.1351103792937982</v>
      </c>
      <c r="CE57" s="63">
        <f t="shared" si="62"/>
        <v>4.7282238801338012</v>
      </c>
      <c r="CF57" s="63">
        <f t="shared" si="62"/>
        <v>4.6034258688165481</v>
      </c>
      <c r="CG57" s="63">
        <f t="shared" si="62"/>
        <v>5.5270289475093426</v>
      </c>
      <c r="CH57" s="63">
        <f t="shared" si="62"/>
        <v>5.3638224958836167</v>
      </c>
      <c r="CI57" s="63">
        <f t="shared" si="62"/>
        <v>5.4480659978597332</v>
      </c>
      <c r="CJ57" s="63">
        <f t="shared" si="62"/>
        <v>2.5211380837040362</v>
      </c>
      <c r="CK57" s="63">
        <f t="shared" si="62"/>
        <v>2.7566361082458481</v>
      </c>
      <c r="CL57" s="63">
        <f t="shared" si="62"/>
        <v>3.2915908256580013</v>
      </c>
      <c r="CM57" s="63">
        <f t="shared" si="62"/>
        <v>3.4850112145785732</v>
      </c>
      <c r="CN57" s="63">
        <f t="shared" si="62"/>
        <v>3.2915908256580013</v>
      </c>
      <c r="CO57" s="63">
        <f t="shared" si="62"/>
        <v>3.1367205671564067</v>
      </c>
      <c r="CP57" s="63">
        <f t="shared" si="62"/>
        <v>2.8375884382355112</v>
      </c>
      <c r="CQ57" s="12"/>
    </row>
    <row r="58" spans="1:97">
      <c r="D58" s="84"/>
    </row>
    <row r="60" spans="1:97" ht="28">
      <c r="A60" s="69" t="s">
        <v>149</v>
      </c>
    </row>
    <row r="61" spans="1:97" ht="20">
      <c r="A61" s="30" t="s">
        <v>144</v>
      </c>
      <c r="B61" s="31"/>
    </row>
    <row r="62" spans="1:97" ht="113">
      <c r="A62" s="64" t="s">
        <v>0</v>
      </c>
      <c r="B62" s="65" t="s">
        <v>1</v>
      </c>
      <c r="C62" s="66" t="s">
        <v>2</v>
      </c>
      <c r="D62" s="66" t="s">
        <v>3</v>
      </c>
      <c r="E62" s="66" t="s">
        <v>4</v>
      </c>
      <c r="F62" s="66" t="s">
        <v>5</v>
      </c>
      <c r="G62" s="66" t="s">
        <v>6</v>
      </c>
      <c r="H62" s="66" t="s">
        <v>7</v>
      </c>
      <c r="I62" s="66" t="s">
        <v>8</v>
      </c>
      <c r="J62" s="66" t="s">
        <v>9</v>
      </c>
      <c r="K62" s="66" t="s">
        <v>10</v>
      </c>
      <c r="L62" s="66" t="s">
        <v>11</v>
      </c>
      <c r="M62" s="66" t="s">
        <v>12</v>
      </c>
      <c r="N62" s="66" t="s">
        <v>13</v>
      </c>
      <c r="O62" s="66" t="s">
        <v>14</v>
      </c>
      <c r="P62" s="66" t="s">
        <v>15</v>
      </c>
      <c r="Q62" s="66" t="s">
        <v>16</v>
      </c>
      <c r="R62" s="66" t="s">
        <v>17</v>
      </c>
      <c r="S62" s="66" t="s">
        <v>18</v>
      </c>
      <c r="T62" s="66" t="s">
        <v>19</v>
      </c>
      <c r="U62" s="66" t="s">
        <v>20</v>
      </c>
      <c r="V62" s="66" t="s">
        <v>21</v>
      </c>
      <c r="W62" s="66" t="s">
        <v>22</v>
      </c>
      <c r="X62" s="66" t="s">
        <v>23</v>
      </c>
      <c r="Y62" s="66" t="s">
        <v>24</v>
      </c>
      <c r="Z62" s="66" t="s">
        <v>25</v>
      </c>
      <c r="AA62" s="66" t="s">
        <v>26</v>
      </c>
      <c r="AB62" s="73"/>
      <c r="AC62" s="66" t="s">
        <v>27</v>
      </c>
      <c r="AD62" s="66" t="s">
        <v>28</v>
      </c>
      <c r="AE62" s="66" t="s">
        <v>29</v>
      </c>
      <c r="AF62" s="66" t="s">
        <v>30</v>
      </c>
      <c r="AG62" s="66" t="s">
        <v>31</v>
      </c>
      <c r="AH62" s="66" t="s">
        <v>32</v>
      </c>
      <c r="AI62" s="66" t="s">
        <v>33</v>
      </c>
      <c r="AJ62" s="66" t="s">
        <v>34</v>
      </c>
      <c r="AK62" s="66" t="s">
        <v>35</v>
      </c>
      <c r="AL62" s="66" t="s">
        <v>36</v>
      </c>
      <c r="AM62" s="66" t="s">
        <v>37</v>
      </c>
      <c r="AN62" s="66" t="s">
        <v>38</v>
      </c>
      <c r="AO62" s="66" t="s">
        <v>39</v>
      </c>
      <c r="AP62" s="66" t="s">
        <v>40</v>
      </c>
      <c r="AQ62" s="66" t="s">
        <v>41</v>
      </c>
      <c r="AR62" s="66" t="s">
        <v>42</v>
      </c>
      <c r="AS62" s="66" t="s">
        <v>43</v>
      </c>
      <c r="AT62" s="66" t="s">
        <v>44</v>
      </c>
      <c r="AU62" s="66" t="s">
        <v>45</v>
      </c>
      <c r="AV62" s="66" t="s">
        <v>46</v>
      </c>
      <c r="AW62" s="66" t="s">
        <v>47</v>
      </c>
      <c r="AX62" s="66" t="s">
        <v>48</v>
      </c>
      <c r="AY62" s="66" t="s">
        <v>49</v>
      </c>
      <c r="AZ62" s="66" t="s">
        <v>50</v>
      </c>
      <c r="BA62" s="66" t="s">
        <v>51</v>
      </c>
      <c r="BB62" s="66" t="s">
        <v>52</v>
      </c>
      <c r="BC62" s="66" t="s">
        <v>53</v>
      </c>
      <c r="BD62" s="66" t="s">
        <v>54</v>
      </c>
      <c r="BE62" s="66" t="s">
        <v>55</v>
      </c>
      <c r="BF62" s="66" t="s">
        <v>56</v>
      </c>
      <c r="BG62" s="66" t="s">
        <v>57</v>
      </c>
      <c r="BH62" s="66" t="s">
        <v>58</v>
      </c>
      <c r="BI62" s="66" t="s">
        <v>59</v>
      </c>
      <c r="BJ62" s="66" t="s">
        <v>60</v>
      </c>
      <c r="BK62" s="66" t="s">
        <v>61</v>
      </c>
      <c r="BL62" s="66" t="s">
        <v>62</v>
      </c>
      <c r="BM62" s="66" t="s">
        <v>63</v>
      </c>
      <c r="BN62" s="66" t="s">
        <v>64</v>
      </c>
      <c r="BO62" s="66" t="s">
        <v>65</v>
      </c>
      <c r="BP62" s="66" t="s">
        <v>66</v>
      </c>
      <c r="BQ62" s="66" t="s">
        <v>67</v>
      </c>
      <c r="BR62" s="66" t="s">
        <v>68</v>
      </c>
      <c r="BS62" s="66" t="s">
        <v>69</v>
      </c>
      <c r="BT62" s="66" t="s">
        <v>70</v>
      </c>
      <c r="BU62" s="66" t="s">
        <v>71</v>
      </c>
      <c r="BV62" s="66" t="s">
        <v>72</v>
      </c>
      <c r="BW62" s="66" t="s">
        <v>73</v>
      </c>
      <c r="BX62" s="66" t="s">
        <v>74</v>
      </c>
      <c r="BY62" s="66" t="s">
        <v>75</v>
      </c>
      <c r="BZ62" s="66" t="s">
        <v>76</v>
      </c>
      <c r="CA62" s="66" t="s">
        <v>77</v>
      </c>
      <c r="CB62" s="66" t="s">
        <v>78</v>
      </c>
      <c r="CC62" s="66" t="s">
        <v>79</v>
      </c>
      <c r="CD62" s="66" t="s">
        <v>80</v>
      </c>
      <c r="CE62" s="66" t="s">
        <v>81</v>
      </c>
      <c r="CF62" s="66" t="s">
        <v>82</v>
      </c>
      <c r="CG62" s="66" t="s">
        <v>83</v>
      </c>
      <c r="CH62" s="66" t="s">
        <v>84</v>
      </c>
      <c r="CI62" s="66" t="s">
        <v>85</v>
      </c>
      <c r="CJ62" s="66" t="s">
        <v>86</v>
      </c>
      <c r="CK62" s="66" t="s">
        <v>87</v>
      </c>
      <c r="CL62" s="66" t="s">
        <v>88</v>
      </c>
      <c r="CM62" s="66" t="s">
        <v>89</v>
      </c>
      <c r="CN62" s="66" t="s">
        <v>90</v>
      </c>
      <c r="CO62" s="66" t="s">
        <v>91</v>
      </c>
      <c r="CP62" s="66" t="s">
        <v>92</v>
      </c>
      <c r="CQ62" s="75"/>
      <c r="CR62" s="68"/>
      <c r="CS62" s="68"/>
    </row>
    <row r="63" spans="1:97">
      <c r="A63" s="25" t="s">
        <v>102</v>
      </c>
      <c r="B63" s="2"/>
    </row>
    <row r="64" spans="1:97">
      <c r="A64" s="26" t="s">
        <v>162</v>
      </c>
      <c r="B64" s="20" t="s">
        <v>93</v>
      </c>
      <c r="C64" s="78">
        <f t="shared" ref="C64:AA64" si="63">C37/$AB37</f>
        <v>0.5714056473252459</v>
      </c>
      <c r="D64" s="78">
        <f t="shared" si="63"/>
        <v>1.2308897283558757</v>
      </c>
      <c r="E64" s="78">
        <f t="shared" si="63"/>
        <v>1.384299814715124</v>
      </c>
      <c r="F64" s="78">
        <f t="shared" si="63"/>
        <v>1.1828116225896994</v>
      </c>
      <c r="G64" s="78">
        <f t="shared" si="63"/>
        <v>0.7102178871453817</v>
      </c>
      <c r="H64" s="78">
        <f t="shared" si="63"/>
        <v>1.0651953273745856</v>
      </c>
      <c r="I64" s="78">
        <f t="shared" si="63"/>
        <v>0.58754007792298468</v>
      </c>
      <c r="J64" s="78">
        <f t="shared" si="63"/>
        <v>1.0516649425664388</v>
      </c>
      <c r="K64" s="78">
        <f t="shared" si="63"/>
        <v>0.97612493600941097</v>
      </c>
      <c r="L64" s="78">
        <f t="shared" si="63"/>
        <v>1.1170394756228788</v>
      </c>
      <c r="M64" s="78">
        <f t="shared" si="63"/>
        <v>0.82768542715868509</v>
      </c>
      <c r="N64" s="78">
        <f t="shared" si="63"/>
        <v>0.80309266743072538</v>
      </c>
      <c r="O64" s="78">
        <f t="shared" si="63"/>
        <v>1</v>
      </c>
      <c r="P64" s="78">
        <f t="shared" si="63"/>
        <v>1.1234269820989684</v>
      </c>
      <c r="Q64" s="78">
        <f t="shared" si="63"/>
        <v>0.84415877816723817</v>
      </c>
      <c r="R64" s="78">
        <f t="shared" si="63"/>
        <v>0.9031603972092983</v>
      </c>
      <c r="S64" s="78">
        <f t="shared" si="63"/>
        <v>0.94879742806148948</v>
      </c>
      <c r="T64" s="78">
        <f t="shared" si="63"/>
        <v>1.0431383887515726</v>
      </c>
      <c r="U64" s="78">
        <f t="shared" si="63"/>
        <v>0.99817041151158903</v>
      </c>
      <c r="V64" s="78">
        <f t="shared" si="63"/>
        <v>1.2378735567592813</v>
      </c>
      <c r="W64" s="78">
        <f t="shared" si="63"/>
        <v>1.1031017866257378</v>
      </c>
      <c r="X64" s="78">
        <f t="shared" si="63"/>
        <v>1.2215552016254936</v>
      </c>
      <c r="Y64" s="78">
        <f t="shared" si="63"/>
        <v>1.2570127066404522</v>
      </c>
      <c r="Z64" s="78">
        <f t="shared" si="63"/>
        <v>0.53167809429503776</v>
      </c>
      <c r="AA64" s="78">
        <f t="shared" si="63"/>
        <v>0.95806622193306845</v>
      </c>
      <c r="AC64" s="78">
        <f t="shared" ref="AC64:BH64" si="64">AC37/$CQ37</f>
        <v>1.0976183946952001</v>
      </c>
      <c r="AD64" s="78">
        <f t="shared" si="64"/>
        <v>1.088641536688113</v>
      </c>
      <c r="AE64" s="78">
        <f t="shared" si="64"/>
        <v>1.1983300631885117</v>
      </c>
      <c r="AF64" s="78">
        <f t="shared" si="64"/>
        <v>1.1023749938512393</v>
      </c>
      <c r="AG64" s="78">
        <f t="shared" si="64"/>
        <v>1.0729583645713054</v>
      </c>
      <c r="AH64" s="78">
        <f t="shared" si="64"/>
        <v>1.2368588678185337</v>
      </c>
      <c r="AI64" s="78">
        <f t="shared" si="64"/>
        <v>1.2268223715433944</v>
      </c>
      <c r="AJ64" s="78">
        <f t="shared" si="64"/>
        <v>1.3061372815740828</v>
      </c>
      <c r="AK64" s="78">
        <f t="shared" si="64"/>
        <v>0.68944093238949866</v>
      </c>
      <c r="AL64" s="78">
        <f t="shared" si="64"/>
        <v>0.99476780816799448</v>
      </c>
      <c r="AM64" s="78">
        <f t="shared" si="64"/>
        <v>1.0919898911227763</v>
      </c>
      <c r="AN64" s="78">
        <f t="shared" si="64"/>
        <v>1.0052321918320057</v>
      </c>
      <c r="AO64" s="78">
        <f t="shared" si="64"/>
        <v>0.66114444026196773</v>
      </c>
      <c r="AP64" s="78">
        <f t="shared" si="64"/>
        <v>0.77911089933623934</v>
      </c>
      <c r="AQ64" s="78">
        <f t="shared" si="64"/>
        <v>1.0840994289716344</v>
      </c>
      <c r="AR64" s="78">
        <f t="shared" si="64"/>
        <v>1.0083711378074145</v>
      </c>
      <c r="AS64" s="78">
        <f t="shared" si="64"/>
        <v>1.1032277060340308</v>
      </c>
      <c r="AT64" s="78">
        <f t="shared" si="64"/>
        <v>1.0814755484362739</v>
      </c>
      <c r="AU64" s="78">
        <f t="shared" si="64"/>
        <v>0.94815888344272381</v>
      </c>
      <c r="AV64" s="78">
        <f t="shared" si="64"/>
        <v>0.9944051633119203</v>
      </c>
      <c r="AW64" s="78">
        <f t="shared" si="64"/>
        <v>0.82121539190112314</v>
      </c>
      <c r="AX64" s="78">
        <f t="shared" si="64"/>
        <v>0.74948251513258202</v>
      </c>
      <c r="AY64" s="78">
        <f t="shared" si="64"/>
        <v>0.79519719289968105</v>
      </c>
      <c r="AZ64" s="78">
        <f t="shared" si="64"/>
        <v>0.75611125440911486</v>
      </c>
      <c r="BA64" s="78">
        <f t="shared" si="64"/>
        <v>0.67007361259704357</v>
      </c>
      <c r="BB64" s="78">
        <f t="shared" si="64"/>
        <v>0.92544155832158659</v>
      </c>
      <c r="BC64" s="78">
        <f t="shared" si="64"/>
        <v>0.90299536275406322</v>
      </c>
      <c r="BD64" s="78">
        <f t="shared" si="64"/>
        <v>0.638030224721154</v>
      </c>
      <c r="BE64" s="78">
        <f t="shared" si="64"/>
        <v>1.1222230701419065</v>
      </c>
      <c r="BF64" s="78">
        <f t="shared" si="64"/>
        <v>1.063505234331839</v>
      </c>
      <c r="BG64" s="78">
        <f t="shared" si="64"/>
        <v>1.0322400512494481</v>
      </c>
      <c r="BH64" s="78">
        <f t="shared" si="64"/>
        <v>0.92621045001328561</v>
      </c>
      <c r="BI64" s="78">
        <f t="shared" ref="BI64:CP64" si="65">BI37/$CQ37</f>
        <v>1.0512970867020452</v>
      </c>
      <c r="BJ64" s="78">
        <f t="shared" si="65"/>
        <v>0.65087685955648211</v>
      </c>
      <c r="BK64" s="78">
        <f t="shared" si="65"/>
        <v>0.60121992906641941</v>
      </c>
      <c r="BL64" s="78">
        <f t="shared" si="65"/>
        <v>0.66848302715172758</v>
      </c>
      <c r="BM64" s="78">
        <f t="shared" si="65"/>
        <v>1.0219206438869157</v>
      </c>
      <c r="BN64" s="78">
        <f t="shared" si="65"/>
        <v>0.98036706703215748</v>
      </c>
      <c r="BO64" s="78">
        <f t="shared" si="65"/>
        <v>0.55398848125851885</v>
      </c>
      <c r="BP64" s="78">
        <f t="shared" si="65"/>
        <v>0.78813787715731654</v>
      </c>
      <c r="BQ64" s="78">
        <f t="shared" si="65"/>
        <v>0.92680473236608041</v>
      </c>
      <c r="BR64" s="78">
        <f t="shared" si="65"/>
        <v>0.88428391150576768</v>
      </c>
      <c r="BS64" s="78">
        <f t="shared" si="65"/>
        <v>0.82065380313766578</v>
      </c>
      <c r="BT64" s="78">
        <f t="shared" si="65"/>
        <v>1.0222197324526301</v>
      </c>
      <c r="BU64" s="78">
        <f t="shared" si="65"/>
        <v>0.81044781851691239</v>
      </c>
      <c r="BV64" s="78">
        <f t="shared" si="65"/>
        <v>0.98793880079486163</v>
      </c>
      <c r="BW64" s="78">
        <f t="shared" si="65"/>
        <v>1.1968785538230295</v>
      </c>
      <c r="BX64" s="78">
        <f t="shared" si="65"/>
        <v>1.0493102106983698</v>
      </c>
      <c r="BY64" s="78">
        <f t="shared" si="65"/>
        <v>1.1376064082383663</v>
      </c>
      <c r="BZ64" s="78">
        <f t="shared" si="65"/>
        <v>1.1985637642533657</v>
      </c>
      <c r="CA64" s="78">
        <f t="shared" si="65"/>
        <v>1.1938202435804803</v>
      </c>
      <c r="CB64" s="78">
        <f t="shared" si="65"/>
        <v>1.1594861203433413</v>
      </c>
      <c r="CC64" s="78">
        <f t="shared" si="65"/>
        <v>1.1565309252877534</v>
      </c>
      <c r="CD64" s="78">
        <f t="shared" si="65"/>
        <v>1.2512179856885828</v>
      </c>
      <c r="CE64" s="78">
        <f t="shared" si="65"/>
        <v>1.1374273198427076</v>
      </c>
      <c r="CF64" s="78">
        <f t="shared" si="65"/>
        <v>1.1883233290413249</v>
      </c>
      <c r="CG64" s="78">
        <f t="shared" si="65"/>
        <v>1.3852678768925268</v>
      </c>
      <c r="CH64" s="78">
        <f t="shared" si="65"/>
        <v>1.2819633808589768</v>
      </c>
      <c r="CI64" s="78">
        <f t="shared" si="65"/>
        <v>1.3122162082728965</v>
      </c>
      <c r="CJ64" s="78">
        <f t="shared" si="65"/>
        <v>-0.99931002017677595</v>
      </c>
      <c r="CK64" s="78">
        <f t="shared" si="65"/>
        <v>-0.99931002017677595</v>
      </c>
      <c r="CL64" s="78">
        <f t="shared" si="65"/>
        <v>0.772909285347959</v>
      </c>
      <c r="CM64" s="78">
        <f t="shared" si="65"/>
        <v>0.83213031706728824</v>
      </c>
      <c r="CN64" s="78">
        <f t="shared" si="65"/>
        <v>0.772909285347959</v>
      </c>
      <c r="CO64" s="78">
        <f t="shared" si="65"/>
        <v>0.76158461005342049</v>
      </c>
      <c r="CP64" s="78">
        <f t="shared" si="65"/>
        <v>0.66114444026196773</v>
      </c>
    </row>
    <row r="65" spans="1:94">
      <c r="A65" s="26" t="s">
        <v>108</v>
      </c>
      <c r="B65" s="20" t="s">
        <v>93</v>
      </c>
      <c r="C65" s="78">
        <f t="shared" ref="C65:AA65" si="66">C38/$AB38</f>
        <v>0.63446039481089533</v>
      </c>
      <c r="D65" s="78">
        <f t="shared" si="66"/>
        <v>1.2509738651267983</v>
      </c>
      <c r="E65" s="78">
        <f t="shared" si="66"/>
        <v>1.3773255955568382</v>
      </c>
      <c r="F65" s="78">
        <f t="shared" si="66"/>
        <v>1.2130745929519204</v>
      </c>
      <c r="G65" s="78">
        <f t="shared" si="66"/>
        <v>0.86908314108060913</v>
      </c>
      <c r="H65" s="78">
        <f t="shared" si="66"/>
        <v>1.0544602570083275</v>
      </c>
      <c r="I65" s="78">
        <f t="shared" si="66"/>
        <v>0.67817164417799725</v>
      </c>
      <c r="J65" s="78">
        <f t="shared" si="66"/>
        <v>1.0672789448603712</v>
      </c>
      <c r="K65" s="78">
        <f t="shared" si="66"/>
        <v>0.99510552679455511</v>
      </c>
      <c r="L65" s="78">
        <f t="shared" si="66"/>
        <v>1.1437040128574716</v>
      </c>
      <c r="M65" s="78">
        <f t="shared" si="66"/>
        <v>0.94197260929192239</v>
      </c>
      <c r="N65" s="78">
        <f t="shared" si="66"/>
        <v>0.83162142156894936</v>
      </c>
      <c r="O65" s="78">
        <f t="shared" si="66"/>
        <v>1</v>
      </c>
      <c r="P65" s="78">
        <f t="shared" si="66"/>
        <v>1.108134391196046</v>
      </c>
      <c r="Q65" s="78">
        <f t="shared" si="66"/>
        <v>0.80119243546740315</v>
      </c>
      <c r="R65" s="78">
        <f t="shared" si="66"/>
        <v>0.90715011296802672</v>
      </c>
      <c r="S65" s="78">
        <f t="shared" si="66"/>
        <v>0.94106800924849354</v>
      </c>
      <c r="T65" s="78">
        <f t="shared" si="66"/>
        <v>1.015497321726246</v>
      </c>
      <c r="U65" s="78">
        <f t="shared" si="66"/>
        <v>0.99869145053605124</v>
      </c>
      <c r="V65" s="78">
        <f t="shared" si="66"/>
        <v>1.1678567128366846</v>
      </c>
      <c r="W65" s="78">
        <f t="shared" si="66"/>
        <v>1.0495577341113593</v>
      </c>
      <c r="X65" s="78">
        <f t="shared" si="66"/>
        <v>1.2087653525095261</v>
      </c>
      <c r="Y65" s="78">
        <f t="shared" si="66"/>
        <v>1.2679930825981087</v>
      </c>
      <c r="Z65" s="78">
        <f t="shared" si="66"/>
        <v>0.51491776547485268</v>
      </c>
      <c r="AA65" s="78">
        <f t="shared" si="66"/>
        <v>0.95749884945898267</v>
      </c>
      <c r="AC65" s="78">
        <f t="shared" ref="AC65:BH65" si="67">AC38/$CQ38</f>
        <v>1.0860108783816169</v>
      </c>
      <c r="AD65" s="78">
        <f t="shared" si="67"/>
        <v>1.0262160814617354</v>
      </c>
      <c r="AE65" s="78">
        <f t="shared" si="67"/>
        <v>1.1531853886786021</v>
      </c>
      <c r="AF65" s="78">
        <f t="shared" si="67"/>
        <v>1.0694013627157051</v>
      </c>
      <c r="AG65" s="78">
        <f t="shared" si="67"/>
        <v>1.0288976873176729</v>
      </c>
      <c r="AH65" s="78">
        <f t="shared" si="67"/>
        <v>1.216977655327717</v>
      </c>
      <c r="AI65" s="78">
        <f t="shared" si="67"/>
        <v>1.2258387008720606</v>
      </c>
      <c r="AJ65" s="78">
        <f t="shared" si="67"/>
        <v>1.2902448642963131</v>
      </c>
      <c r="AK65" s="78">
        <f t="shared" si="67"/>
        <v>0.69372422903100062</v>
      </c>
      <c r="AL65" s="78">
        <f t="shared" si="67"/>
        <v>0.98903635261462586</v>
      </c>
      <c r="AM65" s="78">
        <f t="shared" si="67"/>
        <v>1.1029395027762348</v>
      </c>
      <c r="AN65" s="78">
        <f t="shared" si="67"/>
        <v>1.0295525773260439</v>
      </c>
      <c r="AO65" s="78">
        <f t="shared" si="67"/>
        <v>0.68767882104814504</v>
      </c>
      <c r="AP65" s="78">
        <f t="shared" si="67"/>
        <v>0.79217652230812741</v>
      </c>
      <c r="AQ65" s="78">
        <f t="shared" si="67"/>
        <v>1.0831046268207001</v>
      </c>
      <c r="AR65" s="78">
        <f t="shared" si="67"/>
        <v>1.0285206688363406</v>
      </c>
      <c r="AS65" s="78">
        <f t="shared" si="67"/>
        <v>1.103691804521155</v>
      </c>
      <c r="AT65" s="78">
        <f t="shared" si="67"/>
        <v>1.1021405593355817</v>
      </c>
      <c r="AU65" s="78">
        <f t="shared" si="67"/>
        <v>0.93611182455790454</v>
      </c>
      <c r="AV65" s="78">
        <f t="shared" si="67"/>
        <v>1.009580202976545</v>
      </c>
      <c r="AW65" s="78">
        <f t="shared" si="67"/>
        <v>0.84254648652415653</v>
      </c>
      <c r="AX65" s="78">
        <f t="shared" si="67"/>
        <v>0.67558645843872411</v>
      </c>
      <c r="AY65" s="78">
        <f t="shared" si="67"/>
        <v>0.82139402852865784</v>
      </c>
      <c r="AZ65" s="78">
        <f t="shared" si="67"/>
        <v>0.68851608390461794</v>
      </c>
      <c r="BA65" s="78">
        <f t="shared" si="67"/>
        <v>0.68180404003314898</v>
      </c>
      <c r="BB65" s="78">
        <f t="shared" si="67"/>
        <v>0.9018939363237467</v>
      </c>
      <c r="BC65" s="78">
        <f t="shared" si="67"/>
        <v>0.93563684760701937</v>
      </c>
      <c r="BD65" s="78">
        <f t="shared" si="67"/>
        <v>0.65440739834171824</v>
      </c>
      <c r="BE65" s="78">
        <f t="shared" si="67"/>
        <v>1.0979962241383012</v>
      </c>
      <c r="BF65" s="78">
        <f t="shared" si="67"/>
        <v>1.0687583472306099</v>
      </c>
      <c r="BG65" s="78">
        <f t="shared" si="67"/>
        <v>1.0496381020632377</v>
      </c>
      <c r="BH65" s="78">
        <f t="shared" si="67"/>
        <v>0.95272361058033894</v>
      </c>
      <c r="BI65" s="78">
        <f t="shared" ref="BI65:CP65" si="68">BI38/$CQ38</f>
        <v>1.1484465198394489</v>
      </c>
      <c r="BJ65" s="78">
        <f t="shared" si="68"/>
        <v>0.66797712090036854</v>
      </c>
      <c r="BK65" s="78">
        <f t="shared" si="68"/>
        <v>0.67965077460565448</v>
      </c>
      <c r="BL65" s="78">
        <f t="shared" si="68"/>
        <v>0.70713921698986537</v>
      </c>
      <c r="BM65" s="78">
        <f t="shared" si="68"/>
        <v>0.99041979702345517</v>
      </c>
      <c r="BN65" s="78">
        <f t="shared" si="68"/>
        <v>0.97951256711347534</v>
      </c>
      <c r="BO65" s="78">
        <f t="shared" si="68"/>
        <v>0.46017089404818406</v>
      </c>
      <c r="BP65" s="78">
        <f t="shared" si="68"/>
        <v>0.78344016464193544</v>
      </c>
      <c r="BQ65" s="78">
        <f t="shared" si="68"/>
        <v>0.91282578386117019</v>
      </c>
      <c r="BR65" s="78">
        <f t="shared" si="68"/>
        <v>0.90831970441703258</v>
      </c>
      <c r="BS65" s="78">
        <f t="shared" si="68"/>
        <v>0.82826374842619699</v>
      </c>
      <c r="BT65" s="78">
        <f t="shared" si="68"/>
        <v>1.013335614078523</v>
      </c>
      <c r="BU65" s="78">
        <f t="shared" si="68"/>
        <v>0.77731180208425354</v>
      </c>
      <c r="BV65" s="78">
        <f t="shared" si="68"/>
        <v>0.96112349199492042</v>
      </c>
      <c r="BW65" s="78">
        <f t="shared" si="68"/>
        <v>1.1664231408268941</v>
      </c>
      <c r="BX65" s="78">
        <f t="shared" si="68"/>
        <v>1.0293142811793954</v>
      </c>
      <c r="BY65" s="78">
        <f t="shared" si="68"/>
        <v>1.1347786867398273</v>
      </c>
      <c r="BZ65" s="78">
        <f t="shared" si="68"/>
        <v>1.1632156413363679</v>
      </c>
      <c r="CA65" s="78">
        <f t="shared" si="68"/>
        <v>1.1736992513327402</v>
      </c>
      <c r="CB65" s="78">
        <f t="shared" si="68"/>
        <v>1.1607599335658063</v>
      </c>
      <c r="CC65" s="78">
        <f t="shared" si="68"/>
        <v>1.1336527545181649</v>
      </c>
      <c r="CD65" s="78">
        <f t="shared" si="68"/>
        <v>1.2832230211314948</v>
      </c>
      <c r="CE65" s="78">
        <f t="shared" si="68"/>
        <v>1.1461233073048906</v>
      </c>
      <c r="CF65" s="78">
        <f t="shared" si="68"/>
        <v>1.1654204354324582</v>
      </c>
      <c r="CG65" s="78">
        <f t="shared" si="68"/>
        <v>1.3671653598398499</v>
      </c>
      <c r="CH65" s="78">
        <f t="shared" si="68"/>
        <v>1.3106513717851878</v>
      </c>
      <c r="CI65" s="78">
        <f t="shared" si="68"/>
        <v>1.3166268842806421</v>
      </c>
      <c r="CJ65" s="78">
        <f t="shared" si="68"/>
        <v>0.52202652569717023</v>
      </c>
      <c r="CK65" s="78">
        <f t="shared" si="68"/>
        <v>0.58280232804032506</v>
      </c>
      <c r="CL65" s="78">
        <f t="shared" si="68"/>
        <v>0.76247716491066364</v>
      </c>
      <c r="CM65" s="78">
        <f t="shared" si="68"/>
        <v>0.82933719112322968</v>
      </c>
      <c r="CN65" s="78">
        <f t="shared" si="68"/>
        <v>0.76247716491066364</v>
      </c>
      <c r="CO65" s="78">
        <f t="shared" si="68"/>
        <v>0.7282851136700399</v>
      </c>
      <c r="CP65" s="78">
        <f t="shared" si="68"/>
        <v>0.72406809276768869</v>
      </c>
    </row>
    <row r="66" spans="1:94">
      <c r="A66" s="26" t="s">
        <v>161</v>
      </c>
      <c r="B66" s="20" t="s">
        <v>93</v>
      </c>
      <c r="C66" s="78">
        <f t="shared" ref="C66:AA66" si="69">C39/$AB39</f>
        <v>0.59560659311071407</v>
      </c>
      <c r="D66" s="78">
        <f t="shared" si="69"/>
        <v>1.216465558940141</v>
      </c>
      <c r="E66" s="78">
        <f t="shared" si="69"/>
        <v>1.3834067540476378</v>
      </c>
      <c r="F66" s="78">
        <f t="shared" si="69"/>
        <v>1.1739260534125548</v>
      </c>
      <c r="G66" s="78">
        <f t="shared" si="69"/>
        <v>0.67961244996226411</v>
      </c>
      <c r="H66" s="78">
        <f t="shared" si="69"/>
        <v>1.0468465287129638</v>
      </c>
      <c r="I66" s="78">
        <f t="shared" si="69"/>
        <v>0.67233810113311376</v>
      </c>
      <c r="J66" s="78">
        <f t="shared" si="69"/>
        <v>0.99730447850804793</v>
      </c>
      <c r="K66" s="78">
        <f t="shared" si="69"/>
        <v>0.90695217936065664</v>
      </c>
      <c r="L66" s="78">
        <f t="shared" si="69"/>
        <v>1.1204165773939512</v>
      </c>
      <c r="M66" s="78">
        <f t="shared" si="69"/>
        <v>0.80675545319707487</v>
      </c>
      <c r="N66" s="78">
        <f t="shared" si="69"/>
        <v>0.80928069629933885</v>
      </c>
      <c r="O66" s="78">
        <f t="shared" si="69"/>
        <v>1</v>
      </c>
      <c r="P66" s="78">
        <f t="shared" si="69"/>
        <v>1.1637981762087735</v>
      </c>
      <c r="Q66" s="78">
        <f t="shared" si="69"/>
        <v>0.8522106560939674</v>
      </c>
      <c r="R66" s="78">
        <f t="shared" si="69"/>
        <v>0.79227474313763968</v>
      </c>
      <c r="S66" s="78">
        <f t="shared" si="69"/>
        <v>0.91079494999929789</v>
      </c>
      <c r="T66" s="78">
        <f t="shared" si="69"/>
        <v>1.0121608784380998</v>
      </c>
      <c r="U66" s="78">
        <f t="shared" si="69"/>
        <v>1.0067681189191375</v>
      </c>
      <c r="V66" s="78">
        <f t="shared" si="69"/>
        <v>1.2494116339271384</v>
      </c>
      <c r="W66" s="78">
        <f t="shared" si="69"/>
        <v>1.1229319283945582</v>
      </c>
      <c r="X66" s="78">
        <f t="shared" si="69"/>
        <v>1.2027941624455665</v>
      </c>
      <c r="Y66" s="78">
        <f t="shared" si="69"/>
        <v>1.2938810226299964</v>
      </c>
      <c r="Z66" s="78">
        <f t="shared" si="69"/>
        <v>0.53706585927838901</v>
      </c>
      <c r="AA66" s="78">
        <f t="shared" si="69"/>
        <v>0.98587628149461981</v>
      </c>
      <c r="AC66" s="78">
        <f t="shared" ref="AC66:BH66" si="70">AC39/$CQ39</f>
        <v>1.0154051632692855</v>
      </c>
      <c r="AD66" s="78">
        <f t="shared" si="70"/>
        <v>1.0320620149101314</v>
      </c>
      <c r="AE66" s="78">
        <f t="shared" si="70"/>
        <v>1.1339501018421201</v>
      </c>
      <c r="AF66" s="78">
        <f t="shared" si="70"/>
        <v>1.0375963034806419</v>
      </c>
      <c r="AG66" s="78">
        <f t="shared" si="70"/>
        <v>1.0572153562955711</v>
      </c>
      <c r="AH66" s="78">
        <f t="shared" si="70"/>
        <v>1.2100864512807867</v>
      </c>
      <c r="AI66" s="78">
        <f t="shared" si="70"/>
        <v>1.2174783187914844</v>
      </c>
      <c r="AJ66" s="78">
        <f t="shared" si="70"/>
        <v>1.3187182767263392</v>
      </c>
      <c r="AK66" s="78">
        <f t="shared" si="70"/>
        <v>0.66084975717419225</v>
      </c>
      <c r="AL66" s="78">
        <f t="shared" si="70"/>
        <v>0.93065476804309055</v>
      </c>
      <c r="AM66" s="78">
        <f t="shared" si="70"/>
        <v>1.0578598861328339</v>
      </c>
      <c r="AN66" s="78">
        <f t="shared" si="70"/>
        <v>0.98720688946178203</v>
      </c>
      <c r="AO66" s="78">
        <f t="shared" si="70"/>
        <v>0.63741682761628549</v>
      </c>
      <c r="AP66" s="78">
        <f t="shared" si="70"/>
        <v>0.72854361401397083</v>
      </c>
      <c r="AQ66" s="78">
        <f t="shared" si="70"/>
        <v>1.056914285780453</v>
      </c>
      <c r="AR66" s="78">
        <f t="shared" si="70"/>
        <v>0.97925120224694662</v>
      </c>
      <c r="AS66" s="78">
        <f t="shared" si="70"/>
        <v>1.0891151307521239</v>
      </c>
      <c r="AT66" s="78">
        <f t="shared" si="70"/>
        <v>1.0872994917701857</v>
      </c>
      <c r="AU66" s="78">
        <f t="shared" si="70"/>
        <v>0.94796777567436397</v>
      </c>
      <c r="AV66" s="78">
        <f t="shared" si="70"/>
        <v>1.022899480349845</v>
      </c>
      <c r="AW66" s="78">
        <f t="shared" si="70"/>
        <v>0.84946972498776341</v>
      </c>
      <c r="AX66" s="78">
        <f t="shared" si="70"/>
        <v>0.56403768731412574</v>
      </c>
      <c r="AY66" s="78">
        <f t="shared" si="70"/>
        <v>0.75871719894275247</v>
      </c>
      <c r="AZ66" s="78">
        <f t="shared" si="70"/>
        <v>0.71465085645663606</v>
      </c>
      <c r="BA66" s="78">
        <f t="shared" si="70"/>
        <v>0.58391056801079932</v>
      </c>
      <c r="BB66" s="78">
        <f t="shared" si="70"/>
        <v>0.86556339445968156</v>
      </c>
      <c r="BC66" s="78">
        <f t="shared" si="70"/>
        <v>0.92811345028020897</v>
      </c>
      <c r="BD66" s="78">
        <f t="shared" si="70"/>
        <v>0.724155941864983</v>
      </c>
      <c r="BE66" s="78">
        <f t="shared" si="70"/>
        <v>1.1607291225635807</v>
      </c>
      <c r="BF66" s="78">
        <f t="shared" si="70"/>
        <v>1.131426258625442</v>
      </c>
      <c r="BG66" s="78">
        <f t="shared" si="70"/>
        <v>1.1098077638264361</v>
      </c>
      <c r="BH66" s="78">
        <f t="shared" si="70"/>
        <v>1.012793110538218</v>
      </c>
      <c r="BI66" s="78">
        <f t="shared" ref="BI66:CP66" si="71">BI39/$CQ39</f>
        <v>1.1638348056321186</v>
      </c>
      <c r="BJ66" s="78">
        <f t="shared" si="71"/>
        <v>0.70124892435948538</v>
      </c>
      <c r="BK66" s="78">
        <f t="shared" si="71"/>
        <v>0.75328377634657229</v>
      </c>
      <c r="BL66" s="78">
        <f t="shared" si="71"/>
        <v>0.72839518733359765</v>
      </c>
      <c r="BM66" s="78">
        <f t="shared" si="71"/>
        <v>1.0985579662769482</v>
      </c>
      <c r="BN66" s="78">
        <f t="shared" si="71"/>
        <v>1.0748355272559842</v>
      </c>
      <c r="BO66" s="78">
        <f t="shared" si="71"/>
        <v>0.64683639300467732</v>
      </c>
      <c r="BP66" s="78">
        <f t="shared" si="71"/>
        <v>0.7522120648845646</v>
      </c>
      <c r="BQ66" s="78">
        <f t="shared" si="71"/>
        <v>0.87612166031573102</v>
      </c>
      <c r="BR66" s="78">
        <f t="shared" si="71"/>
        <v>0.84225807922178497</v>
      </c>
      <c r="BS66" s="78">
        <f t="shared" si="71"/>
        <v>0.7707789272828578</v>
      </c>
      <c r="BT66" s="78">
        <f t="shared" si="71"/>
        <v>0.98495666933086667</v>
      </c>
      <c r="BU66" s="78">
        <f t="shared" si="71"/>
        <v>0.77905440515055913</v>
      </c>
      <c r="BV66" s="78">
        <f t="shared" si="71"/>
        <v>0.93772290433116878</v>
      </c>
      <c r="BW66" s="78">
        <f t="shared" si="71"/>
        <v>1.1611485004123725</v>
      </c>
      <c r="BX66" s="78">
        <f t="shared" si="71"/>
        <v>1.0672796203947745</v>
      </c>
      <c r="BY66" s="78">
        <f t="shared" si="71"/>
        <v>1.1065416474725187</v>
      </c>
      <c r="BZ66" s="78">
        <f t="shared" si="71"/>
        <v>1.1294459330635997</v>
      </c>
      <c r="CA66" s="78">
        <f t="shared" si="71"/>
        <v>1.1653413437176496</v>
      </c>
      <c r="CB66" s="78">
        <f t="shared" si="71"/>
        <v>1.1105236967500955</v>
      </c>
      <c r="CC66" s="78">
        <f t="shared" si="71"/>
        <v>1.1490709817661346</v>
      </c>
      <c r="CD66" s="78">
        <f t="shared" si="71"/>
        <v>1.2779130594021186</v>
      </c>
      <c r="CE66" s="78">
        <f t="shared" si="71"/>
        <v>1.1567258405261107</v>
      </c>
      <c r="CF66" s="78">
        <f t="shared" si="71"/>
        <v>1.1696003124929664</v>
      </c>
      <c r="CG66" s="78">
        <f t="shared" si="71"/>
        <v>1.3972257235776029</v>
      </c>
      <c r="CH66" s="78">
        <f t="shared" si="71"/>
        <v>1.348472175589404</v>
      </c>
      <c r="CI66" s="78">
        <f t="shared" si="71"/>
        <v>1.3820396098417362</v>
      </c>
      <c r="CJ66" s="78">
        <f t="shared" si="71"/>
        <v>0.58716814882608814</v>
      </c>
      <c r="CK66" s="78">
        <f t="shared" si="71"/>
        <v>0.63775540482120063</v>
      </c>
      <c r="CL66" s="78">
        <f t="shared" si="71"/>
        <v>0.80567229182845723</v>
      </c>
      <c r="CM66" s="78">
        <f t="shared" si="71"/>
        <v>0.85908784624897261</v>
      </c>
      <c r="CN66" s="78">
        <f t="shared" si="71"/>
        <v>0.80567229182845723</v>
      </c>
      <c r="CO66" s="78">
        <f t="shared" si="71"/>
        <v>0.80669884290298366</v>
      </c>
      <c r="CP66" s="78">
        <f t="shared" si="71"/>
        <v>0.74259018066830218</v>
      </c>
    </row>
    <row r="67" spans="1:94">
      <c r="A67" s="26" t="s">
        <v>160</v>
      </c>
      <c r="B67" s="20" t="s">
        <v>94</v>
      </c>
      <c r="C67" s="78">
        <f t="shared" ref="C67:AA67" si="72">C40/$AB40</f>
        <v>0.55804017505459447</v>
      </c>
      <c r="D67" s="78">
        <f t="shared" si="72"/>
        <v>1.2093537237457774</v>
      </c>
      <c r="E67" s="78">
        <f t="shared" si="72"/>
        <v>1.3827599231571746</v>
      </c>
      <c r="F67" s="78">
        <f t="shared" si="72"/>
        <v>1.1950268315925743</v>
      </c>
      <c r="G67" s="78">
        <f t="shared" si="72"/>
        <v>0.72172414852199374</v>
      </c>
      <c r="H67" s="78">
        <f t="shared" si="72"/>
        <v>1.0543014351129829</v>
      </c>
      <c r="I67" s="78">
        <f t="shared" si="72"/>
        <v>0.68085129629743901</v>
      </c>
      <c r="J67" s="78">
        <f t="shared" si="72"/>
        <v>1.0063707812176954</v>
      </c>
      <c r="K67" s="78">
        <f t="shared" si="72"/>
        <v>0.91127033981995187</v>
      </c>
      <c r="L67" s="78">
        <f t="shared" si="72"/>
        <v>1.0584477677602695</v>
      </c>
      <c r="M67" s="78">
        <f t="shared" si="72"/>
        <v>0.8279166672279884</v>
      </c>
      <c r="N67" s="78">
        <f t="shared" si="72"/>
        <v>0.76312461261395292</v>
      </c>
      <c r="O67" s="78">
        <f t="shared" si="72"/>
        <v>1</v>
      </c>
      <c r="P67" s="78">
        <f t="shared" si="72"/>
        <v>1.1008448389017682</v>
      </c>
      <c r="Q67" s="78">
        <f t="shared" si="72"/>
        <v>0.77804709868216293</v>
      </c>
      <c r="R67" s="78">
        <f t="shared" si="72"/>
        <v>0.91388966660509752</v>
      </c>
      <c r="S67" s="78">
        <f t="shared" si="72"/>
        <v>0.97105701348165396</v>
      </c>
      <c r="T67" s="78">
        <f t="shared" si="72"/>
        <v>1.0385447146826783</v>
      </c>
      <c r="U67" s="78">
        <f t="shared" si="72"/>
        <v>0.98359067787364429</v>
      </c>
      <c r="V67" s="78">
        <f t="shared" si="72"/>
        <v>1.2216867458117335</v>
      </c>
      <c r="W67" s="78">
        <f t="shared" si="72"/>
        <v>1.1151804441571675</v>
      </c>
      <c r="X67" s="78">
        <f t="shared" si="72"/>
        <v>1.2123262675877131</v>
      </c>
      <c r="Y67" s="78">
        <f t="shared" si="72"/>
        <v>1.2408984159742729</v>
      </c>
      <c r="Z67" s="78">
        <f t="shared" si="72"/>
        <v>0.55018425125815784</v>
      </c>
      <c r="AA67" s="78">
        <f t="shared" si="72"/>
        <v>0.97607545770015136</v>
      </c>
      <c r="AC67" s="78">
        <f t="shared" ref="AC67:BH67" si="73">AC40/$CQ40</f>
        <v>1.0601236072023965</v>
      </c>
      <c r="AD67" s="78">
        <f t="shared" si="73"/>
        <v>1.044046321873161</v>
      </c>
      <c r="AE67" s="78">
        <f t="shared" si="73"/>
        <v>1.1504326927798136</v>
      </c>
      <c r="AF67" s="78">
        <f t="shared" si="73"/>
        <v>1.0865086123341257</v>
      </c>
      <c r="AG67" s="78">
        <f t="shared" si="73"/>
        <v>1.0622379306264451</v>
      </c>
      <c r="AH67" s="78">
        <f t="shared" si="73"/>
        <v>1.2128563562323511</v>
      </c>
      <c r="AI67" s="78">
        <f t="shared" si="73"/>
        <v>1.2018104460254575</v>
      </c>
      <c r="AJ67" s="78">
        <f t="shared" si="73"/>
        <v>1.2889369678878975</v>
      </c>
      <c r="AK67" s="78">
        <f t="shared" si="73"/>
        <v>0.68740045827726171</v>
      </c>
      <c r="AL67" s="78">
        <f t="shared" si="73"/>
        <v>0.97127188088547267</v>
      </c>
      <c r="AM67" s="78">
        <f t="shared" si="73"/>
        <v>1.0654651800425718</v>
      </c>
      <c r="AN67" s="78">
        <f t="shared" si="73"/>
        <v>0.98476648821967872</v>
      </c>
      <c r="AO67" s="78">
        <f t="shared" si="73"/>
        <v>0.65353006932349456</v>
      </c>
      <c r="AP67" s="78">
        <f t="shared" si="73"/>
        <v>0.76834385191268872</v>
      </c>
      <c r="AQ67" s="78">
        <f t="shared" si="73"/>
        <v>1.0689939542851763</v>
      </c>
      <c r="AR67" s="78">
        <f t="shared" si="73"/>
        <v>1.0279250112828784</v>
      </c>
      <c r="AS67" s="78">
        <f t="shared" si="73"/>
        <v>1.0900863335734439</v>
      </c>
      <c r="AT67" s="78">
        <f t="shared" si="73"/>
        <v>1.0836470199650747</v>
      </c>
      <c r="AU67" s="78">
        <f t="shared" si="73"/>
        <v>0.94421687893100514</v>
      </c>
      <c r="AV67" s="78">
        <f t="shared" si="73"/>
        <v>0.99557250569723388</v>
      </c>
      <c r="AW67" s="78">
        <f t="shared" si="73"/>
        <v>0.81185931593895799</v>
      </c>
      <c r="AX67" s="78">
        <f t="shared" si="73"/>
        <v>0.73238289924830202</v>
      </c>
      <c r="AY67" s="78">
        <f t="shared" si="73"/>
        <v>0.77984664525592362</v>
      </c>
      <c r="AZ67" s="78">
        <f t="shared" si="73"/>
        <v>0.66946905538231982</v>
      </c>
      <c r="BA67" s="78">
        <f t="shared" si="73"/>
        <v>0.73907715246083638</v>
      </c>
      <c r="BB67" s="78">
        <f t="shared" si="73"/>
        <v>0.88719138530125274</v>
      </c>
      <c r="BC67" s="78">
        <f t="shared" si="73"/>
        <v>0.92735994811676636</v>
      </c>
      <c r="BD67" s="78">
        <f t="shared" si="73"/>
        <v>0.71865093787891154</v>
      </c>
      <c r="BE67" s="78">
        <f t="shared" si="73"/>
        <v>1.1237007290667442</v>
      </c>
      <c r="BF67" s="78">
        <f t="shared" si="73"/>
        <v>1.1014909318135102</v>
      </c>
      <c r="BG67" s="78">
        <f t="shared" si="73"/>
        <v>1.05252226168586</v>
      </c>
      <c r="BH67" s="78">
        <f t="shared" si="73"/>
        <v>0.92732674891988398</v>
      </c>
      <c r="BI67" s="78">
        <f t="shared" ref="BI67:CP67" si="74">BI40/$CQ40</f>
        <v>1.1182160796316953</v>
      </c>
      <c r="BJ67" s="78">
        <f t="shared" si="74"/>
        <v>0.67134931153758159</v>
      </c>
      <c r="BK67" s="78">
        <f t="shared" si="74"/>
        <v>0.73466168005037114</v>
      </c>
      <c r="BL67" s="78">
        <f t="shared" si="74"/>
        <v>0.61545849914009843</v>
      </c>
      <c r="BM67" s="78">
        <f t="shared" si="74"/>
        <v>1.0515408793515009</v>
      </c>
      <c r="BN67" s="78">
        <f t="shared" si="74"/>
        <v>1.0048513812984712</v>
      </c>
      <c r="BO67" s="78">
        <f t="shared" si="74"/>
        <v>0.55708542960524221</v>
      </c>
      <c r="BP67" s="78">
        <f t="shared" si="74"/>
        <v>0.79513723695180261</v>
      </c>
      <c r="BQ67" s="78">
        <f t="shared" si="74"/>
        <v>0.88513396893392093</v>
      </c>
      <c r="BR67" s="78">
        <f t="shared" si="74"/>
        <v>0.8688286159028844</v>
      </c>
      <c r="BS67" s="78">
        <f t="shared" si="74"/>
        <v>0.81762944387434566</v>
      </c>
      <c r="BT67" s="78">
        <f t="shared" si="74"/>
        <v>1.0044274943027665</v>
      </c>
      <c r="BU67" s="78">
        <f t="shared" si="74"/>
        <v>0.90665677362849018</v>
      </c>
      <c r="BV67" s="78">
        <f t="shared" si="74"/>
        <v>0.94917987889000355</v>
      </c>
      <c r="BW67" s="78">
        <f t="shared" si="74"/>
        <v>1.1578853062506034</v>
      </c>
      <c r="BX67" s="78">
        <f t="shared" si="74"/>
        <v>1.0510261164308909</v>
      </c>
      <c r="BY67" s="78">
        <f t="shared" si="74"/>
        <v>1.1111177432329902</v>
      </c>
      <c r="BZ67" s="78">
        <f t="shared" si="74"/>
        <v>1.1504367278350247</v>
      </c>
      <c r="CA67" s="78">
        <f t="shared" si="74"/>
        <v>1.1762931449789666</v>
      </c>
      <c r="CB67" s="78">
        <f t="shared" si="74"/>
        <v>1.1080552708930493</v>
      </c>
      <c r="CC67" s="78">
        <f t="shared" si="74"/>
        <v>1.1565664810668768</v>
      </c>
      <c r="CD67" s="78">
        <f t="shared" si="74"/>
        <v>1.2495892209516954</v>
      </c>
      <c r="CE67" s="78">
        <f t="shared" si="74"/>
        <v>1.1227720733506208</v>
      </c>
      <c r="CF67" s="78">
        <f t="shared" si="74"/>
        <v>1.156621682123905</v>
      </c>
      <c r="CG67" s="78">
        <f t="shared" si="74"/>
        <v>1.3668163959611412</v>
      </c>
      <c r="CH67" s="78">
        <f t="shared" si="74"/>
        <v>1.302049891471412</v>
      </c>
      <c r="CI67" s="78">
        <f t="shared" si="74"/>
        <v>1.3220961596507714</v>
      </c>
      <c r="CJ67" s="78">
        <f t="shared" si="74"/>
        <v>0.60552725491340154</v>
      </c>
      <c r="CK67" s="78">
        <f t="shared" si="74"/>
        <v>0.58233919983581683</v>
      </c>
      <c r="CL67" s="78">
        <f t="shared" si="74"/>
        <v>0.89992855856693332</v>
      </c>
      <c r="CM67" s="78">
        <f t="shared" si="74"/>
        <v>0.88283375591269708</v>
      </c>
      <c r="CN67" s="78">
        <f t="shared" si="74"/>
        <v>0.89992855856693332</v>
      </c>
      <c r="CO67" s="78">
        <f t="shared" si="74"/>
        <v>0.78997831044194011</v>
      </c>
      <c r="CP67" s="78">
        <f t="shared" si="74"/>
        <v>0.79513723695180261</v>
      </c>
    </row>
    <row r="68" spans="1:94">
      <c r="A68" s="26" t="s">
        <v>159</v>
      </c>
      <c r="B68" s="20" t="s">
        <v>94</v>
      </c>
      <c r="C68" s="78">
        <f t="shared" ref="C68:AA68" si="75">C41/$AB41</f>
        <v>0.52044215370217217</v>
      </c>
      <c r="D68" s="78">
        <f t="shared" si="75"/>
        <v>1.2165957421045064</v>
      </c>
      <c r="E68" s="78">
        <f t="shared" si="75"/>
        <v>1.3813386332795541</v>
      </c>
      <c r="F68" s="78">
        <f t="shared" si="75"/>
        <v>1.1754689617955829</v>
      </c>
      <c r="G68" s="78">
        <f t="shared" si="75"/>
        <v>0.71884533118978433</v>
      </c>
      <c r="H68" s="78">
        <f t="shared" si="75"/>
        <v>1.0472910863869009</v>
      </c>
      <c r="I68" s="78">
        <f t="shared" si="75"/>
        <v>0.6713225885764218</v>
      </c>
      <c r="J68" s="78">
        <f t="shared" si="75"/>
        <v>1.026628529658884</v>
      </c>
      <c r="K68" s="78">
        <f t="shared" si="75"/>
        <v>0.95195346869262731</v>
      </c>
      <c r="L68" s="78">
        <f t="shared" si="75"/>
        <v>1.1072401644202645</v>
      </c>
      <c r="M68" s="78">
        <f t="shared" si="75"/>
        <v>0.83785712959721081</v>
      </c>
      <c r="N68" s="78">
        <f t="shared" si="75"/>
        <v>0.81066856119427744</v>
      </c>
      <c r="O68" s="78">
        <f t="shared" si="75"/>
        <v>0.99740819980566653</v>
      </c>
      <c r="P68" s="78">
        <f t="shared" si="75"/>
        <v>1.1121133365519102</v>
      </c>
      <c r="Q68" s="78">
        <f t="shared" si="75"/>
        <v>0.84107812724683895</v>
      </c>
      <c r="R68" s="78">
        <f t="shared" si="75"/>
        <v>0.87881852436634056</v>
      </c>
      <c r="S68" s="78">
        <f t="shared" si="75"/>
        <v>0.92879676293205682</v>
      </c>
      <c r="T68" s="78">
        <f t="shared" si="75"/>
        <v>1.0177216588377542</v>
      </c>
      <c r="U68" s="78">
        <f t="shared" si="75"/>
        <v>1</v>
      </c>
      <c r="V68" s="78">
        <f t="shared" si="75"/>
        <v>1.2349742755958404</v>
      </c>
      <c r="W68" s="78">
        <f t="shared" si="75"/>
        <v>1.1052619464678788</v>
      </c>
      <c r="X68" s="78">
        <f t="shared" si="75"/>
        <v>1.205567033320283</v>
      </c>
      <c r="Y68" s="78">
        <f t="shared" si="75"/>
        <v>1.2607660053446896</v>
      </c>
      <c r="Z68" s="78">
        <f t="shared" si="75"/>
        <v>0.53953589495074961</v>
      </c>
      <c r="AA68" s="78">
        <f t="shared" si="75"/>
        <v>0.9485797152579597</v>
      </c>
      <c r="AC68" s="78">
        <f t="shared" ref="AC68:BH68" si="76">AC41/$CQ41</f>
        <v>1.0688598801925069</v>
      </c>
      <c r="AD68" s="78">
        <f t="shared" si="76"/>
        <v>1.0641256313790586</v>
      </c>
      <c r="AE68" s="78">
        <f t="shared" si="76"/>
        <v>1.1494180856983005</v>
      </c>
      <c r="AF68" s="78">
        <f t="shared" si="76"/>
        <v>1.086514365883225</v>
      </c>
      <c r="AG68" s="78">
        <f t="shared" si="76"/>
        <v>1.0453969730971095</v>
      </c>
      <c r="AH68" s="78">
        <f t="shared" si="76"/>
        <v>1.2227627314837308</v>
      </c>
      <c r="AI68" s="78">
        <f t="shared" si="76"/>
        <v>1.2008771543031467</v>
      </c>
      <c r="AJ68" s="78">
        <f t="shared" si="76"/>
        <v>1.2990493595427779</v>
      </c>
      <c r="AK68" s="78">
        <f t="shared" si="76"/>
        <v>0.65977562403143564</v>
      </c>
      <c r="AL68" s="78">
        <f t="shared" si="76"/>
        <v>0.98096957544053864</v>
      </c>
      <c r="AM68" s="78">
        <f t="shared" si="76"/>
        <v>1.0912429047651242</v>
      </c>
      <c r="AN68" s="78">
        <f t="shared" si="76"/>
        <v>0.97837233278732105</v>
      </c>
      <c r="AO68" s="78">
        <f t="shared" si="76"/>
        <v>0.6118576166118499</v>
      </c>
      <c r="AP68" s="78">
        <f t="shared" si="76"/>
        <v>0.74686517358575799</v>
      </c>
      <c r="AQ68" s="78">
        <f t="shared" si="76"/>
        <v>1.0996899672784299</v>
      </c>
      <c r="AR68" s="78">
        <f t="shared" si="76"/>
        <v>1.0451685734461789</v>
      </c>
      <c r="AS68" s="78">
        <f t="shared" si="76"/>
        <v>1.1121735737495309</v>
      </c>
      <c r="AT68" s="78">
        <f t="shared" si="76"/>
        <v>1.090816060402525</v>
      </c>
      <c r="AU68" s="78">
        <f t="shared" si="76"/>
        <v>0.94482118687144878</v>
      </c>
      <c r="AV68" s="78">
        <f t="shared" si="76"/>
        <v>0.99318779453774209</v>
      </c>
      <c r="AW68" s="78">
        <f t="shared" si="76"/>
        <v>0.80396432833645715</v>
      </c>
      <c r="AX68" s="78">
        <f t="shared" si="76"/>
        <v>0.60378571540208581</v>
      </c>
      <c r="AY68" s="78">
        <f t="shared" si="76"/>
        <v>0.79138086237490335</v>
      </c>
      <c r="AZ68" s="78">
        <f t="shared" si="76"/>
        <v>0.66441782525695081</v>
      </c>
      <c r="BA68" s="78">
        <f t="shared" si="76"/>
        <v>0.65702969295392999</v>
      </c>
      <c r="BB68" s="78">
        <f t="shared" si="76"/>
        <v>0.89352411477642357</v>
      </c>
      <c r="BC68" s="78">
        <f t="shared" si="76"/>
        <v>0.9609560329916087</v>
      </c>
      <c r="BD68" s="78">
        <f t="shared" si="76"/>
        <v>0.72344451721648073</v>
      </c>
      <c r="BE68" s="78">
        <f t="shared" si="76"/>
        <v>1.1311269770030399</v>
      </c>
      <c r="BF68" s="78">
        <f t="shared" si="76"/>
        <v>1.1199215997884779</v>
      </c>
      <c r="BG68" s="78">
        <f t="shared" si="76"/>
        <v>1.0525983066462481</v>
      </c>
      <c r="BH68" s="78">
        <f t="shared" si="76"/>
        <v>0.95518656935296442</v>
      </c>
      <c r="BI68" s="78">
        <f t="shared" ref="BI68:CP68" si="77">BI41/$CQ41</f>
        <v>1.1177725520094621</v>
      </c>
      <c r="BJ68" s="78">
        <f t="shared" si="77"/>
        <v>0.7305580393006339</v>
      </c>
      <c r="BK68" s="78">
        <f t="shared" si="77"/>
        <v>0.71569067690569432</v>
      </c>
      <c r="BL68" s="78">
        <f t="shared" si="77"/>
        <v>0.59669659075324188</v>
      </c>
      <c r="BM68" s="78">
        <f t="shared" si="77"/>
        <v>1.0268844168600217</v>
      </c>
      <c r="BN68" s="78">
        <f t="shared" si="77"/>
        <v>1.0256532395371234</v>
      </c>
      <c r="BO68" s="78">
        <f t="shared" si="77"/>
        <v>0.62067341995908898</v>
      </c>
      <c r="BP68" s="78">
        <f t="shared" si="77"/>
        <v>0.78476897062951667</v>
      </c>
      <c r="BQ68" s="78">
        <f t="shared" si="77"/>
        <v>0.89900923986243797</v>
      </c>
      <c r="BR68" s="78">
        <f t="shared" si="77"/>
        <v>0.90052275535367587</v>
      </c>
      <c r="BS68" s="78">
        <f t="shared" si="77"/>
        <v>0.85772178682385658</v>
      </c>
      <c r="BT68" s="78">
        <f t="shared" si="77"/>
        <v>1.0068122054622581</v>
      </c>
      <c r="BU68" s="78">
        <f t="shared" si="77"/>
        <v>0.7858880971511123</v>
      </c>
      <c r="BV68" s="78">
        <f t="shared" si="77"/>
        <v>0.96151084603782921</v>
      </c>
      <c r="BW68" s="78">
        <f t="shared" si="77"/>
        <v>1.1747465023791033</v>
      </c>
      <c r="BX68" s="78">
        <f t="shared" si="77"/>
        <v>1.0587104924322379</v>
      </c>
      <c r="BY68" s="78">
        <f t="shared" si="77"/>
        <v>1.1551336649989237</v>
      </c>
      <c r="BZ68" s="78">
        <f t="shared" si="77"/>
        <v>1.1479774894969579</v>
      </c>
      <c r="CA68" s="78">
        <f t="shared" si="77"/>
        <v>1.1770289976078516</v>
      </c>
      <c r="CB68" s="78">
        <f t="shared" si="77"/>
        <v>1.1688490457525478</v>
      </c>
      <c r="CC68" s="78">
        <f t="shared" si="77"/>
        <v>1.1984977366856986</v>
      </c>
      <c r="CD68" s="78">
        <f t="shared" si="77"/>
        <v>1.2603367441170172</v>
      </c>
      <c r="CE68" s="78">
        <f t="shared" si="77"/>
        <v>1.1636510968691471</v>
      </c>
      <c r="CF68" s="78">
        <f t="shared" si="77"/>
        <v>1.1695650794245329</v>
      </c>
      <c r="CG68" s="78">
        <f t="shared" si="77"/>
        <v>1.3743038422498062</v>
      </c>
      <c r="CH68" s="78">
        <f t="shared" si="77"/>
        <v>1.3089983753372143</v>
      </c>
      <c r="CI68" s="78">
        <f t="shared" si="77"/>
        <v>1.3604412997580708</v>
      </c>
      <c r="CJ68" s="78">
        <f t="shared" si="77"/>
        <v>0.52994015204761935</v>
      </c>
      <c r="CK68" s="78">
        <f t="shared" si="77"/>
        <v>0.59505540239385113</v>
      </c>
      <c r="CL68" s="78">
        <f t="shared" si="77"/>
        <v>0.89688334376681855</v>
      </c>
      <c r="CM68" s="78">
        <f t="shared" si="77"/>
        <v>0.85077744066942185</v>
      </c>
      <c r="CN68" s="78">
        <f t="shared" si="77"/>
        <v>0.89688334376681855</v>
      </c>
      <c r="CO68" s="78">
        <f t="shared" si="77"/>
        <v>0.79521154739829647</v>
      </c>
      <c r="CP68" s="78">
        <f t="shared" si="77"/>
        <v>0.71963776172089255</v>
      </c>
    </row>
    <row r="69" spans="1:94">
      <c r="A69" s="26" t="s">
        <v>107</v>
      </c>
      <c r="B69" s="20" t="s">
        <v>94</v>
      </c>
      <c r="C69" s="78">
        <f t="shared" ref="C69:AA69" si="78">C42/$AB42</f>
        <v>0.65882272803293396</v>
      </c>
      <c r="D69" s="78">
        <f t="shared" si="78"/>
        <v>1.286995900027498</v>
      </c>
      <c r="E69" s="78">
        <f t="shared" si="78"/>
        <v>1.3973381157030544</v>
      </c>
      <c r="F69" s="78">
        <f t="shared" si="78"/>
        <v>1.2084617477969668</v>
      </c>
      <c r="G69" s="78">
        <f t="shared" si="78"/>
        <v>0.91494132207612633</v>
      </c>
      <c r="H69" s="78">
        <f t="shared" si="78"/>
        <v>1.0322229197427368</v>
      </c>
      <c r="I69" s="78">
        <f t="shared" si="78"/>
        <v>0.70125921956020631</v>
      </c>
      <c r="J69" s="78">
        <f t="shared" si="78"/>
        <v>1.0871795936554074</v>
      </c>
      <c r="K69" s="78">
        <f t="shared" si="78"/>
        <v>1.033032658629486</v>
      </c>
      <c r="L69" s="78">
        <f t="shared" si="78"/>
        <v>1.1949509488935894</v>
      </c>
      <c r="M69" s="78">
        <f t="shared" si="78"/>
        <v>0.97114533624837696</v>
      </c>
      <c r="N69" s="78">
        <f t="shared" si="78"/>
        <v>0.8748642550185658</v>
      </c>
      <c r="O69" s="78">
        <f t="shared" si="78"/>
        <v>1</v>
      </c>
      <c r="P69" s="78">
        <f t="shared" si="78"/>
        <v>1.1309942797286174</v>
      </c>
      <c r="Q69" s="78">
        <f t="shared" si="78"/>
        <v>0.80769784180426429</v>
      </c>
      <c r="R69" s="78">
        <f t="shared" si="78"/>
        <v>0.9087865128162349</v>
      </c>
      <c r="S69" s="78">
        <f t="shared" si="78"/>
        <v>0.92431699859614624</v>
      </c>
      <c r="T69" s="78">
        <f t="shared" si="78"/>
        <v>0.97850010633310314</v>
      </c>
      <c r="U69" s="78">
        <f t="shared" si="78"/>
        <v>0.99428254822601225</v>
      </c>
      <c r="V69" s="78">
        <f t="shared" si="78"/>
        <v>1.1459927475920408</v>
      </c>
      <c r="W69" s="78">
        <f t="shared" si="78"/>
        <v>1.0317361644042842</v>
      </c>
      <c r="X69" s="78">
        <f t="shared" si="78"/>
        <v>1.2229585005435137</v>
      </c>
      <c r="Y69" s="78">
        <f t="shared" si="78"/>
        <v>1.3001713741688092</v>
      </c>
      <c r="Z69" s="78">
        <f t="shared" si="78"/>
        <v>0.48159074213413788</v>
      </c>
      <c r="AA69" s="78">
        <f t="shared" si="78"/>
        <v>0.96075991111687964</v>
      </c>
      <c r="AC69" s="78">
        <f t="shared" ref="AC69:BH69" si="79">AC42/$CQ42</f>
        <v>1.0540777339811922</v>
      </c>
      <c r="AD69" s="78">
        <f t="shared" si="79"/>
        <v>1.0584312199725985</v>
      </c>
      <c r="AE69" s="78">
        <f t="shared" si="79"/>
        <v>1.1352100292068494</v>
      </c>
      <c r="AF69" s="78">
        <f t="shared" si="79"/>
        <v>1.0533210905006098</v>
      </c>
      <c r="AG69" s="78">
        <f t="shared" si="79"/>
        <v>1.0806477233527092</v>
      </c>
      <c r="AH69" s="78">
        <f t="shared" si="79"/>
        <v>1.1820069156535331</v>
      </c>
      <c r="AI69" s="78">
        <f t="shared" si="79"/>
        <v>1.2009841577023097</v>
      </c>
      <c r="AJ69" s="78">
        <f t="shared" si="79"/>
        <v>1.2714576626104723</v>
      </c>
      <c r="AK69" s="78">
        <f t="shared" si="79"/>
        <v>0.70605050552777526</v>
      </c>
      <c r="AL69" s="78">
        <f t="shared" si="79"/>
        <v>0.96827528315814371</v>
      </c>
      <c r="AM69" s="78">
        <f t="shared" si="79"/>
        <v>1.1084342835128869</v>
      </c>
      <c r="AN69" s="78">
        <f t="shared" si="79"/>
        <v>1.0456146008149854</v>
      </c>
      <c r="AO69" s="78">
        <f t="shared" si="79"/>
        <v>0.68126094081236988</v>
      </c>
      <c r="AP69" s="78">
        <f t="shared" si="79"/>
        <v>0.69266936435767124</v>
      </c>
      <c r="AQ69" s="78">
        <f t="shared" si="79"/>
        <v>1.0893173871018553</v>
      </c>
      <c r="AR69" s="78">
        <f t="shared" si="79"/>
        <v>1.0879792900418936</v>
      </c>
      <c r="AS69" s="78">
        <f t="shared" si="79"/>
        <v>1.1241764723457377</v>
      </c>
      <c r="AT69" s="78">
        <f t="shared" si="79"/>
        <v>1.1305899153707195</v>
      </c>
      <c r="AU69" s="78">
        <f t="shared" si="79"/>
        <v>0.95061897858669819</v>
      </c>
      <c r="AV69" s="78">
        <f t="shared" si="79"/>
        <v>1.0245098019047292</v>
      </c>
      <c r="AW69" s="78">
        <f t="shared" si="79"/>
        <v>0.86080828393678455</v>
      </c>
      <c r="AX69" s="78">
        <f t="shared" si="79"/>
        <v>0.76456583151868118</v>
      </c>
      <c r="AY69" s="78">
        <f t="shared" si="79"/>
        <v>0.82560216442325962</v>
      </c>
      <c r="AZ69" s="78">
        <f t="shared" si="79"/>
        <v>0.79600725284423024</v>
      </c>
      <c r="BA69" s="78">
        <f t="shared" si="79"/>
        <v>0.70693514971531868</v>
      </c>
      <c r="BB69" s="78">
        <f t="shared" si="79"/>
        <v>0.86830432252160739</v>
      </c>
      <c r="BC69" s="78">
        <f t="shared" si="79"/>
        <v>0.95249626805819565</v>
      </c>
      <c r="BD69" s="78">
        <f t="shared" si="79"/>
        <v>0.67548118646003186</v>
      </c>
      <c r="BE69" s="78">
        <f t="shared" si="79"/>
        <v>1.1450309944400421</v>
      </c>
      <c r="BF69" s="78">
        <f t="shared" si="79"/>
        <v>1.137208354055713</v>
      </c>
      <c r="BG69" s="78">
        <f t="shared" si="79"/>
        <v>1.0658449292366832</v>
      </c>
      <c r="BH69" s="78">
        <f t="shared" si="79"/>
        <v>0.96801332342960333</v>
      </c>
      <c r="BI69" s="78">
        <f t="shared" ref="BI69:CP69" si="80">BI42/$CQ42</f>
        <v>1.1626943946235515</v>
      </c>
      <c r="BJ69" s="78">
        <f t="shared" si="80"/>
        <v>0.67832821639198848</v>
      </c>
      <c r="BK69" s="78">
        <f t="shared" si="80"/>
        <v>0.67849331064603668</v>
      </c>
      <c r="BL69" s="78">
        <f t="shared" si="80"/>
        <v>0.71814503395071405</v>
      </c>
      <c r="BM69" s="78">
        <f t="shared" si="80"/>
        <v>1.0568259204777921</v>
      </c>
      <c r="BN69" s="78">
        <f t="shared" si="80"/>
        <v>0.98718785916278218</v>
      </c>
      <c r="BO69" s="78">
        <f t="shared" si="80"/>
        <v>0.558324813671075</v>
      </c>
      <c r="BP69" s="78">
        <f t="shared" si="80"/>
        <v>0.775207440082614</v>
      </c>
      <c r="BQ69" s="78">
        <f t="shared" si="80"/>
        <v>0.87210947135293726</v>
      </c>
      <c r="BR69" s="78">
        <f t="shared" si="80"/>
        <v>0.90452520513375945</v>
      </c>
      <c r="BS69" s="78">
        <f t="shared" si="80"/>
        <v>0.79120863640671135</v>
      </c>
      <c r="BT69" s="78">
        <f t="shared" si="80"/>
        <v>0.98833545774344755</v>
      </c>
      <c r="BU69" s="78">
        <f t="shared" si="80"/>
        <v>0.8965515315240189</v>
      </c>
      <c r="BV69" s="78">
        <f t="shared" si="80"/>
        <v>0.91477770714069084</v>
      </c>
      <c r="BW69" s="78">
        <f t="shared" si="80"/>
        <v>1.1359023096836705</v>
      </c>
      <c r="BX69" s="78">
        <f t="shared" si="80"/>
        <v>1.0116645422565524</v>
      </c>
      <c r="BY69" s="78">
        <f t="shared" si="80"/>
        <v>1.1289650587342261</v>
      </c>
      <c r="BZ69" s="78">
        <f t="shared" si="80"/>
        <v>1.1370068616194253</v>
      </c>
      <c r="CA69" s="78">
        <f t="shared" si="80"/>
        <v>1.1378167780255697</v>
      </c>
      <c r="CB69" s="78">
        <f t="shared" si="80"/>
        <v>1.1468908072945643</v>
      </c>
      <c r="CC69" s="78">
        <f t="shared" si="80"/>
        <v>1.1497356873770839</v>
      </c>
      <c r="CD69" s="78">
        <f t="shared" si="80"/>
        <v>1.261321127950165</v>
      </c>
      <c r="CE69" s="78">
        <f t="shared" si="80"/>
        <v>1.1639374273443064</v>
      </c>
      <c r="CF69" s="78">
        <f t="shared" si="80"/>
        <v>1.1396334896210694</v>
      </c>
      <c r="CG69" s="78">
        <f t="shared" si="80"/>
        <v>1.349903934555589</v>
      </c>
      <c r="CH69" s="78">
        <f t="shared" si="80"/>
        <v>1.3050481004272854</v>
      </c>
      <c r="CI69" s="78">
        <f t="shared" si="80"/>
        <v>1.3258491691260383</v>
      </c>
      <c r="CJ69" s="78">
        <f t="shared" si="80"/>
        <v>0.56960321233622491</v>
      </c>
      <c r="CK69" s="78">
        <f t="shared" si="80"/>
        <v>0.59249224151760294</v>
      </c>
      <c r="CL69" s="78">
        <f t="shared" si="80"/>
        <v>0.77173332297997832</v>
      </c>
      <c r="CM69" s="78">
        <f t="shared" si="80"/>
        <v>0.81987543488799808</v>
      </c>
      <c r="CN69" s="78">
        <f t="shared" si="80"/>
        <v>0.77173332297997832</v>
      </c>
      <c r="CO69" s="78">
        <f t="shared" si="80"/>
        <v>0.64032736917639976</v>
      </c>
      <c r="CP69" s="78">
        <f t="shared" si="80"/>
        <v>0.71434437689648767</v>
      </c>
    </row>
    <row r="70" spans="1:94">
      <c r="A70" s="5"/>
      <c r="B70" s="7" t="s">
        <v>97</v>
      </c>
      <c r="C70" s="81">
        <f t="shared" ref="C70:AA70" si="81">AVERAGE(C65:C69)</f>
        <v>0.59347440894226211</v>
      </c>
      <c r="D70" s="82">
        <f t="shared" si="81"/>
        <v>1.2360769579889443</v>
      </c>
      <c r="E70" s="82">
        <f t="shared" si="81"/>
        <v>1.3844338043488518</v>
      </c>
      <c r="F70" s="82">
        <f t="shared" si="81"/>
        <v>1.1931916375099199</v>
      </c>
      <c r="G70" s="82">
        <f t="shared" si="81"/>
        <v>0.78084127856615559</v>
      </c>
      <c r="H70" s="82">
        <f t="shared" si="81"/>
        <v>1.0470244453927824</v>
      </c>
      <c r="I70" s="82">
        <f t="shared" si="81"/>
        <v>0.68078856994903558</v>
      </c>
      <c r="J70" s="82">
        <f t="shared" si="81"/>
        <v>1.036952465580081</v>
      </c>
      <c r="K70" s="82">
        <f t="shared" si="81"/>
        <v>0.95966283465945534</v>
      </c>
      <c r="L70" s="82">
        <f t="shared" si="81"/>
        <v>1.1249518942651093</v>
      </c>
      <c r="M70" s="82">
        <f t="shared" si="81"/>
        <v>0.87712943911251473</v>
      </c>
      <c r="N70" s="82">
        <f t="shared" si="81"/>
        <v>0.81791190933901681</v>
      </c>
      <c r="O70" s="82">
        <f t="shared" si="81"/>
        <v>0.99948163996113326</v>
      </c>
      <c r="P70" s="82">
        <f t="shared" si="81"/>
        <v>1.1231770045174232</v>
      </c>
      <c r="Q70" s="82">
        <f t="shared" si="81"/>
        <v>0.8160452318589273</v>
      </c>
      <c r="R70" s="82">
        <f t="shared" si="81"/>
        <v>0.88018391197866774</v>
      </c>
      <c r="S70" s="82">
        <f t="shared" si="81"/>
        <v>0.93520674685152971</v>
      </c>
      <c r="T70" s="82">
        <f t="shared" si="81"/>
        <v>1.0124849360035764</v>
      </c>
      <c r="U70" s="82">
        <f t="shared" si="81"/>
        <v>0.99666655911096913</v>
      </c>
      <c r="V70" s="82">
        <f t="shared" si="81"/>
        <v>1.2039844231526875</v>
      </c>
      <c r="W70" s="82">
        <f t="shared" si="81"/>
        <v>1.0849336435070496</v>
      </c>
      <c r="X70" s="82">
        <f t="shared" si="81"/>
        <v>1.2104822632813204</v>
      </c>
      <c r="Y70" s="82">
        <f t="shared" si="81"/>
        <v>1.2727419801431754</v>
      </c>
      <c r="Z70" s="82">
        <f t="shared" si="81"/>
        <v>0.52465890261925741</v>
      </c>
      <c r="AA70" s="82">
        <f t="shared" si="81"/>
        <v>0.96575804300571855</v>
      </c>
      <c r="AB70" s="82"/>
      <c r="AC70" s="82">
        <f t="shared" ref="AC70:BH70" si="82">AVERAGE(AC65:AC69)</f>
        <v>1.0568954526053997</v>
      </c>
      <c r="AD70" s="82">
        <f t="shared" si="82"/>
        <v>1.0449762539193368</v>
      </c>
      <c r="AE70" s="82">
        <f t="shared" si="82"/>
        <v>1.144439259641137</v>
      </c>
      <c r="AF70" s="82">
        <f t="shared" si="82"/>
        <v>1.0666683469828615</v>
      </c>
      <c r="AG70" s="82">
        <f t="shared" si="82"/>
        <v>1.0548791341379016</v>
      </c>
      <c r="AH70" s="82">
        <f t="shared" si="82"/>
        <v>1.2089380219956236</v>
      </c>
      <c r="AI70" s="82">
        <f t="shared" si="82"/>
        <v>1.2093977555388917</v>
      </c>
      <c r="AJ70" s="82">
        <f t="shared" si="82"/>
        <v>1.2936814262127601</v>
      </c>
      <c r="AK70" s="82">
        <f t="shared" si="82"/>
        <v>0.68156011480833312</v>
      </c>
      <c r="AL70" s="82">
        <f t="shared" si="82"/>
        <v>0.96804157202837438</v>
      </c>
      <c r="AM70" s="82">
        <f t="shared" si="82"/>
        <v>1.0851883514459302</v>
      </c>
      <c r="AN70" s="82">
        <f t="shared" si="82"/>
        <v>1.0051025777219622</v>
      </c>
      <c r="AO70" s="82">
        <f t="shared" si="82"/>
        <v>0.65434885508242902</v>
      </c>
      <c r="AP70" s="82">
        <f t="shared" si="82"/>
        <v>0.74571970523564324</v>
      </c>
      <c r="AQ70" s="82">
        <f t="shared" si="82"/>
        <v>1.079604044253323</v>
      </c>
      <c r="AR70" s="82">
        <f t="shared" si="82"/>
        <v>1.0337689491708475</v>
      </c>
      <c r="AS70" s="82">
        <f t="shared" si="82"/>
        <v>1.1038486629883983</v>
      </c>
      <c r="AT70" s="82">
        <f t="shared" si="82"/>
        <v>1.0988986093688173</v>
      </c>
      <c r="AU70" s="82">
        <f t="shared" si="82"/>
        <v>0.94474732892428415</v>
      </c>
      <c r="AV70" s="82">
        <f t="shared" si="82"/>
        <v>1.0091499570932192</v>
      </c>
      <c r="AW70" s="82">
        <f t="shared" si="82"/>
        <v>0.83372962794482386</v>
      </c>
      <c r="AX70" s="82">
        <f t="shared" si="82"/>
        <v>0.66807171838438373</v>
      </c>
      <c r="AY70" s="82">
        <f t="shared" si="82"/>
        <v>0.79538817990509936</v>
      </c>
      <c r="AZ70" s="82">
        <f t="shared" si="82"/>
        <v>0.70661221476895109</v>
      </c>
      <c r="BA70" s="82">
        <f t="shared" si="82"/>
        <v>0.67375132063480658</v>
      </c>
      <c r="BB70" s="82">
        <f t="shared" si="82"/>
        <v>0.88329543067654248</v>
      </c>
      <c r="BC70" s="82">
        <f t="shared" si="82"/>
        <v>0.94091250941075977</v>
      </c>
      <c r="BD70" s="82">
        <f t="shared" si="82"/>
        <v>0.69922799635242505</v>
      </c>
      <c r="BE70" s="82">
        <f t="shared" si="82"/>
        <v>1.1317168094423415</v>
      </c>
      <c r="BF70" s="82">
        <f t="shared" si="82"/>
        <v>1.1117610983027506</v>
      </c>
      <c r="BG70" s="82">
        <f t="shared" si="82"/>
        <v>1.0660822726916932</v>
      </c>
      <c r="BH70" s="82">
        <f t="shared" si="82"/>
        <v>0.96320867256420173</v>
      </c>
      <c r="BI70" s="82">
        <f t="shared" ref="BI70:CN70" si="83">AVERAGE(BI65:BI69)</f>
        <v>1.1421928703472553</v>
      </c>
      <c r="BJ70" s="82">
        <f t="shared" si="83"/>
        <v>0.68989232249801158</v>
      </c>
      <c r="BK70" s="82">
        <f t="shared" si="83"/>
        <v>0.7123560437108658</v>
      </c>
      <c r="BL70" s="82">
        <f t="shared" si="83"/>
        <v>0.67316690563350357</v>
      </c>
      <c r="BM70" s="82">
        <f t="shared" si="83"/>
        <v>1.0448457959979436</v>
      </c>
      <c r="BN70" s="82">
        <f t="shared" si="83"/>
        <v>1.0144081148735673</v>
      </c>
      <c r="BO70" s="82">
        <f t="shared" si="83"/>
        <v>0.56861819005765357</v>
      </c>
      <c r="BP70" s="82">
        <f t="shared" si="83"/>
        <v>0.7781531754380866</v>
      </c>
      <c r="BQ70" s="82">
        <f t="shared" si="83"/>
        <v>0.88904002486523948</v>
      </c>
      <c r="BR70" s="82">
        <f t="shared" si="83"/>
        <v>0.88489087200582739</v>
      </c>
      <c r="BS70" s="82">
        <f t="shared" si="83"/>
        <v>0.81312050856279361</v>
      </c>
      <c r="BT70" s="82">
        <f t="shared" si="83"/>
        <v>0.99957348818357228</v>
      </c>
      <c r="BU70" s="82">
        <f t="shared" si="83"/>
        <v>0.82909252190768679</v>
      </c>
      <c r="BV70" s="82">
        <f t="shared" si="83"/>
        <v>0.94486296567892258</v>
      </c>
      <c r="BW70" s="82">
        <f t="shared" si="83"/>
        <v>1.1592211519105287</v>
      </c>
      <c r="BX70" s="82">
        <f t="shared" si="83"/>
        <v>1.0435990105387702</v>
      </c>
      <c r="BY70" s="82">
        <f t="shared" si="83"/>
        <v>1.1273073602356971</v>
      </c>
      <c r="BZ70" s="82">
        <f t="shared" si="83"/>
        <v>1.145616530670275</v>
      </c>
      <c r="CA70" s="82">
        <f t="shared" si="83"/>
        <v>1.1660359031325556</v>
      </c>
      <c r="CB70" s="82">
        <f t="shared" si="83"/>
        <v>1.1390157508512129</v>
      </c>
      <c r="CC70" s="82">
        <f t="shared" si="83"/>
        <v>1.1575047282827917</v>
      </c>
      <c r="CD70" s="82">
        <f t="shared" si="83"/>
        <v>1.2664766347104981</v>
      </c>
      <c r="CE70" s="82">
        <f t="shared" si="83"/>
        <v>1.1506419490790152</v>
      </c>
      <c r="CF70" s="82">
        <f t="shared" si="83"/>
        <v>1.1601681998189863</v>
      </c>
      <c r="CG70" s="82">
        <f t="shared" si="83"/>
        <v>1.3710830512367977</v>
      </c>
      <c r="CH70" s="82">
        <f t="shared" si="83"/>
        <v>1.3150439829221008</v>
      </c>
      <c r="CI70" s="82">
        <f t="shared" si="83"/>
        <v>1.3414106245314517</v>
      </c>
      <c r="CJ70" s="82">
        <f t="shared" si="83"/>
        <v>0.56285305876410086</v>
      </c>
      <c r="CK70" s="82">
        <f t="shared" si="83"/>
        <v>0.59808891532175923</v>
      </c>
      <c r="CL70" s="82">
        <f t="shared" si="83"/>
        <v>0.82733893641057021</v>
      </c>
      <c r="CM70" s="82">
        <f t="shared" si="83"/>
        <v>0.84838233376846384</v>
      </c>
      <c r="CN70" s="82">
        <f t="shared" si="83"/>
        <v>0.82733893641057021</v>
      </c>
      <c r="CO70" s="82">
        <f t="shared" ref="CO70:CP70" si="84">AVERAGE(CO65:CO69)</f>
        <v>0.75210023671793202</v>
      </c>
      <c r="CP70" s="82">
        <f t="shared" si="84"/>
        <v>0.73915552980103472</v>
      </c>
    </row>
    <row r="71" spans="1:94">
      <c r="A71" s="5"/>
      <c r="B71" s="7" t="s">
        <v>98</v>
      </c>
      <c r="C71" s="83">
        <f t="shared" ref="C71:AA71" si="85">_xlfn.STDEV.S(C65:C69)</f>
        <v>5.6000212704033193E-2</v>
      </c>
      <c r="D71" s="84">
        <f t="shared" si="85"/>
        <v>3.2760160614693577E-2</v>
      </c>
      <c r="E71" s="84">
        <f t="shared" si="85"/>
        <v>7.5908609240051749E-3</v>
      </c>
      <c r="F71" s="84">
        <f t="shared" si="85"/>
        <v>1.8146157221959964E-2</v>
      </c>
      <c r="G71" s="84">
        <f t="shared" si="85"/>
        <v>0.1041093851024768</v>
      </c>
      <c r="H71" s="84">
        <f t="shared" si="85"/>
        <v>9.0475657928450262E-3</v>
      </c>
      <c r="I71" s="84">
        <f t="shared" si="85"/>
        <v>1.2113163884229127E-2</v>
      </c>
      <c r="J71" s="84">
        <f t="shared" si="85"/>
        <v>3.891094219638859E-2</v>
      </c>
      <c r="K71" s="84">
        <f t="shared" si="85"/>
        <v>5.4357604246341153E-2</v>
      </c>
      <c r="L71" s="84">
        <f t="shared" si="85"/>
        <v>5.0021452687755076E-2</v>
      </c>
      <c r="M71" s="84">
        <f t="shared" si="85"/>
        <v>7.4095098923659314E-2</v>
      </c>
      <c r="N71" s="84">
        <f t="shared" si="85"/>
        <v>4.0497321569790003E-2</v>
      </c>
      <c r="O71" s="84">
        <f t="shared" si="85"/>
        <v>1.1590882837253613E-3</v>
      </c>
      <c r="P71" s="84">
        <f t="shared" si="85"/>
        <v>2.5291302688762122E-2</v>
      </c>
      <c r="Q71" s="84">
        <f t="shared" si="85"/>
        <v>3.0285006058668844E-2</v>
      </c>
      <c r="R71" s="84">
        <f t="shared" si="85"/>
        <v>5.1017763855007087E-2</v>
      </c>
      <c r="S71" s="84">
        <f t="shared" si="85"/>
        <v>2.2777216416878219E-2</v>
      </c>
      <c r="T71" s="84">
        <f t="shared" si="85"/>
        <v>2.1625699177279439E-2</v>
      </c>
      <c r="U71" s="84">
        <f t="shared" si="85"/>
        <v>8.5719849223247855E-3</v>
      </c>
      <c r="V71" s="84">
        <f t="shared" si="85"/>
        <v>4.4737066700131556E-2</v>
      </c>
      <c r="W71" s="84">
        <f t="shared" si="85"/>
        <v>4.1392648060038242E-2</v>
      </c>
      <c r="X71" s="84">
        <f t="shared" si="85"/>
        <v>7.8305652850455074E-3</v>
      </c>
      <c r="Y71" s="84">
        <f t="shared" si="85"/>
        <v>2.4388621081969864E-2</v>
      </c>
      <c r="Z71" s="84">
        <f t="shared" si="85"/>
        <v>2.727891629971935E-2</v>
      </c>
      <c r="AA71" s="84">
        <f t="shared" si="85"/>
        <v>1.4995691968889764E-2</v>
      </c>
      <c r="AB71" s="84"/>
      <c r="AC71" s="84">
        <f t="shared" ref="AC71:BH71" si="86">_xlfn.STDEV.S(AC65:AC69)</f>
        <v>2.6127859533261293E-2</v>
      </c>
      <c r="AD71" s="84">
        <f t="shared" si="86"/>
        <v>1.6334940939789613E-2</v>
      </c>
      <c r="AE71" s="84">
        <f t="shared" si="86"/>
        <v>9.1160003370053273E-3</v>
      </c>
      <c r="AF71" s="84">
        <f t="shared" si="86"/>
        <v>2.1320781759800032E-2</v>
      </c>
      <c r="AG71" s="84">
        <f t="shared" si="86"/>
        <v>1.9291040450991545E-2</v>
      </c>
      <c r="AH71" s="84">
        <f t="shared" si="86"/>
        <v>1.5793313603925763E-2</v>
      </c>
      <c r="AI71" s="84">
        <f t="shared" si="86"/>
        <v>1.1581847062908027E-2</v>
      </c>
      <c r="AJ71" s="84">
        <f t="shared" si="86"/>
        <v>1.720373580888121E-2</v>
      </c>
      <c r="AK71" s="84">
        <f t="shared" si="86"/>
        <v>2.0526430985383485E-2</v>
      </c>
      <c r="AL71" s="84">
        <f t="shared" si="86"/>
        <v>2.2450928224286369E-2</v>
      </c>
      <c r="AM71" s="84">
        <f t="shared" si="86"/>
        <v>2.2516565311361664E-2</v>
      </c>
      <c r="AN71" s="84">
        <f t="shared" si="86"/>
        <v>3.0361755073387887E-2</v>
      </c>
      <c r="AO71" s="84">
        <f t="shared" si="86"/>
        <v>3.1336944253581793E-2</v>
      </c>
      <c r="AP71" s="84">
        <f t="shared" si="86"/>
        <v>3.8015643950997588E-2</v>
      </c>
      <c r="AQ71" s="84">
        <f t="shared" si="86"/>
        <v>1.6863025826227205E-2</v>
      </c>
      <c r="AR71" s="84">
        <f t="shared" si="86"/>
        <v>3.9059548375334097E-2</v>
      </c>
      <c r="AS71" s="84">
        <f t="shared" si="86"/>
        <v>1.4908280082817736E-2</v>
      </c>
      <c r="AT71" s="84">
        <f t="shared" si="86"/>
        <v>1.9021877022871309E-2</v>
      </c>
      <c r="AU71" s="84">
        <f t="shared" si="86"/>
        <v>5.4705190540230517E-3</v>
      </c>
      <c r="AV71" s="84">
        <f t="shared" si="86"/>
        <v>1.4699465583789963E-2</v>
      </c>
      <c r="AW71" s="84">
        <f t="shared" si="86"/>
        <v>2.4612115250775436E-2</v>
      </c>
      <c r="AX71" s="84">
        <f t="shared" si="86"/>
        <v>8.4349396814586225E-2</v>
      </c>
      <c r="AY71" s="84">
        <f t="shared" si="86"/>
        <v>2.8246892576331388E-2</v>
      </c>
      <c r="AZ71" s="84">
        <f t="shared" si="86"/>
        <v>5.3720441501428857E-2</v>
      </c>
      <c r="BA71" s="84">
        <f t="shared" si="86"/>
        <v>5.870360033733394E-2</v>
      </c>
      <c r="BB71" s="84">
        <f t="shared" si="86"/>
        <v>1.5849820860746957E-2</v>
      </c>
      <c r="BC71" s="84">
        <f t="shared" si="86"/>
        <v>1.5093431863399407E-2</v>
      </c>
      <c r="BD71" s="84">
        <f t="shared" si="86"/>
        <v>3.2240851391830729E-2</v>
      </c>
      <c r="BE71" s="84">
        <f t="shared" si="86"/>
        <v>2.3561966996302385E-2</v>
      </c>
      <c r="BF71" s="84">
        <f t="shared" si="86"/>
        <v>2.7638686925492695E-2</v>
      </c>
      <c r="BG71" s="84">
        <f t="shared" si="86"/>
        <v>2.5239239753511326E-2</v>
      </c>
      <c r="BH71" s="84">
        <f t="shared" si="86"/>
        <v>3.1398663459975912E-2</v>
      </c>
      <c r="BI71" s="84">
        <f t="shared" ref="BI71:CP71" si="87">_xlfn.STDEV.S(BI65:BI69)</f>
        <v>2.2907599357166977E-2</v>
      </c>
      <c r="BJ71" s="84">
        <f t="shared" si="87"/>
        <v>2.6174991860010353E-2</v>
      </c>
      <c r="BK71" s="84">
        <f t="shared" si="87"/>
        <v>3.3166473311230835E-2</v>
      </c>
      <c r="BL71" s="84">
        <f t="shared" si="87"/>
        <v>6.205900882074343E-2</v>
      </c>
      <c r="BM71" s="84">
        <f t="shared" si="87"/>
        <v>3.9868989404836075E-2</v>
      </c>
      <c r="BN71" s="84">
        <f t="shared" si="87"/>
        <v>3.8170334446387642E-2</v>
      </c>
      <c r="BO71" s="84">
        <f t="shared" si="87"/>
        <v>7.2158867101013324E-2</v>
      </c>
      <c r="BP71" s="84">
        <f t="shared" si="87"/>
        <v>1.613844726029106E-2</v>
      </c>
      <c r="BQ71" s="84">
        <f t="shared" si="87"/>
        <v>1.6836958131432031E-2</v>
      </c>
      <c r="BR71" s="84">
        <f t="shared" si="87"/>
        <v>2.8523341731883908E-2</v>
      </c>
      <c r="BS71" s="84">
        <f t="shared" si="87"/>
        <v>3.3585197187135145E-2</v>
      </c>
      <c r="BT71" s="84">
        <f t="shared" si="87"/>
        <v>1.2301435220538021E-2</v>
      </c>
      <c r="BU71" s="84">
        <f t="shared" si="87"/>
        <v>6.6367555168176634E-2</v>
      </c>
      <c r="BV71" s="84">
        <f t="shared" si="87"/>
        <v>1.9469820450839205E-2</v>
      </c>
      <c r="BW71" s="84">
        <f t="shared" si="87"/>
        <v>1.451010604888303E-2</v>
      </c>
      <c r="BX71" s="84">
        <f t="shared" si="87"/>
        <v>2.2738479651464295E-2</v>
      </c>
      <c r="BY71" s="84">
        <f t="shared" si="87"/>
        <v>1.9533243753128132E-2</v>
      </c>
      <c r="BZ71" s="84">
        <f t="shared" si="87"/>
        <v>1.2982216217271109E-2</v>
      </c>
      <c r="CA71" s="84">
        <f t="shared" si="87"/>
        <v>1.6443748634818491E-2</v>
      </c>
      <c r="CB71" s="84">
        <f t="shared" si="87"/>
        <v>2.8263049847470689E-2</v>
      </c>
      <c r="CC71" s="84">
        <f t="shared" si="87"/>
        <v>2.4401382005581142E-2</v>
      </c>
      <c r="CD71" s="84">
        <f t="shared" si="87"/>
        <v>1.3790354580332603E-2</v>
      </c>
      <c r="CE71" s="84">
        <f t="shared" si="87"/>
        <v>1.7176797578909886E-2</v>
      </c>
      <c r="CF71" s="84">
        <f t="shared" si="87"/>
        <v>1.2640254995738559E-2</v>
      </c>
      <c r="CG71" s="84">
        <f t="shared" si="87"/>
        <v>1.7145848246641483E-2</v>
      </c>
      <c r="CH71" s="84">
        <f t="shared" si="87"/>
        <v>1.8987183494083154E-2</v>
      </c>
      <c r="CI71" s="84">
        <f t="shared" si="87"/>
        <v>2.8470696670900374E-2</v>
      </c>
      <c r="CJ71" s="84">
        <f t="shared" si="87"/>
        <v>3.608303072689361E-2</v>
      </c>
      <c r="CK71" s="84">
        <f t="shared" si="87"/>
        <v>2.2889345972330929E-2</v>
      </c>
      <c r="CL71" s="84">
        <f t="shared" si="87"/>
        <v>6.6847129657677695E-2</v>
      </c>
      <c r="CM71" s="84">
        <f t="shared" si="87"/>
        <v>2.4912877013985795E-2</v>
      </c>
      <c r="CN71" s="84">
        <f t="shared" si="87"/>
        <v>6.6847129657677695E-2</v>
      </c>
      <c r="CO71" s="84">
        <f t="shared" si="87"/>
        <v>6.952459165506443E-2</v>
      </c>
      <c r="CP71" s="84">
        <f t="shared" si="87"/>
        <v>3.305266894523258E-2</v>
      </c>
    </row>
    <row r="72" spans="1:94">
      <c r="A72" s="5"/>
      <c r="B72" s="27"/>
    </row>
    <row r="73" spans="1:94">
      <c r="A73" s="5"/>
      <c r="B73" s="5"/>
    </row>
    <row r="74" spans="1:94">
      <c r="A74" s="6" t="s">
        <v>101</v>
      </c>
      <c r="B74" s="5"/>
    </row>
    <row r="75" spans="1:94">
      <c r="A75" s="18" t="s">
        <v>158</v>
      </c>
      <c r="B75" s="61" t="s">
        <v>95</v>
      </c>
      <c r="C75" s="79">
        <f t="shared" ref="C75:AA75" si="88">C48/$AB48</f>
        <v>0.6393414643963512</v>
      </c>
      <c r="D75" s="79">
        <f t="shared" si="88"/>
        <v>1.2916701923541878</v>
      </c>
      <c r="E75" s="79">
        <f t="shared" si="88"/>
        <v>1.3839979618937204</v>
      </c>
      <c r="F75" s="79">
        <f t="shared" si="88"/>
        <v>1.2169855881633562</v>
      </c>
      <c r="G75" s="79">
        <f t="shared" si="88"/>
        <v>0.74324965472158155</v>
      </c>
      <c r="H75" s="79">
        <f t="shared" si="88"/>
        <v>1.0320147913932809</v>
      </c>
      <c r="I75" s="79">
        <f t="shared" si="88"/>
        <v>0.66721523381405234</v>
      </c>
      <c r="J75" s="79">
        <f t="shared" si="88"/>
        <v>1.0737464967218671</v>
      </c>
      <c r="K75" s="79">
        <f t="shared" si="88"/>
        <v>1.0151917481407766</v>
      </c>
      <c r="L75" s="79">
        <f t="shared" si="88"/>
        <v>1.1917092729964696</v>
      </c>
      <c r="M75" s="79">
        <f t="shared" si="88"/>
        <v>0.89682100370776163</v>
      </c>
      <c r="N75" s="79">
        <f t="shared" si="88"/>
        <v>0.87538129107354268</v>
      </c>
      <c r="O75" s="79">
        <f t="shared" si="88"/>
        <v>1</v>
      </c>
      <c r="P75" s="79">
        <f t="shared" si="88"/>
        <v>1.1065686094523066</v>
      </c>
      <c r="Q75" s="79">
        <f t="shared" si="88"/>
        <v>0.82082616617619741</v>
      </c>
      <c r="R75" s="79">
        <f t="shared" si="88"/>
        <v>0.85644472155704465</v>
      </c>
      <c r="S75" s="79">
        <f t="shared" si="88"/>
        <v>0.88061031914704457</v>
      </c>
      <c r="T75" s="79">
        <f t="shared" si="88"/>
        <v>0.98858613858084732</v>
      </c>
      <c r="U75" s="79">
        <f t="shared" si="88"/>
        <v>0.99487678455260753</v>
      </c>
      <c r="V75" s="79">
        <f t="shared" si="88"/>
        <v>1.1449274057311063</v>
      </c>
      <c r="W75" s="79">
        <f t="shared" si="88"/>
        <v>1.0066855034750166</v>
      </c>
      <c r="X75" s="79">
        <f t="shared" si="88"/>
        <v>1.1745678176419274</v>
      </c>
      <c r="Y75" s="79">
        <f t="shared" si="88"/>
        <v>1.28338793592673</v>
      </c>
      <c r="Z75" s="79">
        <f t="shared" si="88"/>
        <v>0.57254187964897507</v>
      </c>
      <c r="AA75" s="79">
        <f t="shared" si="88"/>
        <v>0.97945947749432283</v>
      </c>
      <c r="AB75" s="79"/>
      <c r="AC75" s="79">
        <f t="shared" ref="AC75:BH75" si="89">AC48/$CQ48</f>
        <v>1.0090882597327955</v>
      </c>
      <c r="AD75" s="79">
        <f t="shared" si="89"/>
        <v>0.98790974769970052</v>
      </c>
      <c r="AE75" s="79">
        <f t="shared" si="89"/>
        <v>1.1451655405419363</v>
      </c>
      <c r="AF75" s="79">
        <f t="shared" si="89"/>
        <v>1.0126351673285996</v>
      </c>
      <c r="AG75" s="79">
        <f t="shared" si="89"/>
        <v>1.0587957321287835</v>
      </c>
      <c r="AH75" s="79">
        <f t="shared" si="89"/>
        <v>1.1991875727685262</v>
      </c>
      <c r="AI75" s="79">
        <f t="shared" si="89"/>
        <v>1.2063125516910991</v>
      </c>
      <c r="AJ75" s="79">
        <f t="shared" si="89"/>
        <v>1.2717504738655463</v>
      </c>
      <c r="AK75" s="79">
        <f t="shared" si="89"/>
        <v>0.7490737817894717</v>
      </c>
      <c r="AL75" s="79">
        <f t="shared" si="89"/>
        <v>0.93863294458657942</v>
      </c>
      <c r="AM75" s="79">
        <f t="shared" si="89"/>
        <v>1.0873351899108654</v>
      </c>
      <c r="AN75" s="79">
        <f t="shared" si="89"/>
        <v>1.0062196503411436</v>
      </c>
      <c r="AO75" s="79">
        <f t="shared" si="89"/>
        <v>0.70541802712620472</v>
      </c>
      <c r="AP75" s="79">
        <f t="shared" si="89"/>
        <v>0.81123540611090494</v>
      </c>
      <c r="AQ75" s="79">
        <f t="shared" si="89"/>
        <v>1.0774015087696722</v>
      </c>
      <c r="AR75" s="79">
        <f t="shared" si="89"/>
        <v>1.0268860417022645</v>
      </c>
      <c r="AS75" s="79">
        <f t="shared" si="89"/>
        <v>1.1101402199829655</v>
      </c>
      <c r="AT75" s="79">
        <f t="shared" si="89"/>
        <v>1.1285086940532183</v>
      </c>
      <c r="AU75" s="79">
        <f t="shared" si="89"/>
        <v>0.91448680233216462</v>
      </c>
      <c r="AV75" s="79">
        <f t="shared" si="89"/>
        <v>1.0467144493451299</v>
      </c>
      <c r="AW75" s="79">
        <f t="shared" si="89"/>
        <v>0.8788310700171954</v>
      </c>
      <c r="AX75" s="79">
        <f t="shared" si="89"/>
        <v>0.71983480770565067</v>
      </c>
      <c r="AY75" s="79">
        <f t="shared" si="89"/>
        <v>0.80984591926351068</v>
      </c>
      <c r="AZ75" s="79">
        <f t="shared" si="89"/>
        <v>0.85139987063361466</v>
      </c>
      <c r="BA75" s="79">
        <f t="shared" si="89"/>
        <v>0.70174000476565834</v>
      </c>
      <c r="BB75" s="79">
        <f t="shared" si="89"/>
        <v>0.92130333496041139</v>
      </c>
      <c r="BC75" s="79">
        <f t="shared" si="89"/>
        <v>0.94445945319612246</v>
      </c>
      <c r="BD75" s="79">
        <f t="shared" si="89"/>
        <v>0.78158764221359922</v>
      </c>
      <c r="BE75" s="79">
        <f t="shared" si="89"/>
        <v>1.1602880093385322</v>
      </c>
      <c r="BF75" s="79">
        <f t="shared" si="89"/>
        <v>1.0786236206229443</v>
      </c>
      <c r="BG75" s="79">
        <f t="shared" si="89"/>
        <v>1.0810193796127388</v>
      </c>
      <c r="BH75" s="79">
        <f t="shared" si="89"/>
        <v>1.0001079852600312</v>
      </c>
      <c r="BI75" s="79">
        <f t="shared" ref="BI75:CP75" si="90">BI48/$CQ48</f>
        <v>1.1302268323221289</v>
      </c>
      <c r="BJ75" s="79">
        <f t="shared" si="90"/>
        <v>0.70371022586162846</v>
      </c>
      <c r="BK75" s="79">
        <f t="shared" si="90"/>
        <v>0.80722088038983819</v>
      </c>
      <c r="BL75" s="79">
        <f t="shared" si="90"/>
        <v>0.77829155406875261</v>
      </c>
      <c r="BM75" s="79">
        <f t="shared" si="90"/>
        <v>1.0345718316738146</v>
      </c>
      <c r="BN75" s="79">
        <f t="shared" si="90"/>
        <v>0.9998920147399688</v>
      </c>
      <c r="BO75" s="79">
        <f t="shared" si="90"/>
        <v>0.62151245920762144</v>
      </c>
      <c r="BP75" s="79">
        <f t="shared" si="90"/>
        <v>0.68542447862891753</v>
      </c>
      <c r="BQ75" s="79">
        <f t="shared" si="90"/>
        <v>0.86681979821448163</v>
      </c>
      <c r="BR75" s="79">
        <f t="shared" si="90"/>
        <v>0.83560683841604366</v>
      </c>
      <c r="BS75" s="79">
        <f t="shared" si="90"/>
        <v>0.73523042896986046</v>
      </c>
      <c r="BT75" s="79">
        <f t="shared" si="90"/>
        <v>0.98039773411616715</v>
      </c>
      <c r="BU75" s="79">
        <f t="shared" si="90"/>
        <v>0.73954078098487697</v>
      </c>
      <c r="BV75" s="79">
        <f t="shared" si="90"/>
        <v>0.9056038067668295</v>
      </c>
      <c r="BW75" s="79">
        <f t="shared" si="90"/>
        <v>1.1174779230897174</v>
      </c>
      <c r="BX75" s="79">
        <f t="shared" si="90"/>
        <v>1.0218818873125013</v>
      </c>
      <c r="BY75" s="79">
        <f t="shared" si="90"/>
        <v>1.0569820800558403</v>
      </c>
      <c r="BZ75" s="79">
        <f t="shared" si="90"/>
        <v>1.0971041641828039</v>
      </c>
      <c r="CA75" s="79">
        <f t="shared" si="90"/>
        <v>1.1526930713274661</v>
      </c>
      <c r="CB75" s="79">
        <f t="shared" si="90"/>
        <v>1.0797951580830381</v>
      </c>
      <c r="CC75" s="79">
        <f t="shared" si="90"/>
        <v>1.080269118967232</v>
      </c>
      <c r="CD75" s="79">
        <f t="shared" si="90"/>
        <v>1.252348268216523</v>
      </c>
      <c r="CE75" s="79">
        <f t="shared" si="90"/>
        <v>1.1260945536354963</v>
      </c>
      <c r="CF75" s="79">
        <f t="shared" si="90"/>
        <v>1.1343629379836331</v>
      </c>
      <c r="CG75" s="79">
        <f t="shared" si="90"/>
        <v>1.3486022580042514</v>
      </c>
      <c r="CH75" s="79">
        <f t="shared" si="90"/>
        <v>1.2799391510192941</v>
      </c>
      <c r="CI75" s="79">
        <f t="shared" si="90"/>
        <v>1.2928671121159183</v>
      </c>
      <c r="CJ75" s="79">
        <f t="shared" si="90"/>
        <v>0.64605656000301603</v>
      </c>
      <c r="CK75" s="79">
        <f t="shared" si="90"/>
        <v>0.70243967020779252</v>
      </c>
      <c r="CL75" s="79">
        <f t="shared" si="90"/>
        <v>0.80202864954895192</v>
      </c>
      <c r="CM75" s="79">
        <f t="shared" si="90"/>
        <v>0.87878882640618228</v>
      </c>
      <c r="CN75" s="79">
        <f t="shared" si="90"/>
        <v>0.80202864954895192</v>
      </c>
      <c r="CO75" s="79">
        <f t="shared" si="90"/>
        <v>0.77812395995140371</v>
      </c>
      <c r="CP75" s="79">
        <f t="shared" si="90"/>
        <v>0.69409275868811204</v>
      </c>
    </row>
    <row r="76" spans="1:94">
      <c r="A76" s="18" t="s">
        <v>154</v>
      </c>
      <c r="B76" s="28" t="s">
        <v>95</v>
      </c>
      <c r="C76" s="79">
        <f t="shared" ref="C76:AA76" si="91">C49/$AB49</f>
        <v>0.60703384029697227</v>
      </c>
      <c r="D76" s="79">
        <f t="shared" si="91"/>
        <v>1.2650867576344607</v>
      </c>
      <c r="E76" s="79">
        <f t="shared" si="91"/>
        <v>1.3988256221143724</v>
      </c>
      <c r="F76" s="79">
        <f t="shared" si="91"/>
        <v>1.2394917123560842</v>
      </c>
      <c r="G76" s="79">
        <f t="shared" si="91"/>
        <v>0.70312828051510912</v>
      </c>
      <c r="H76" s="79">
        <f t="shared" si="91"/>
        <v>1.0504744111114195</v>
      </c>
      <c r="I76" s="79">
        <f t="shared" si="91"/>
        <v>0.6596462192828153</v>
      </c>
      <c r="J76" s="79">
        <f t="shared" si="91"/>
        <v>1.0431516488779762</v>
      </c>
      <c r="K76" s="79">
        <f t="shared" si="91"/>
        <v>0.87549986218856368</v>
      </c>
      <c r="L76" s="79">
        <f t="shared" si="91"/>
        <v>1.1121427423242312</v>
      </c>
      <c r="M76" s="79">
        <f t="shared" si="91"/>
        <v>0.87136611776740425</v>
      </c>
      <c r="N76" s="79">
        <f t="shared" si="91"/>
        <v>0.82317470204292575</v>
      </c>
      <c r="O76" s="79">
        <f t="shared" si="91"/>
        <v>0.99521467388377627</v>
      </c>
      <c r="P76" s="79">
        <f t="shared" si="91"/>
        <v>1.0813359468451333</v>
      </c>
      <c r="Q76" s="79">
        <f t="shared" si="91"/>
        <v>0.7935903664018843</v>
      </c>
      <c r="R76" s="79">
        <f t="shared" si="91"/>
        <v>0.86784251534781554</v>
      </c>
      <c r="S76" s="79">
        <f t="shared" si="91"/>
        <v>0.92525790650846529</v>
      </c>
      <c r="T76" s="79">
        <f t="shared" si="91"/>
        <v>1.0108802827619685</v>
      </c>
      <c r="U76" s="79">
        <f t="shared" si="91"/>
        <v>1</v>
      </c>
      <c r="V76" s="79">
        <f t="shared" si="91"/>
        <v>1.1864150858660467</v>
      </c>
      <c r="W76" s="79">
        <f t="shared" si="91"/>
        <v>1.0496983593388292</v>
      </c>
      <c r="X76" s="79">
        <f t="shared" si="91"/>
        <v>1.1990690747174004</v>
      </c>
      <c r="Y76" s="79">
        <f t="shared" si="91"/>
        <v>1.2632199920064522</v>
      </c>
      <c r="Z76" s="79">
        <f t="shared" si="91"/>
        <v>0.51112656472234097</v>
      </c>
      <c r="AA76" s="79">
        <f t="shared" si="91"/>
        <v>0.97739915703479407</v>
      </c>
      <c r="AB76" s="79"/>
      <c r="AC76" s="79">
        <f t="shared" ref="AC76:BH76" si="92">AC49/$CQ49</f>
        <v>1.0570650289562749</v>
      </c>
      <c r="AD76" s="79">
        <f t="shared" si="92"/>
        <v>1.0596744451140843</v>
      </c>
      <c r="AE76" s="79">
        <f t="shared" si="92"/>
        <v>1.1790959455986139</v>
      </c>
      <c r="AF76" s="79">
        <f t="shared" si="92"/>
        <v>1.0786294439623412</v>
      </c>
      <c r="AG76" s="79">
        <f t="shared" si="92"/>
        <v>1.0859349743096971</v>
      </c>
      <c r="AH76" s="79">
        <f t="shared" si="92"/>
        <v>1.2305871873000545</v>
      </c>
      <c r="AI76" s="79">
        <f t="shared" si="92"/>
        <v>1.2131031211035725</v>
      </c>
      <c r="AJ76" s="79">
        <f t="shared" si="92"/>
        <v>1.2815596268594829</v>
      </c>
      <c r="AK76" s="79">
        <f t="shared" si="92"/>
        <v>0.78596257738787823</v>
      </c>
      <c r="AL76" s="79">
        <f t="shared" si="92"/>
        <v>1.0027165090344805</v>
      </c>
      <c r="AM76" s="79">
        <f t="shared" si="92"/>
        <v>1.0914616910440693</v>
      </c>
      <c r="AN76" s="79">
        <f t="shared" si="92"/>
        <v>0.97065596542011012</v>
      </c>
      <c r="AO76" s="79">
        <f t="shared" si="92"/>
        <v>0.73643289862906114</v>
      </c>
      <c r="AP76" s="79">
        <f t="shared" si="92"/>
        <v>0.82110745819140929</v>
      </c>
      <c r="AQ76" s="79">
        <f t="shared" si="92"/>
        <v>1.1114170475734066</v>
      </c>
      <c r="AR76" s="79">
        <f t="shared" si="92"/>
        <v>1.0385628522241841</v>
      </c>
      <c r="AS76" s="79">
        <f t="shared" si="92"/>
        <v>1.1034280595164918</v>
      </c>
      <c r="AT76" s="79">
        <f t="shared" si="92"/>
        <v>1.1104279960895802</v>
      </c>
      <c r="AU76" s="79">
        <f t="shared" si="92"/>
        <v>0.92845056196312636</v>
      </c>
      <c r="AV76" s="79">
        <f t="shared" si="92"/>
        <v>1.0416126904360861</v>
      </c>
      <c r="AW76" s="79">
        <f t="shared" si="92"/>
        <v>0.86058003799023841</v>
      </c>
      <c r="AX76" s="79">
        <f t="shared" si="92"/>
        <v>0.70170692028495629</v>
      </c>
      <c r="AY76" s="79">
        <f t="shared" si="92"/>
        <v>0.70900566766632289</v>
      </c>
      <c r="AZ76" s="79">
        <f t="shared" si="92"/>
        <v>0.74611389424847074</v>
      </c>
      <c r="BA76" s="79">
        <f t="shared" si="92"/>
        <v>0.65272586848877023</v>
      </c>
      <c r="BB76" s="79">
        <f t="shared" si="92"/>
        <v>0.89072642112481004</v>
      </c>
      <c r="BC76" s="79">
        <f t="shared" si="92"/>
        <v>0.91879320031802603</v>
      </c>
      <c r="BD76" s="79">
        <f t="shared" si="92"/>
        <v>0.77175556624824937</v>
      </c>
      <c r="BE76" s="79">
        <f t="shared" si="92"/>
        <v>1.1090080611557804</v>
      </c>
      <c r="BF76" s="79">
        <f t="shared" si="92"/>
        <v>1.077143543210018</v>
      </c>
      <c r="BG76" s="79">
        <f t="shared" si="92"/>
        <v>1.0693160719450414</v>
      </c>
      <c r="BH76" s="79">
        <f t="shared" si="92"/>
        <v>0.95709587818388542</v>
      </c>
      <c r="BI76" s="79">
        <f t="shared" ref="BI76:CP76" si="93">BI49/$CQ49</f>
        <v>1.0820661032418339</v>
      </c>
      <c r="BJ76" s="79">
        <f t="shared" si="93"/>
        <v>0.69107752637317621</v>
      </c>
      <c r="BK76" s="79">
        <f t="shared" si="93"/>
        <v>0.78455618611496247</v>
      </c>
      <c r="BL76" s="79">
        <f t="shared" si="93"/>
        <v>0.75626338424633122</v>
      </c>
      <c r="BM76" s="79">
        <f t="shared" si="93"/>
        <v>1.0110614096890043</v>
      </c>
      <c r="BN76" s="79">
        <f t="shared" si="93"/>
        <v>1.012743564488475</v>
      </c>
      <c r="BO76" s="79">
        <f t="shared" si="93"/>
        <v>0.57749070199616737</v>
      </c>
      <c r="BP76" s="79">
        <f t="shared" si="93"/>
        <v>0.72846126781485221</v>
      </c>
      <c r="BQ76" s="79">
        <f t="shared" si="93"/>
        <v>0.94444285121934068</v>
      </c>
      <c r="BR76" s="79">
        <f t="shared" si="93"/>
        <v>0.88127997343666309</v>
      </c>
      <c r="BS76" s="79">
        <f t="shared" si="93"/>
        <v>0.78153399900396614</v>
      </c>
      <c r="BT76" s="79">
        <f t="shared" si="93"/>
        <v>0.99728349096551971</v>
      </c>
      <c r="BU76" s="79">
        <f t="shared" si="93"/>
        <v>0.78821854456629692</v>
      </c>
      <c r="BV76" s="79">
        <f t="shared" si="93"/>
        <v>0.97791091944369934</v>
      </c>
      <c r="BW76" s="79">
        <f t="shared" si="93"/>
        <v>1.1757633044628581</v>
      </c>
      <c r="BX76" s="79">
        <f t="shared" si="93"/>
        <v>1.0214874517944945</v>
      </c>
      <c r="BY76" s="79">
        <f t="shared" si="93"/>
        <v>1.116820036649288</v>
      </c>
      <c r="BZ76" s="79">
        <f t="shared" si="93"/>
        <v>1.1734054190034087</v>
      </c>
      <c r="CA76" s="79">
        <f t="shared" si="93"/>
        <v>1.1826631665751515</v>
      </c>
      <c r="CB76" s="79">
        <f t="shared" si="93"/>
        <v>0.94685060684532085</v>
      </c>
      <c r="CC76" s="79">
        <f t="shared" si="93"/>
        <v>1.1351025802195653</v>
      </c>
      <c r="CD76" s="79">
        <f t="shared" si="93"/>
        <v>1.2601607044160072</v>
      </c>
      <c r="CE76" s="79">
        <f t="shared" si="93"/>
        <v>1.1169805411173361</v>
      </c>
      <c r="CF76" s="79">
        <f t="shared" si="93"/>
        <v>1.169306865681238</v>
      </c>
      <c r="CG76" s="79">
        <f t="shared" si="93"/>
        <v>1.364615993502416</v>
      </c>
      <c r="CH76" s="79">
        <f t="shared" si="93"/>
        <v>1.2900404243882333</v>
      </c>
      <c r="CI76" s="79">
        <f t="shared" si="93"/>
        <v>1.3166270522380989</v>
      </c>
      <c r="CJ76" s="79">
        <f t="shared" si="93"/>
        <v>0.63397711682261593</v>
      </c>
      <c r="CK76" s="79">
        <f t="shared" si="93"/>
        <v>0.71370655250751491</v>
      </c>
      <c r="CL76" s="79">
        <f t="shared" si="93"/>
        <v>0.77562838990461791</v>
      </c>
      <c r="CM76" s="79">
        <f t="shared" si="93"/>
        <v>0.88436430403125821</v>
      </c>
      <c r="CN76" s="79">
        <f t="shared" si="93"/>
        <v>0.77562838990461791</v>
      </c>
      <c r="CO76" s="79">
        <f t="shared" si="93"/>
        <v>0.80652176483946902</v>
      </c>
      <c r="CP76" s="79">
        <f t="shared" si="93"/>
        <v>0.73300257689434989</v>
      </c>
    </row>
    <row r="77" spans="1:94">
      <c r="A77" s="18" t="s">
        <v>114</v>
      </c>
      <c r="B77" s="28" t="s">
        <v>95</v>
      </c>
      <c r="C77" s="79">
        <f t="shared" ref="C77:AA77" si="94">C50/$AB50</f>
        <v>0.53762030103019287</v>
      </c>
      <c r="D77" s="79">
        <f t="shared" si="94"/>
        <v>1.2794656666953255</v>
      </c>
      <c r="E77" s="79">
        <f t="shared" si="94"/>
        <v>1.3944283811275546</v>
      </c>
      <c r="F77" s="79">
        <f t="shared" si="94"/>
        <v>1.1894180560032424</v>
      </c>
      <c r="G77" s="79">
        <f t="shared" si="94"/>
        <v>0.80943769520537656</v>
      </c>
      <c r="H77" s="79">
        <f t="shared" si="94"/>
        <v>1.0210066279451244</v>
      </c>
      <c r="I77" s="79">
        <f t="shared" si="94"/>
        <v>0.73142358642552674</v>
      </c>
      <c r="J77" s="79">
        <f t="shared" si="94"/>
        <v>1.0735376218203194</v>
      </c>
      <c r="K77" s="79">
        <f t="shared" si="94"/>
        <v>0.99383785202554131</v>
      </c>
      <c r="L77" s="79">
        <f t="shared" si="94"/>
        <v>1.1993961273482583</v>
      </c>
      <c r="M77" s="79">
        <f t="shared" si="94"/>
        <v>0.89035542606535301</v>
      </c>
      <c r="N77" s="79">
        <f t="shared" si="94"/>
        <v>0.8497300914869006</v>
      </c>
      <c r="O77" s="79">
        <f t="shared" si="94"/>
        <v>1</v>
      </c>
      <c r="P77" s="79">
        <f t="shared" si="94"/>
        <v>1.1554208293567785</v>
      </c>
      <c r="Q77" s="79">
        <f t="shared" si="94"/>
        <v>0.88487187011272372</v>
      </c>
      <c r="R77" s="79">
        <f t="shared" si="94"/>
        <v>0.8563733326218359</v>
      </c>
      <c r="S77" s="79">
        <f t="shared" si="94"/>
        <v>0.89644762604047434</v>
      </c>
      <c r="T77" s="79">
        <f t="shared" si="94"/>
        <v>0.97035892220061637</v>
      </c>
      <c r="U77" s="79">
        <f t="shared" si="94"/>
        <v>0.99418511130852694</v>
      </c>
      <c r="V77" s="79">
        <f t="shared" si="94"/>
        <v>1.1539877212963814</v>
      </c>
      <c r="W77" s="79">
        <f t="shared" si="94"/>
        <v>1.0333947252313969</v>
      </c>
      <c r="X77" s="79">
        <f t="shared" si="94"/>
        <v>1.2010857334426919</v>
      </c>
      <c r="Y77" s="79">
        <f t="shared" si="94"/>
        <v>1.3030941233942293</v>
      </c>
      <c r="Z77" s="79">
        <f t="shared" si="94"/>
        <v>0.55423730887405465</v>
      </c>
      <c r="AA77" s="79">
        <f t="shared" si="94"/>
        <v>1.0064031947364329</v>
      </c>
      <c r="AB77" s="79"/>
      <c r="AC77" s="79">
        <f t="shared" ref="AC77:BH77" si="95">AC50/$CQ50</f>
        <v>1.0347936904099029</v>
      </c>
      <c r="AD77" s="79">
        <f t="shared" si="95"/>
        <v>1.0204655717184332</v>
      </c>
      <c r="AE77" s="79">
        <f t="shared" si="95"/>
        <v>1.1225857385228113</v>
      </c>
      <c r="AF77" s="79">
        <f t="shared" si="95"/>
        <v>1.0454953762973904</v>
      </c>
      <c r="AG77" s="79">
        <f t="shared" si="95"/>
        <v>1.0621534931288052</v>
      </c>
      <c r="AH77" s="79">
        <f t="shared" si="95"/>
        <v>1.197283609305259</v>
      </c>
      <c r="AI77" s="79">
        <f t="shared" si="95"/>
        <v>1.1861674789000682</v>
      </c>
      <c r="AJ77" s="79">
        <f t="shared" si="95"/>
        <v>1.2835017083363898</v>
      </c>
      <c r="AK77" s="79">
        <f t="shared" si="95"/>
        <v>0.63312752866946187</v>
      </c>
      <c r="AL77" s="79">
        <f t="shared" si="95"/>
        <v>0.96017411041147549</v>
      </c>
      <c r="AM77" s="79">
        <f t="shared" si="95"/>
        <v>1.107163896919487</v>
      </c>
      <c r="AN77" s="79">
        <f t="shared" si="95"/>
        <v>1.037720997596872</v>
      </c>
      <c r="AO77" s="79">
        <f t="shared" si="95"/>
        <v>0.60187200699251842</v>
      </c>
      <c r="AP77" s="79">
        <f t="shared" si="95"/>
        <v>0.78678360727692853</v>
      </c>
      <c r="AQ77" s="79">
        <f t="shared" si="95"/>
        <v>1.0844811087735875</v>
      </c>
      <c r="AR77" s="79">
        <f t="shared" si="95"/>
        <v>1.0045802490846902</v>
      </c>
      <c r="AS77" s="79">
        <f t="shared" si="95"/>
        <v>1.1272613803575267</v>
      </c>
      <c r="AT77" s="79">
        <f t="shared" si="95"/>
        <v>1.1100728005990803</v>
      </c>
      <c r="AU77" s="79">
        <f t="shared" si="95"/>
        <v>0.95646584647011978</v>
      </c>
      <c r="AV77" s="79">
        <f t="shared" si="95"/>
        <v>1.0313660701931009</v>
      </c>
      <c r="AW77" s="79">
        <f t="shared" si="95"/>
        <v>0.85917919635326678</v>
      </c>
      <c r="AX77" s="79">
        <f t="shared" si="95"/>
        <v>0.69825019926785825</v>
      </c>
      <c r="AY77" s="79">
        <f t="shared" si="95"/>
        <v>0.83030517884897037</v>
      </c>
      <c r="AZ77" s="79">
        <f t="shared" si="95"/>
        <v>0.63618762650160843</v>
      </c>
      <c r="BA77" s="79">
        <f t="shared" si="95"/>
        <v>0.76473566753291422</v>
      </c>
      <c r="BB77" s="79">
        <f t="shared" si="95"/>
        <v>0.87708637239630305</v>
      </c>
      <c r="BC77" s="79">
        <f t="shared" si="95"/>
        <v>0.94167261688527759</v>
      </c>
      <c r="BD77" s="79">
        <f t="shared" si="95"/>
        <v>0.66918313720459666</v>
      </c>
      <c r="BE77" s="79">
        <f t="shared" si="95"/>
        <v>1.1383152204497362</v>
      </c>
      <c r="BF77" s="79">
        <f t="shared" si="95"/>
        <v>1.0693981806267709</v>
      </c>
      <c r="BG77" s="79">
        <f t="shared" si="95"/>
        <v>1.0711745226155518</v>
      </c>
      <c r="BH77" s="79">
        <f t="shared" si="95"/>
        <v>0.96176733581744622</v>
      </c>
      <c r="BI77" s="79">
        <f t="shared" ref="BI77:CP77" si="96">BI50/$CQ50</f>
        <v>1.1377140714560785</v>
      </c>
      <c r="BJ77" s="79">
        <f t="shared" si="96"/>
        <v>0.68642985051956529</v>
      </c>
      <c r="BK77" s="79">
        <f t="shared" si="96"/>
        <v>0.71350581010042402</v>
      </c>
      <c r="BL77" s="79">
        <f t="shared" si="96"/>
        <v>0.70889048475575167</v>
      </c>
      <c r="BM77" s="79">
        <f t="shared" si="96"/>
        <v>0.99942482097936436</v>
      </c>
      <c r="BN77" s="79">
        <f t="shared" si="96"/>
        <v>1.0005751790206359</v>
      </c>
      <c r="BO77" s="79">
        <f t="shared" si="96"/>
        <v>0.51160929176986758</v>
      </c>
      <c r="BP77" s="79">
        <f t="shared" si="96"/>
        <v>0.75320331003271079</v>
      </c>
      <c r="BQ77" s="79">
        <f t="shared" si="96"/>
        <v>0.90577189487980381</v>
      </c>
      <c r="BR77" s="79">
        <f t="shared" si="96"/>
        <v>0.83797890552370047</v>
      </c>
      <c r="BS77" s="79">
        <f t="shared" si="96"/>
        <v>0.80328549761994117</v>
      </c>
      <c r="BT77" s="79">
        <f t="shared" si="96"/>
        <v>0.97249904225491368</v>
      </c>
      <c r="BU77" s="79">
        <f t="shared" si="96"/>
        <v>0.73648363318409504</v>
      </c>
      <c r="BV77" s="79">
        <f t="shared" si="96"/>
        <v>0.93918699946934614</v>
      </c>
      <c r="BW77" s="79">
        <f t="shared" si="96"/>
        <v>1.1303778338278021</v>
      </c>
      <c r="BX77" s="79">
        <f t="shared" si="96"/>
        <v>1.0253538182320405</v>
      </c>
      <c r="BY77" s="79">
        <f t="shared" si="96"/>
        <v>1.1090446177274342</v>
      </c>
      <c r="BZ77" s="79">
        <f t="shared" si="96"/>
        <v>1.1400669323501158</v>
      </c>
      <c r="CA77" s="79">
        <f t="shared" si="96"/>
        <v>1.1556043581043978</v>
      </c>
      <c r="CB77" s="79">
        <f t="shared" si="96"/>
        <v>1.1239066345659148</v>
      </c>
      <c r="CC77" s="79">
        <f t="shared" si="96"/>
        <v>1.1367808212694965</v>
      </c>
      <c r="CD77" s="79">
        <f t="shared" si="96"/>
        <v>1.2586840662373786</v>
      </c>
      <c r="CE77" s="79">
        <f t="shared" si="96"/>
        <v>1.10318984383398</v>
      </c>
      <c r="CF77" s="79">
        <f t="shared" si="96"/>
        <v>1.1414685667874194</v>
      </c>
      <c r="CG77" s="79">
        <f t="shared" si="96"/>
        <v>1.3627478765304053</v>
      </c>
      <c r="CH77" s="79">
        <f t="shared" si="96"/>
        <v>1.3051272933457871</v>
      </c>
      <c r="CI77" s="79">
        <f t="shared" si="96"/>
        <v>1.3184192824238439</v>
      </c>
      <c r="CJ77" s="79">
        <f t="shared" si="96"/>
        <v>0.54339527715197611</v>
      </c>
      <c r="CK77" s="79">
        <f t="shared" si="96"/>
        <v>0.50144171394832981</v>
      </c>
      <c r="CL77" s="79">
        <f t="shared" si="96"/>
        <v>0.78850747909774155</v>
      </c>
      <c r="CM77" s="79">
        <f t="shared" si="96"/>
        <v>0.83748137415995072</v>
      </c>
      <c r="CN77" s="79">
        <f t="shared" si="96"/>
        <v>0.78850747909774155</v>
      </c>
      <c r="CO77" s="79">
        <f t="shared" si="96"/>
        <v>0.76448882093636306</v>
      </c>
      <c r="CP77" s="79">
        <f t="shared" si="96"/>
        <v>0.69701690433876207</v>
      </c>
    </row>
    <row r="78" spans="1:94">
      <c r="A78" s="18" t="s">
        <v>115</v>
      </c>
      <c r="B78" s="28" t="s">
        <v>96</v>
      </c>
      <c r="C78" s="79">
        <f t="shared" ref="C78:AA78" si="97">C51/$AB51</f>
        <v>0.60821995702986253</v>
      </c>
      <c r="D78" s="79">
        <f t="shared" si="97"/>
        <v>1.2836678420204841</v>
      </c>
      <c r="E78" s="79">
        <f t="shared" si="97"/>
        <v>1.3744316124714433</v>
      </c>
      <c r="F78" s="79">
        <f t="shared" si="97"/>
        <v>1.1580665188739494</v>
      </c>
      <c r="G78" s="79">
        <f t="shared" si="97"/>
        <v>0.79017402220981015</v>
      </c>
      <c r="H78" s="79">
        <f t="shared" si="97"/>
        <v>1</v>
      </c>
      <c r="I78" s="79">
        <f t="shared" si="97"/>
        <v>0.65303936669882068</v>
      </c>
      <c r="J78" s="79">
        <f t="shared" si="97"/>
        <v>1.059419192100219</v>
      </c>
      <c r="K78" s="79">
        <f t="shared" si="97"/>
        <v>0.99918453603224433</v>
      </c>
      <c r="L78" s="79">
        <f t="shared" si="97"/>
        <v>1.2328349885175245</v>
      </c>
      <c r="M78" s="79">
        <f t="shared" si="97"/>
        <v>0.89602067244766292</v>
      </c>
      <c r="N78" s="79">
        <f t="shared" si="97"/>
        <v>0.88914472914584552</v>
      </c>
      <c r="O78" s="79">
        <f t="shared" si="97"/>
        <v>1.0027527194461974</v>
      </c>
      <c r="P78" s="79">
        <f t="shared" si="97"/>
        <v>1.1490278712552924</v>
      </c>
      <c r="Q78" s="79">
        <f t="shared" si="97"/>
        <v>0.85564298582050669</v>
      </c>
      <c r="R78" s="79">
        <f t="shared" si="97"/>
        <v>0.78199497867619394</v>
      </c>
      <c r="S78" s="79">
        <f t="shared" si="97"/>
        <v>0.83506946643274516</v>
      </c>
      <c r="T78" s="79">
        <f t="shared" si="97"/>
        <v>0.89196985496928216</v>
      </c>
      <c r="U78" s="79">
        <f t="shared" si="97"/>
        <v>1.0000501355913096</v>
      </c>
      <c r="V78" s="79">
        <f t="shared" si="97"/>
        <v>1.1204070064494489</v>
      </c>
      <c r="W78" s="79">
        <f t="shared" si="97"/>
        <v>0.98401738949397843</v>
      </c>
      <c r="X78" s="79">
        <f t="shared" si="97"/>
        <v>1.1530294001124441</v>
      </c>
      <c r="Y78" s="79">
        <f t="shared" si="97"/>
        <v>1.3221771287222917</v>
      </c>
      <c r="Z78" s="79">
        <f t="shared" si="97"/>
        <v>0.51213455270994912</v>
      </c>
      <c r="AA78" s="79">
        <f t="shared" si="97"/>
        <v>1.0265036237333998</v>
      </c>
      <c r="AB78" s="79"/>
      <c r="AC78" s="79">
        <f t="shared" ref="AC78:BH78" si="98">AC51/$CQ51</f>
        <v>0.96771834767508347</v>
      </c>
      <c r="AD78" s="79">
        <f t="shared" si="98"/>
        <v>0.9688438090288215</v>
      </c>
      <c r="AE78" s="79">
        <f t="shared" si="98"/>
        <v>1.0973547323945707</v>
      </c>
      <c r="AF78" s="79">
        <f t="shared" si="98"/>
        <v>1.0112520451418399</v>
      </c>
      <c r="AG78" s="79">
        <f t="shared" si="98"/>
        <v>1.0755301938972865</v>
      </c>
      <c r="AH78" s="79">
        <f t="shared" si="98"/>
        <v>1.1285848470935933</v>
      </c>
      <c r="AI78" s="79">
        <f t="shared" si="98"/>
        <v>1.177950032282749</v>
      </c>
      <c r="AJ78" s="79">
        <f t="shared" si="98"/>
        <v>1.2549226622504481</v>
      </c>
      <c r="AK78" s="79">
        <f t="shared" si="98"/>
        <v>0.6994369570203377</v>
      </c>
      <c r="AL78" s="79">
        <f t="shared" si="98"/>
        <v>0.93438341039856354</v>
      </c>
      <c r="AM78" s="79">
        <f t="shared" si="98"/>
        <v>1.1247884997955213</v>
      </c>
      <c r="AN78" s="79">
        <f t="shared" si="98"/>
        <v>1.0963943312160456</v>
      </c>
      <c r="AO78" s="79">
        <f t="shared" si="98"/>
        <v>0.68748519745876324</v>
      </c>
      <c r="AP78" s="79">
        <f t="shared" si="98"/>
        <v>0.82772766107386542</v>
      </c>
      <c r="AQ78" s="79">
        <f t="shared" si="98"/>
        <v>1.1146374732464817</v>
      </c>
      <c r="AR78" s="79">
        <f t="shared" si="98"/>
        <v>1.0500160929305999</v>
      </c>
      <c r="AS78" s="79">
        <f t="shared" si="98"/>
        <v>1.1864701622833032</v>
      </c>
      <c r="AT78" s="79">
        <f t="shared" si="98"/>
        <v>1.1954760591744289</v>
      </c>
      <c r="AU78" s="79">
        <f t="shared" si="98"/>
        <v>1.0029596059811892</v>
      </c>
      <c r="AV78" s="79">
        <f t="shared" si="98"/>
        <v>1.1183460983359639</v>
      </c>
      <c r="AW78" s="79">
        <f t="shared" si="98"/>
        <v>0.95646868726750234</v>
      </c>
      <c r="AX78" s="79">
        <f t="shared" si="98"/>
        <v>0.80102463458287254</v>
      </c>
      <c r="AY78" s="79">
        <f t="shared" si="98"/>
        <v>0.86401316020639485</v>
      </c>
      <c r="AZ78" s="79">
        <f t="shared" si="98"/>
        <v>0.84445864283206173</v>
      </c>
      <c r="BA78" s="79">
        <f t="shared" si="98"/>
        <v>0.83739355312056196</v>
      </c>
      <c r="BB78" s="79">
        <f t="shared" si="98"/>
        <v>0.91118782436074319</v>
      </c>
      <c r="BC78" s="79">
        <f t="shared" si="98"/>
        <v>0.98100448030755949</v>
      </c>
      <c r="BD78" s="79">
        <f t="shared" si="98"/>
        <v>0.76770374455613943</v>
      </c>
      <c r="BE78" s="79">
        <f t="shared" si="98"/>
        <v>1.1683697185255304</v>
      </c>
      <c r="BF78" s="79">
        <f t="shared" si="98"/>
        <v>1.1390283121931544</v>
      </c>
      <c r="BG78" s="79">
        <f t="shared" si="98"/>
        <v>1.1426220692052587</v>
      </c>
      <c r="BH78" s="79">
        <f t="shared" si="98"/>
        <v>0.99704039401881095</v>
      </c>
      <c r="BI78" s="79">
        <f t="shared" ref="BI78:CP78" si="99">BI51/$CQ51</f>
        <v>1.2083154917505186</v>
      </c>
      <c r="BJ78" s="79">
        <f t="shared" si="99"/>
        <v>0.76546235386246986</v>
      </c>
      <c r="BK78" s="79">
        <f t="shared" si="99"/>
        <v>0.75858680878130136</v>
      </c>
      <c r="BL78" s="79">
        <f t="shared" si="99"/>
        <v>0.79097576923328472</v>
      </c>
      <c r="BM78" s="79">
        <f t="shared" si="99"/>
        <v>1.0499926284422876</v>
      </c>
      <c r="BN78" s="79">
        <f t="shared" si="99"/>
        <v>1.0566876684766586</v>
      </c>
      <c r="BO78" s="79">
        <f t="shared" si="99"/>
        <v>0.61300533545200853</v>
      </c>
      <c r="BP78" s="79">
        <f t="shared" si="99"/>
        <v>0.75016904403512685</v>
      </c>
      <c r="BQ78" s="79">
        <f t="shared" si="99"/>
        <v>0.80356569710048065</v>
      </c>
      <c r="BR78" s="79">
        <f t="shared" si="99"/>
        <v>0.76880672451652299</v>
      </c>
      <c r="BS78" s="79">
        <f t="shared" si="99"/>
        <v>0.77936587091800014</v>
      </c>
      <c r="BT78" s="79">
        <f t="shared" si="99"/>
        <v>0.95589453696860838</v>
      </c>
      <c r="BU78" s="79">
        <f t="shared" si="99"/>
        <v>0.914315345671605</v>
      </c>
      <c r="BV78" s="79">
        <f t="shared" si="99"/>
        <v>0.84103725783173355</v>
      </c>
      <c r="BW78" s="79">
        <f t="shared" si="99"/>
        <v>1.0782608258095825</v>
      </c>
      <c r="BX78" s="79">
        <f t="shared" si="99"/>
        <v>1.0409137576388774</v>
      </c>
      <c r="BY78" s="79">
        <f t="shared" si="99"/>
        <v>1.1006485076501293</v>
      </c>
      <c r="BZ78" s="79">
        <f t="shared" si="99"/>
        <v>1.0488838319505995</v>
      </c>
      <c r="CA78" s="79">
        <f t="shared" si="99"/>
        <v>1.0962313924643949</v>
      </c>
      <c r="CB78" s="79">
        <f t="shared" si="99"/>
        <v>1.1080664543425216</v>
      </c>
      <c r="CC78" s="79">
        <f t="shared" si="99"/>
        <v>1.154415629456748</v>
      </c>
      <c r="CD78" s="79">
        <f t="shared" si="99"/>
        <v>1.2706167708103915</v>
      </c>
      <c r="CE78" s="79">
        <f t="shared" si="99"/>
        <v>1.1964976619248415</v>
      </c>
      <c r="CF78" s="79">
        <f t="shared" si="99"/>
        <v>1.1010761179894792</v>
      </c>
      <c r="CG78" s="79">
        <f t="shared" si="99"/>
        <v>1.3368078967254795</v>
      </c>
      <c r="CH78" s="79">
        <f t="shared" si="99"/>
        <v>1.3398032835648717</v>
      </c>
      <c r="CI78" s="79">
        <f t="shared" si="99"/>
        <v>1.3640776964424812</v>
      </c>
      <c r="CJ78" s="79">
        <f t="shared" si="99"/>
        <v>0.69619805653986899</v>
      </c>
      <c r="CK78" s="79">
        <f t="shared" si="99"/>
        <v>0.69440096066566426</v>
      </c>
      <c r="CL78" s="79">
        <f t="shared" si="99"/>
        <v>0.90998160695371744</v>
      </c>
      <c r="CM78" s="79">
        <f t="shared" si="99"/>
        <v>0.80336860857330217</v>
      </c>
      <c r="CN78" s="79">
        <f t="shared" si="99"/>
        <v>0.90998160695371744</v>
      </c>
      <c r="CO78" s="79">
        <f t="shared" si="99"/>
        <v>0.73551075962388257</v>
      </c>
      <c r="CP78" s="79">
        <f t="shared" si="99"/>
        <v>0.65139836920976746</v>
      </c>
    </row>
    <row r="79" spans="1:94">
      <c r="A79" s="18" t="s">
        <v>155</v>
      </c>
      <c r="B79" s="28" t="s">
        <v>96</v>
      </c>
      <c r="C79" s="79">
        <f t="shared" ref="C79:AA79" si="100">C52/$AB52</f>
        <v>0.54383264509717855</v>
      </c>
      <c r="D79" s="79">
        <f t="shared" si="100"/>
        <v>1.258607781989967</v>
      </c>
      <c r="E79" s="79">
        <f t="shared" si="100"/>
        <v>1.3541608205708426</v>
      </c>
      <c r="F79" s="79">
        <f t="shared" si="100"/>
        <v>1.1519337928529545</v>
      </c>
      <c r="G79" s="79">
        <f t="shared" si="100"/>
        <v>0.74619083891226223</v>
      </c>
      <c r="H79" s="79">
        <f t="shared" si="100"/>
        <v>1.0044073873149038</v>
      </c>
      <c r="I79" s="79">
        <f t="shared" si="100"/>
        <v>0.66783187978899716</v>
      </c>
      <c r="J79" s="79">
        <f t="shared" si="100"/>
        <v>1.0567645441109137</v>
      </c>
      <c r="K79" s="79">
        <f t="shared" si="100"/>
        <v>1</v>
      </c>
      <c r="L79" s="79">
        <f t="shared" si="100"/>
        <v>1.1940693029404732</v>
      </c>
      <c r="M79" s="79">
        <f t="shared" si="100"/>
        <v>0.87500602295662577</v>
      </c>
      <c r="N79" s="79">
        <f t="shared" si="100"/>
        <v>0.86407266621852008</v>
      </c>
      <c r="O79" s="79">
        <f t="shared" si="100"/>
        <v>1.0034765202943232</v>
      </c>
      <c r="P79" s="79">
        <f t="shared" si="100"/>
        <v>1.1259805597818549</v>
      </c>
      <c r="Q79" s="79">
        <f t="shared" si="100"/>
        <v>0.77634726990822034</v>
      </c>
      <c r="R79" s="79">
        <f t="shared" si="100"/>
        <v>0.80664708215850922</v>
      </c>
      <c r="S79" s="79">
        <f t="shared" si="100"/>
        <v>0.84383926402200526</v>
      </c>
      <c r="T79" s="79">
        <f t="shared" si="100"/>
        <v>0.9571399922332503</v>
      </c>
      <c r="U79" s="79">
        <f t="shared" si="100"/>
        <v>0.99255249398943757</v>
      </c>
      <c r="V79" s="79">
        <f t="shared" si="100"/>
        <v>1.1364326997791343</v>
      </c>
      <c r="W79" s="79">
        <f t="shared" si="100"/>
        <v>1.0021073402030629</v>
      </c>
      <c r="X79" s="79">
        <f t="shared" si="100"/>
        <v>1.1544513227277533</v>
      </c>
      <c r="Y79" s="79">
        <f t="shared" si="100"/>
        <v>1.2886148156838975</v>
      </c>
      <c r="Z79" s="79">
        <f t="shared" si="100"/>
        <v>0.5031014399056013</v>
      </c>
      <c r="AA79" s="79">
        <f t="shared" si="100"/>
        <v>0.99453831278086313</v>
      </c>
      <c r="AB79" s="79"/>
      <c r="AC79" s="79">
        <f t="shared" ref="AC79:BH79" si="101">AC52/$CQ52</f>
        <v>0.97912632723744042</v>
      </c>
      <c r="AD79" s="79">
        <f t="shared" si="101"/>
        <v>1.0007035565706761</v>
      </c>
      <c r="AE79" s="79">
        <f t="shared" si="101"/>
        <v>1.1321772355028592</v>
      </c>
      <c r="AF79" s="79">
        <f t="shared" si="101"/>
        <v>1.0157509348870315</v>
      </c>
      <c r="AG79" s="79">
        <f t="shared" si="101"/>
        <v>1.0813768486669291</v>
      </c>
      <c r="AH79" s="79">
        <f t="shared" si="101"/>
        <v>1.1780040434181671</v>
      </c>
      <c r="AI79" s="79">
        <f t="shared" si="101"/>
        <v>1.2119790837210125</v>
      </c>
      <c r="AJ79" s="79">
        <f t="shared" si="101"/>
        <v>1.2697658760447734</v>
      </c>
      <c r="AK79" s="79">
        <f t="shared" si="101"/>
        <v>0.67674132077456717</v>
      </c>
      <c r="AL79" s="79">
        <f t="shared" si="101"/>
        <v>0.94579860716873021</v>
      </c>
      <c r="AM79" s="79">
        <f t="shared" si="101"/>
        <v>1.1241773031978259</v>
      </c>
      <c r="AN79" s="79">
        <f t="shared" si="101"/>
        <v>1.0765771850950776</v>
      </c>
      <c r="AO79" s="79">
        <f t="shared" si="101"/>
        <v>0.71252304845993619</v>
      </c>
      <c r="AP79" s="79">
        <f t="shared" si="101"/>
        <v>0.74640463849427552</v>
      </c>
      <c r="AQ79" s="79">
        <f t="shared" si="101"/>
        <v>1.095279109487231</v>
      </c>
      <c r="AR79" s="79">
        <f t="shared" si="101"/>
        <v>1.0287640650607763</v>
      </c>
      <c r="AS79" s="79">
        <f t="shared" si="101"/>
        <v>1.1674141091426458</v>
      </c>
      <c r="AT79" s="79">
        <f t="shared" si="101"/>
        <v>1.1464675687549977</v>
      </c>
      <c r="AU79" s="79">
        <f t="shared" si="101"/>
        <v>0.98387602466346979</v>
      </c>
      <c r="AV79" s="79">
        <f t="shared" si="101"/>
        <v>1.0819310785483991</v>
      </c>
      <c r="AW79" s="79">
        <f t="shared" si="101"/>
        <v>0.91769722020361322</v>
      </c>
      <c r="AX79" s="79">
        <f t="shared" si="101"/>
        <v>0.74612990226740417</v>
      </c>
      <c r="AY79" s="79">
        <f t="shared" si="101"/>
        <v>0.85776085403969049</v>
      </c>
      <c r="AZ79" s="79">
        <f t="shared" si="101"/>
        <v>0.84272360559152248</v>
      </c>
      <c r="BA79" s="79">
        <f t="shared" si="101"/>
        <v>0.72872711269469725</v>
      </c>
      <c r="BB79" s="79">
        <f t="shared" si="101"/>
        <v>0.88079739733271167</v>
      </c>
      <c r="BC79" s="79">
        <f t="shared" si="101"/>
        <v>0.95348867767288981</v>
      </c>
      <c r="BD79" s="79">
        <f t="shared" si="101"/>
        <v>0.73512328404084493</v>
      </c>
      <c r="BE79" s="79">
        <f t="shared" si="101"/>
        <v>1.1640319058170925</v>
      </c>
      <c r="BF79" s="79">
        <f t="shared" si="101"/>
        <v>1.0983210199544584</v>
      </c>
      <c r="BG79" s="79">
        <f t="shared" si="101"/>
        <v>1.09635308328124</v>
      </c>
      <c r="BH79" s="79">
        <f t="shared" si="101"/>
        <v>1.0148936864467657</v>
      </c>
      <c r="BI79" s="79">
        <f t="shared" ref="BI79:CP79" si="102">BI52/$CQ52</f>
        <v>1.1681321776062148</v>
      </c>
      <c r="BJ79" s="79">
        <f t="shared" si="102"/>
        <v>0.73254848116766735</v>
      </c>
      <c r="BK79" s="79">
        <f t="shared" si="102"/>
        <v>0.79720927022225219</v>
      </c>
      <c r="BL79" s="79">
        <f t="shared" si="102"/>
        <v>0.78872978502979341</v>
      </c>
      <c r="BM79" s="79">
        <f t="shared" si="102"/>
        <v>1.0572048940306458</v>
      </c>
      <c r="BN79" s="79">
        <f t="shared" si="102"/>
        <v>0.99929644342932389</v>
      </c>
      <c r="BO79" s="79">
        <f t="shared" si="102"/>
        <v>0.58760961472084694</v>
      </c>
      <c r="BP79" s="79">
        <f t="shared" si="102"/>
        <v>0.72099310193285804</v>
      </c>
      <c r="BQ79" s="79">
        <f t="shared" si="102"/>
        <v>0.86999013818816062</v>
      </c>
      <c r="BR79" s="79">
        <f t="shared" si="102"/>
        <v>0.66809445994676864</v>
      </c>
      <c r="BS79" s="79">
        <f t="shared" si="102"/>
        <v>0.73633728409320809</v>
      </c>
      <c r="BT79" s="79">
        <f t="shared" si="102"/>
        <v>0.9717886068864322</v>
      </c>
      <c r="BU79" s="79">
        <f t="shared" si="102"/>
        <v>0.73139541284921294</v>
      </c>
      <c r="BV79" s="79">
        <f t="shared" si="102"/>
        <v>0.90490225675889124</v>
      </c>
      <c r="BW79" s="79">
        <f t="shared" si="102"/>
        <v>1.1068487231934903</v>
      </c>
      <c r="BX79" s="79">
        <f t="shared" si="102"/>
        <v>1.0173671784675178</v>
      </c>
      <c r="BY79" s="79">
        <f t="shared" si="102"/>
        <v>1.0865063344792147</v>
      </c>
      <c r="BZ79" s="79">
        <f t="shared" si="102"/>
        <v>1.1021884355327238</v>
      </c>
      <c r="CA79" s="79">
        <f t="shared" si="102"/>
        <v>1.1355284248400377</v>
      </c>
      <c r="CB79" s="79">
        <f t="shared" si="102"/>
        <v>1.12000412955596</v>
      </c>
      <c r="CC79" s="79">
        <f t="shared" si="102"/>
        <v>1.1270805375981665</v>
      </c>
      <c r="CD79" s="79">
        <f t="shared" si="102"/>
        <v>1.2634687629830228</v>
      </c>
      <c r="CE79" s="79">
        <f t="shared" si="102"/>
        <v>1.163686776605616</v>
      </c>
      <c r="CF79" s="79">
        <f t="shared" si="102"/>
        <v>1.1216599758587789</v>
      </c>
      <c r="CG79" s="79">
        <f t="shared" si="102"/>
        <v>1.3467029409181861</v>
      </c>
      <c r="CH79" s="79">
        <f t="shared" si="102"/>
        <v>1.3107191573619532</v>
      </c>
      <c r="CI79" s="79">
        <f t="shared" si="102"/>
        <v>1.3274630133682095</v>
      </c>
      <c r="CJ79" s="79">
        <f t="shared" si="102"/>
        <v>0.61429460638433298</v>
      </c>
      <c r="CK79" s="79">
        <f t="shared" si="102"/>
        <v>0.67167550401357323</v>
      </c>
      <c r="CL79" s="79">
        <f t="shared" si="102"/>
        <v>0.80202131874313976</v>
      </c>
      <c r="CM79" s="79">
        <f t="shared" si="102"/>
        <v>0.87299090954565461</v>
      </c>
      <c r="CN79" s="79">
        <f t="shared" si="102"/>
        <v>0.80202131874313976</v>
      </c>
      <c r="CO79" s="79">
        <f t="shared" si="102"/>
        <v>0.71377536103164452</v>
      </c>
      <c r="CP79" s="79">
        <f t="shared" si="102"/>
        <v>0.67423872359329329</v>
      </c>
    </row>
    <row r="80" spans="1:94">
      <c r="A80" s="18" t="s">
        <v>156</v>
      </c>
      <c r="B80" s="28" t="s">
        <v>96</v>
      </c>
      <c r="C80" s="79">
        <f t="shared" ref="C80:AA80" si="103">C53/$AB53</f>
        <v>0.65010841878280934</v>
      </c>
      <c r="D80" s="79">
        <f t="shared" si="103"/>
        <v>1.2677839832119011</v>
      </c>
      <c r="E80" s="79">
        <f t="shared" si="103"/>
        <v>1.3888685680682162</v>
      </c>
      <c r="F80" s="79">
        <f t="shared" si="103"/>
        <v>1.1679858062148127</v>
      </c>
      <c r="G80" s="79">
        <f t="shared" si="103"/>
        <v>0.76979379388707003</v>
      </c>
      <c r="H80" s="79">
        <f t="shared" si="103"/>
        <v>1.0184297119100496</v>
      </c>
      <c r="I80" s="79">
        <f t="shared" si="103"/>
        <v>0.6700043884469824</v>
      </c>
      <c r="J80" s="79">
        <f t="shared" si="103"/>
        <v>1.0637737189514396</v>
      </c>
      <c r="K80" s="79">
        <f t="shared" si="103"/>
        <v>1.0249512698855987</v>
      </c>
      <c r="L80" s="79">
        <f t="shared" si="103"/>
        <v>1.1846555231274487</v>
      </c>
      <c r="M80" s="79">
        <f t="shared" si="103"/>
        <v>0.88636177324256071</v>
      </c>
      <c r="N80" s="79">
        <f t="shared" si="103"/>
        <v>0.86806547386248456</v>
      </c>
      <c r="O80" s="79">
        <f t="shared" si="103"/>
        <v>1</v>
      </c>
      <c r="P80" s="79">
        <f t="shared" si="103"/>
        <v>1.1332771619155337</v>
      </c>
      <c r="Q80" s="79">
        <f t="shared" si="103"/>
        <v>0.77295254018720239</v>
      </c>
      <c r="R80" s="79">
        <f t="shared" si="103"/>
        <v>0.86043646810570096</v>
      </c>
      <c r="S80" s="79">
        <f t="shared" si="103"/>
        <v>0.90214337830257596</v>
      </c>
      <c r="T80" s="79">
        <f t="shared" si="103"/>
        <v>0.95365556865650813</v>
      </c>
      <c r="U80" s="79">
        <f t="shared" si="103"/>
        <v>0.99122904218302277</v>
      </c>
      <c r="V80" s="79">
        <f t="shared" si="103"/>
        <v>1.1676133419190853</v>
      </c>
      <c r="W80" s="79">
        <f t="shared" si="103"/>
        <v>1.0403407399478233</v>
      </c>
      <c r="X80" s="79">
        <f t="shared" si="103"/>
        <v>1.2024380079224755</v>
      </c>
      <c r="Y80" s="79">
        <f t="shared" si="103"/>
        <v>1.2983634767798367</v>
      </c>
      <c r="Z80" s="79">
        <f t="shared" si="103"/>
        <v>0.49386892135320709</v>
      </c>
      <c r="AA80" s="79">
        <f t="shared" si="103"/>
        <v>0.97655163616535212</v>
      </c>
      <c r="AB80" s="79"/>
      <c r="AC80" s="79">
        <f t="shared" ref="AC80:BH80" si="104">AC53/$CQ53</f>
        <v>1.0068581189405443</v>
      </c>
      <c r="AD80" s="79">
        <f t="shared" si="104"/>
        <v>0.99237030101939361</v>
      </c>
      <c r="AE80" s="79">
        <f t="shared" si="104"/>
        <v>1.1171081364446289</v>
      </c>
      <c r="AF80" s="79">
        <f t="shared" si="104"/>
        <v>1.0376853620030309</v>
      </c>
      <c r="AG80" s="79">
        <f t="shared" si="104"/>
        <v>1.0592130181664594</v>
      </c>
      <c r="AH80" s="79">
        <f t="shared" si="104"/>
        <v>1.1496962889949267</v>
      </c>
      <c r="AI80" s="79">
        <f t="shared" si="104"/>
        <v>1.1758726692242985</v>
      </c>
      <c r="AJ80" s="79">
        <f t="shared" si="104"/>
        <v>1.2608918040824124</v>
      </c>
      <c r="AK80" s="79">
        <f t="shared" si="104"/>
        <v>0.69389084696258674</v>
      </c>
      <c r="AL80" s="79">
        <f t="shared" si="104"/>
        <v>0.94052107914936434</v>
      </c>
      <c r="AM80" s="79">
        <f t="shared" si="104"/>
        <v>1.1252934839234345</v>
      </c>
      <c r="AN80" s="79">
        <f t="shared" si="104"/>
        <v>1.0732157730341991</v>
      </c>
      <c r="AO80" s="79">
        <f t="shared" si="104"/>
        <v>0.70042896747692496</v>
      </c>
      <c r="AP80" s="79">
        <f t="shared" si="104"/>
        <v>0.82538266544751993</v>
      </c>
      <c r="AQ80" s="79">
        <f t="shared" si="104"/>
        <v>1.1153446525899133</v>
      </c>
      <c r="AR80" s="79">
        <f t="shared" si="104"/>
        <v>1.0197189492536873</v>
      </c>
      <c r="AS80" s="79">
        <f t="shared" si="104"/>
        <v>1.1600765804774889</v>
      </c>
      <c r="AT80" s="79">
        <f t="shared" si="104"/>
        <v>1.1574864311115938</v>
      </c>
      <c r="AU80" s="79">
        <f t="shared" si="104"/>
        <v>0.98874130648458003</v>
      </c>
      <c r="AV80" s="79">
        <f t="shared" si="104"/>
        <v>1.075259947948741</v>
      </c>
      <c r="AW80" s="79">
        <f t="shared" si="104"/>
        <v>0.90723481080908652</v>
      </c>
      <c r="AX80" s="79">
        <f t="shared" si="104"/>
        <v>0.82893000671228478</v>
      </c>
      <c r="AY80" s="79">
        <f t="shared" si="104"/>
        <v>0.7993002329980563</v>
      </c>
      <c r="AZ80" s="79">
        <f t="shared" si="104"/>
        <v>0.72306653264367093</v>
      </c>
      <c r="BA80" s="79">
        <f t="shared" si="104"/>
        <v>0.80409511705965908</v>
      </c>
      <c r="BB80" s="79">
        <f t="shared" si="104"/>
        <v>0.8587088071290665</v>
      </c>
      <c r="BC80" s="79">
        <f t="shared" si="104"/>
        <v>0.93659435436106186</v>
      </c>
      <c r="BD80" s="79">
        <f t="shared" si="104"/>
        <v>0.74526379953385324</v>
      </c>
      <c r="BE80" s="79">
        <f t="shared" si="104"/>
        <v>1.1359425029475141</v>
      </c>
      <c r="BF80" s="79">
        <f t="shared" si="104"/>
        <v>1.0850924309309729</v>
      </c>
      <c r="BG80" s="79">
        <f t="shared" si="104"/>
        <v>1.0935646781614841</v>
      </c>
      <c r="BH80" s="79">
        <f t="shared" si="104"/>
        <v>0.99314188105945556</v>
      </c>
      <c r="BI80" s="79">
        <f t="shared" ref="BI80:CP80" si="105">BI53/$CQ53</f>
        <v>1.1753442082961372</v>
      </c>
      <c r="BJ80" s="79">
        <f t="shared" si="105"/>
        <v>0.75919612978616824</v>
      </c>
      <c r="BK80" s="79">
        <f t="shared" si="105"/>
        <v>0.7612657765568227</v>
      </c>
      <c r="BL80" s="79">
        <f t="shared" si="105"/>
        <v>0.75744023599780508</v>
      </c>
      <c r="BM80" s="79">
        <f t="shared" si="105"/>
        <v>1.0284767892950799</v>
      </c>
      <c r="BN80" s="79">
        <f t="shared" si="105"/>
        <v>1.0156201808841909</v>
      </c>
      <c r="BO80" s="79">
        <f t="shared" si="105"/>
        <v>0.62778180100394165</v>
      </c>
      <c r="BP80" s="79">
        <f t="shared" si="105"/>
        <v>0.76100925436138223</v>
      </c>
      <c r="BQ80" s="79">
        <f t="shared" si="105"/>
        <v>0.85010947843386264</v>
      </c>
      <c r="BR80" s="79">
        <f t="shared" si="105"/>
        <v>0.82320582892723937</v>
      </c>
      <c r="BS80" s="79">
        <f t="shared" si="105"/>
        <v>0.81881396912243909</v>
      </c>
      <c r="BT80" s="79">
        <f t="shared" si="105"/>
        <v>0.95537012750951988</v>
      </c>
      <c r="BU80" s="79">
        <f t="shared" si="105"/>
        <v>0.89751370726840995</v>
      </c>
      <c r="BV80" s="79">
        <f t="shared" si="105"/>
        <v>0.89052050306092312</v>
      </c>
      <c r="BW80" s="79">
        <f t="shared" si="105"/>
        <v>1.1084808006212907</v>
      </c>
      <c r="BX80" s="79">
        <f t="shared" si="105"/>
        <v>1.0389917485069078</v>
      </c>
      <c r="BY80" s="79">
        <f t="shared" si="105"/>
        <v>1.1379440060605992</v>
      </c>
      <c r="BZ80" s="79">
        <f t="shared" si="105"/>
        <v>1.1123413155612036</v>
      </c>
      <c r="CA80" s="79">
        <f t="shared" si="105"/>
        <v>1.1160024504762538</v>
      </c>
      <c r="CB80" s="79">
        <f t="shared" si="105"/>
        <v>1.1435188413309922</v>
      </c>
      <c r="CC80" s="79">
        <f t="shared" si="105"/>
        <v>1.1758181826288678</v>
      </c>
      <c r="CD80" s="79">
        <f t="shared" si="105"/>
        <v>1.2622852372778726</v>
      </c>
      <c r="CE80" s="79">
        <f t="shared" si="105"/>
        <v>1.1731623633881403</v>
      </c>
      <c r="CF80" s="79">
        <f t="shared" si="105"/>
        <v>1.1183772704856414</v>
      </c>
      <c r="CG80" s="79">
        <f t="shared" si="105"/>
        <v>1.3446685941318823</v>
      </c>
      <c r="CH80" s="79">
        <f t="shared" si="105"/>
        <v>1.3185060206756398</v>
      </c>
      <c r="CI80" s="79">
        <f t="shared" si="105"/>
        <v>1.3577981726531307</v>
      </c>
      <c r="CJ80" s="79">
        <f t="shared" si="105"/>
        <v>0.54701356878842489</v>
      </c>
      <c r="CK80" s="79">
        <f t="shared" si="105"/>
        <v>0.6338672329485957</v>
      </c>
      <c r="CL80" s="79">
        <f t="shared" si="105"/>
        <v>0.80403792127171914</v>
      </c>
      <c r="CM80" s="79">
        <f t="shared" si="105"/>
        <v>0.85666672826521417</v>
      </c>
      <c r="CN80" s="79">
        <f t="shared" si="105"/>
        <v>0.80403792127171914</v>
      </c>
      <c r="CO80" s="79">
        <f t="shared" si="105"/>
        <v>0.77105179303505567</v>
      </c>
      <c r="CP80" s="79">
        <f t="shared" si="105"/>
        <v>0.65615713063184533</v>
      </c>
    </row>
    <row r="81" spans="1:94">
      <c r="A81" s="18" t="s">
        <v>166</v>
      </c>
      <c r="B81" s="28" t="s">
        <v>96</v>
      </c>
      <c r="C81" s="79">
        <f t="shared" ref="C81:AA81" si="106">C54/$AB54</f>
        <v>0.60023377281601831</v>
      </c>
      <c r="D81" s="79">
        <f t="shared" si="106"/>
        <v>1.2200636039705359</v>
      </c>
      <c r="E81" s="79">
        <f t="shared" si="106"/>
        <v>1.3889603399375099</v>
      </c>
      <c r="F81" s="79">
        <f t="shared" si="106"/>
        <v>1.1878128070530876</v>
      </c>
      <c r="G81" s="79">
        <f t="shared" si="106"/>
        <v>0.69803043655343922</v>
      </c>
      <c r="H81" s="79">
        <f t="shared" si="106"/>
        <v>1.0591964701508214</v>
      </c>
      <c r="I81" s="79">
        <f t="shared" si="106"/>
        <v>0.6112855024416789</v>
      </c>
      <c r="J81" s="79">
        <f t="shared" si="106"/>
        <v>1</v>
      </c>
      <c r="K81" s="79">
        <f t="shared" si="106"/>
        <v>0.93504892117852201</v>
      </c>
      <c r="L81" s="79">
        <f t="shared" si="106"/>
        <v>1.0890791770659318</v>
      </c>
      <c r="M81" s="79">
        <f t="shared" si="106"/>
        <v>0.84433241300387663</v>
      </c>
      <c r="N81" s="79">
        <f t="shared" si="106"/>
        <v>0.79979472898815307</v>
      </c>
      <c r="O81" s="79">
        <f t="shared" si="106"/>
        <v>0.99817359091418467</v>
      </c>
      <c r="P81" s="79">
        <f t="shared" si="106"/>
        <v>1.0881478413464636</v>
      </c>
      <c r="Q81" s="79">
        <f t="shared" si="106"/>
        <v>0.80093859958347879</v>
      </c>
      <c r="R81" s="79">
        <f t="shared" si="106"/>
        <v>0.84594650758338119</v>
      </c>
      <c r="S81" s="79">
        <f t="shared" si="106"/>
        <v>0.93713920367000692</v>
      </c>
      <c r="T81" s="79">
        <f t="shared" si="106"/>
        <v>1.0264233188442518</v>
      </c>
      <c r="U81" s="79">
        <f t="shared" si="106"/>
        <v>1.0000437304108094</v>
      </c>
      <c r="V81" s="79">
        <f t="shared" si="106"/>
        <v>1.2271169085363229</v>
      </c>
      <c r="W81" s="79">
        <f t="shared" si="106"/>
        <v>1.1071168792716877</v>
      </c>
      <c r="X81" s="79">
        <f t="shared" si="106"/>
        <v>1.185590087649923</v>
      </c>
      <c r="Y81" s="79">
        <f t="shared" si="106"/>
        <v>1.2653553205812842</v>
      </c>
      <c r="Z81" s="79">
        <f t="shared" si="106"/>
        <v>0.45321556845598021</v>
      </c>
      <c r="AA81" s="79">
        <f t="shared" si="106"/>
        <v>0.92827942109153438</v>
      </c>
      <c r="AB81" s="79"/>
      <c r="AC81" s="79">
        <f t="shared" ref="AC81:BH81" si="107">AC54/$CQ54</f>
        <v>1.0570770754328307</v>
      </c>
      <c r="AD81" s="79">
        <f t="shared" si="107"/>
        <v>0.97790023065790477</v>
      </c>
      <c r="AE81" s="79">
        <f t="shared" si="107"/>
        <v>1.1348966444567208</v>
      </c>
      <c r="AF81" s="79">
        <f t="shared" si="107"/>
        <v>1.0700748004781757</v>
      </c>
      <c r="AG81" s="79">
        <f t="shared" si="107"/>
        <v>1.0712302748103517</v>
      </c>
      <c r="AH81" s="79">
        <f t="shared" si="107"/>
        <v>1.1919744321039167</v>
      </c>
      <c r="AI81" s="79">
        <f t="shared" si="107"/>
        <v>1.207437548167785</v>
      </c>
      <c r="AJ81" s="79">
        <f t="shared" si="107"/>
        <v>1.301390114828604</v>
      </c>
      <c r="AK81" s="79">
        <f t="shared" si="107"/>
        <v>0.66932801356417182</v>
      </c>
      <c r="AL81" s="79">
        <f t="shared" si="107"/>
        <v>0.95313545438776737</v>
      </c>
      <c r="AM81" s="79">
        <f t="shared" si="107"/>
        <v>1.0905312825157589</v>
      </c>
      <c r="AN81" s="79">
        <f t="shared" si="107"/>
        <v>1.0098365215523974</v>
      </c>
      <c r="AO81" s="79">
        <f t="shared" si="107"/>
        <v>0.62194407649882943</v>
      </c>
      <c r="AP81" s="79">
        <f t="shared" si="107"/>
        <v>0.78351539935830916</v>
      </c>
      <c r="AQ81" s="79">
        <f t="shared" si="107"/>
        <v>1.1007643971956307</v>
      </c>
      <c r="AR81" s="79">
        <f t="shared" si="107"/>
        <v>1.0116066131618398</v>
      </c>
      <c r="AS81" s="79">
        <f t="shared" si="107"/>
        <v>1.1141767905936921</v>
      </c>
      <c r="AT81" s="79">
        <f t="shared" si="107"/>
        <v>1.1246544438526342</v>
      </c>
      <c r="AU81" s="79">
        <f t="shared" si="107"/>
        <v>0.93804840366683417</v>
      </c>
      <c r="AV81" s="79">
        <f t="shared" si="107"/>
        <v>1.0377012461928485</v>
      </c>
      <c r="AW81" s="79">
        <f t="shared" si="107"/>
        <v>0.83098630864065159</v>
      </c>
      <c r="AX81" s="79">
        <f t="shared" si="107"/>
        <v>0.71145444661057966</v>
      </c>
      <c r="AY81" s="79">
        <f t="shared" si="107"/>
        <v>0.72456112833156494</v>
      </c>
      <c r="AZ81" s="79">
        <f t="shared" si="107"/>
        <v>0.69750930216301976</v>
      </c>
      <c r="BA81" s="79">
        <f t="shared" si="107"/>
        <v>0.76864013031493539</v>
      </c>
      <c r="BB81" s="79">
        <f t="shared" si="107"/>
        <v>0.84433505814436149</v>
      </c>
      <c r="BC81" s="79">
        <f t="shared" si="107"/>
        <v>0.93601828538018272</v>
      </c>
      <c r="BD81" s="79">
        <f t="shared" si="107"/>
        <v>0.71277247527636078</v>
      </c>
      <c r="BE81" s="79">
        <f t="shared" si="107"/>
        <v>1.114625077096274</v>
      </c>
      <c r="BF81" s="79">
        <f t="shared" si="107"/>
        <v>1.134562556722337</v>
      </c>
      <c r="BG81" s="79">
        <f t="shared" si="107"/>
        <v>1.0893475766998357</v>
      </c>
      <c r="BH81" s="79">
        <f t="shared" si="107"/>
        <v>0.97014668750267896</v>
      </c>
      <c r="BI81" s="79">
        <f t="shared" ref="BI81:CP81" si="108">BI54/$CQ54</f>
        <v>1.161862747625289</v>
      </c>
      <c r="BJ81" s="79">
        <f t="shared" si="108"/>
        <v>0.72188154285479822</v>
      </c>
      <c r="BK81" s="79">
        <f t="shared" si="108"/>
        <v>0.73493642774175805</v>
      </c>
      <c r="BL81" s="79">
        <f t="shared" si="108"/>
        <v>0.6884885541170096</v>
      </c>
      <c r="BM81" s="79">
        <f t="shared" si="108"/>
        <v>1.063402164625245</v>
      </c>
      <c r="BN81" s="79">
        <f t="shared" si="108"/>
        <v>1.070950333056397</v>
      </c>
      <c r="BO81" s="79">
        <f t="shared" si="108"/>
        <v>0.56267710865654352</v>
      </c>
      <c r="BP81" s="79">
        <f t="shared" si="108"/>
        <v>0.83020413430317375</v>
      </c>
      <c r="BQ81" s="79">
        <f t="shared" si="108"/>
        <v>0.90298830271437347</v>
      </c>
      <c r="BR81" s="79">
        <f t="shared" si="108"/>
        <v>0.91572253817512461</v>
      </c>
      <c r="BS81" s="79">
        <f t="shared" si="108"/>
        <v>0.8471088724146707</v>
      </c>
      <c r="BT81" s="79">
        <f t="shared" si="108"/>
        <v>0.99016347844760255</v>
      </c>
      <c r="BU81" s="79">
        <f t="shared" si="108"/>
        <v>0.89647965054511569</v>
      </c>
      <c r="BV81" s="79">
        <f t="shared" si="108"/>
        <v>0.95779979912084812</v>
      </c>
      <c r="BW81" s="79">
        <f t="shared" si="108"/>
        <v>1.1625425138046919</v>
      </c>
      <c r="BX81" s="79">
        <f t="shared" si="108"/>
        <v>1.0708880265195164</v>
      </c>
      <c r="BY81" s="79">
        <f t="shared" si="108"/>
        <v>1.1693362575584554</v>
      </c>
      <c r="BZ81" s="79">
        <f t="shared" si="108"/>
        <v>1.1354477460799295</v>
      </c>
      <c r="CA81" s="79">
        <f t="shared" si="108"/>
        <v>1.1593261395299406</v>
      </c>
      <c r="CB81" s="79">
        <f t="shared" si="108"/>
        <v>1.1471216340796857</v>
      </c>
      <c r="CC81" s="79">
        <f t="shared" si="108"/>
        <v>1.199539331795932</v>
      </c>
      <c r="CD81" s="79">
        <f t="shared" si="108"/>
        <v>1.281255081287566</v>
      </c>
      <c r="CE81" s="79">
        <f t="shared" si="108"/>
        <v>1.1856667536640522</v>
      </c>
      <c r="CF81" s="79">
        <f t="shared" si="108"/>
        <v>1.159351159215247</v>
      </c>
      <c r="CG81" s="79">
        <f t="shared" si="108"/>
        <v>1.3823923320745342</v>
      </c>
      <c r="CH81" s="79">
        <f t="shared" si="108"/>
        <v>1.3429010060107507</v>
      </c>
      <c r="CI81" s="79">
        <f t="shared" si="108"/>
        <v>1.3984638980033501</v>
      </c>
      <c r="CJ81" s="79">
        <f t="shared" si="108"/>
        <v>0.54896425830796658</v>
      </c>
      <c r="CK81" s="79">
        <f t="shared" si="108"/>
        <v>0.63764718875393833</v>
      </c>
      <c r="CL81" s="79">
        <f t="shared" si="108"/>
        <v>0.84418710429135879</v>
      </c>
      <c r="CM81" s="79">
        <f t="shared" si="108"/>
        <v>0.84133733867554794</v>
      </c>
      <c r="CN81" s="79">
        <f t="shared" si="108"/>
        <v>0.84418710429135879</v>
      </c>
      <c r="CO81" s="79">
        <f t="shared" si="108"/>
        <v>0.83567232561691485</v>
      </c>
      <c r="CP81" s="79">
        <f t="shared" si="108"/>
        <v>0.73112526742068151</v>
      </c>
    </row>
    <row r="82" spans="1:94">
      <c r="A82" s="5"/>
      <c r="B82" s="18" t="s">
        <v>105</v>
      </c>
      <c r="C82" s="81">
        <f>AVERAGE(C75:C81)</f>
        <v>0.59805577134991217</v>
      </c>
      <c r="D82" s="82">
        <f t="shared" ref="D82:BP82" si="109">AVERAGE(D75:D81)</f>
        <v>1.2666208325538373</v>
      </c>
      <c r="E82" s="82">
        <f t="shared" si="109"/>
        <v>1.3833819008833801</v>
      </c>
      <c r="F82" s="82">
        <f t="shared" si="109"/>
        <v>1.187384897359641</v>
      </c>
      <c r="G82" s="82">
        <f t="shared" si="109"/>
        <v>0.75142924600066419</v>
      </c>
      <c r="H82" s="82">
        <f t="shared" si="109"/>
        <v>1.0265041999750857</v>
      </c>
      <c r="I82" s="82">
        <f t="shared" si="109"/>
        <v>0.66577802527126762</v>
      </c>
      <c r="J82" s="82">
        <f t="shared" si="109"/>
        <v>1.0529133175118195</v>
      </c>
      <c r="K82" s="82">
        <f t="shared" si="109"/>
        <v>0.97767345563589247</v>
      </c>
      <c r="L82" s="82">
        <f t="shared" si="109"/>
        <v>1.1719838763314769</v>
      </c>
      <c r="M82" s="82">
        <f t="shared" si="109"/>
        <v>0.8800376327416064</v>
      </c>
      <c r="N82" s="82">
        <f t="shared" si="109"/>
        <v>0.85276624040262461</v>
      </c>
      <c r="O82" s="82">
        <f t="shared" si="109"/>
        <v>0.99994535779121152</v>
      </c>
      <c r="P82" s="82">
        <f t="shared" si="109"/>
        <v>1.1199655457076232</v>
      </c>
      <c r="Q82" s="82">
        <f t="shared" si="109"/>
        <v>0.81502425688431634</v>
      </c>
      <c r="R82" s="82">
        <f t="shared" si="109"/>
        <v>0.83938365800721149</v>
      </c>
      <c r="S82" s="82">
        <f t="shared" si="109"/>
        <v>0.88864388058904542</v>
      </c>
      <c r="T82" s="82">
        <f t="shared" si="109"/>
        <v>0.97128772546381781</v>
      </c>
      <c r="U82" s="82">
        <f t="shared" si="109"/>
        <v>0.99613389971938759</v>
      </c>
      <c r="V82" s="82">
        <f t="shared" si="109"/>
        <v>1.1624143099396467</v>
      </c>
      <c r="W82" s="82">
        <f t="shared" si="109"/>
        <v>1.0319087052802565</v>
      </c>
      <c r="X82" s="82">
        <f t="shared" si="109"/>
        <v>1.1814616348878022</v>
      </c>
      <c r="Y82" s="82">
        <f t="shared" si="109"/>
        <v>1.2891732561563887</v>
      </c>
      <c r="Z82" s="82">
        <f t="shared" si="109"/>
        <v>0.51431803366715834</v>
      </c>
      <c r="AA82" s="82">
        <f>AVERAGE(AA75:AA81)</f>
        <v>0.98416211757667127</v>
      </c>
      <c r="AB82" s="82"/>
      <c r="AC82" s="82">
        <f t="shared" si="109"/>
        <v>1.015960978340696</v>
      </c>
      <c r="AD82" s="82">
        <f t="shared" si="109"/>
        <v>1.0011239516870021</v>
      </c>
      <c r="AE82" s="82">
        <f t="shared" si="109"/>
        <v>1.1326262819231629</v>
      </c>
      <c r="AF82" s="82">
        <f t="shared" si="109"/>
        <v>1.0387890185854869</v>
      </c>
      <c r="AG82" s="82">
        <f t="shared" si="109"/>
        <v>1.0706049335869017</v>
      </c>
      <c r="AH82" s="82">
        <f t="shared" si="109"/>
        <v>1.1821882829977779</v>
      </c>
      <c r="AI82" s="82">
        <f t="shared" si="109"/>
        <v>1.1969746407272264</v>
      </c>
      <c r="AJ82" s="82">
        <f t="shared" si="109"/>
        <v>1.2748260380382366</v>
      </c>
      <c r="AK82" s="82">
        <f t="shared" si="109"/>
        <v>0.70108014659549656</v>
      </c>
      <c r="AL82" s="82">
        <f t="shared" si="109"/>
        <v>0.95362315930528008</v>
      </c>
      <c r="AM82" s="82">
        <f t="shared" si="109"/>
        <v>1.1072501924724232</v>
      </c>
      <c r="AN82" s="82">
        <f t="shared" si="109"/>
        <v>1.0386600606079779</v>
      </c>
      <c r="AO82" s="82">
        <f t="shared" si="109"/>
        <v>0.68087203180603406</v>
      </c>
      <c r="AP82" s="82">
        <f t="shared" si="109"/>
        <v>0.80030811942188751</v>
      </c>
      <c r="AQ82" s="82">
        <f t="shared" si="109"/>
        <v>1.099903613947989</v>
      </c>
      <c r="AR82" s="82">
        <f t="shared" si="109"/>
        <v>1.0257335519168631</v>
      </c>
      <c r="AS82" s="82">
        <f t="shared" si="109"/>
        <v>1.1384239003363021</v>
      </c>
      <c r="AT82" s="82">
        <f t="shared" si="109"/>
        <v>1.1390134276622192</v>
      </c>
      <c r="AU82" s="82">
        <f t="shared" si="109"/>
        <v>0.95900407879449767</v>
      </c>
      <c r="AV82" s="82">
        <f t="shared" si="109"/>
        <v>1.0618473687143242</v>
      </c>
      <c r="AW82" s="82">
        <f t="shared" si="109"/>
        <v>0.88728247589736486</v>
      </c>
      <c r="AX82" s="82">
        <f t="shared" si="109"/>
        <v>0.74390441677594377</v>
      </c>
      <c r="AY82" s="82">
        <f t="shared" si="109"/>
        <v>0.7992560201935015</v>
      </c>
      <c r="AZ82" s="82">
        <f t="shared" si="109"/>
        <v>0.76306563923056703</v>
      </c>
      <c r="BA82" s="82">
        <f t="shared" si="109"/>
        <v>0.75115106485388516</v>
      </c>
      <c r="BB82" s="82">
        <f t="shared" si="109"/>
        <v>0.8834493164926297</v>
      </c>
      <c r="BC82" s="82">
        <f t="shared" si="109"/>
        <v>0.94457586687444561</v>
      </c>
      <c r="BD82" s="82">
        <f t="shared" si="109"/>
        <v>0.74048423558194898</v>
      </c>
      <c r="BE82" s="82">
        <f t="shared" si="109"/>
        <v>1.1415114993329227</v>
      </c>
      <c r="BF82" s="82">
        <f t="shared" si="109"/>
        <v>1.0974528091800939</v>
      </c>
      <c r="BG82" s="82">
        <f t="shared" si="109"/>
        <v>1.0919139116458787</v>
      </c>
      <c r="BH82" s="82">
        <f t="shared" si="109"/>
        <v>0.98488483546986771</v>
      </c>
      <c r="BI82" s="82">
        <f t="shared" si="109"/>
        <v>1.1519516617568859</v>
      </c>
      <c r="BJ82" s="82">
        <f t="shared" si="109"/>
        <v>0.72290087291792482</v>
      </c>
      <c r="BK82" s="82">
        <f t="shared" si="109"/>
        <v>0.7653258799867656</v>
      </c>
      <c r="BL82" s="82">
        <f t="shared" si="109"/>
        <v>0.75272568106410398</v>
      </c>
      <c r="BM82" s="82">
        <f t="shared" si="109"/>
        <v>1.0348763626764916</v>
      </c>
      <c r="BN82" s="82">
        <f t="shared" si="109"/>
        <v>1.0222521977279497</v>
      </c>
      <c r="BO82" s="82">
        <f t="shared" si="109"/>
        <v>0.58595518754385678</v>
      </c>
      <c r="BP82" s="82">
        <f t="shared" si="109"/>
        <v>0.7470663701584318</v>
      </c>
      <c r="BQ82" s="82">
        <f t="shared" ref="BQ82:CP82" si="110">AVERAGE(BQ75:BQ81)</f>
        <v>0.87766973725007191</v>
      </c>
      <c r="BR82" s="82">
        <f t="shared" si="110"/>
        <v>0.81867075270600886</v>
      </c>
      <c r="BS82" s="82">
        <f t="shared" si="110"/>
        <v>0.78595370316315516</v>
      </c>
      <c r="BT82" s="82">
        <f t="shared" si="110"/>
        <v>0.97477100244982329</v>
      </c>
      <c r="BU82" s="82">
        <f t="shared" si="110"/>
        <v>0.81484958215280179</v>
      </c>
      <c r="BV82" s="82">
        <f t="shared" si="110"/>
        <v>0.91670879177889586</v>
      </c>
      <c r="BW82" s="82">
        <f t="shared" si="110"/>
        <v>1.1256788464013476</v>
      </c>
      <c r="BX82" s="82">
        <f t="shared" si="110"/>
        <v>1.0338405526388366</v>
      </c>
      <c r="BY82" s="82">
        <f t="shared" si="110"/>
        <v>1.1110402628829945</v>
      </c>
      <c r="BZ82" s="82">
        <f t="shared" si="110"/>
        <v>1.1156339778086835</v>
      </c>
      <c r="CA82" s="82">
        <f t="shared" si="110"/>
        <v>1.1425784290453775</v>
      </c>
      <c r="CB82" s="82">
        <f t="shared" si="110"/>
        <v>1.0956090655433477</v>
      </c>
      <c r="CC82" s="82">
        <f t="shared" si="110"/>
        <v>1.1441437431337156</v>
      </c>
      <c r="CD82" s="82">
        <f t="shared" si="110"/>
        <v>1.2641169844612516</v>
      </c>
      <c r="CE82" s="82">
        <f t="shared" si="110"/>
        <v>1.1521826420242089</v>
      </c>
      <c r="CF82" s="82">
        <f t="shared" si="110"/>
        <v>1.135086127714491</v>
      </c>
      <c r="CG82" s="82">
        <f t="shared" si="110"/>
        <v>1.3552196988410221</v>
      </c>
      <c r="CH82" s="82">
        <f t="shared" si="110"/>
        <v>1.3124337623380757</v>
      </c>
      <c r="CI82" s="82">
        <f t="shared" si="110"/>
        <v>1.3393880324635761</v>
      </c>
      <c r="CJ82" s="82">
        <f t="shared" si="110"/>
        <v>0.60427134914260017</v>
      </c>
      <c r="CK82" s="82">
        <f t="shared" si="110"/>
        <v>0.65073983186362983</v>
      </c>
      <c r="CL82" s="82">
        <f t="shared" si="110"/>
        <v>0.81805606711589252</v>
      </c>
      <c r="CM82" s="82">
        <f t="shared" si="110"/>
        <v>0.85357115566530151</v>
      </c>
      <c r="CN82" s="82">
        <f t="shared" si="110"/>
        <v>0.81805606711589252</v>
      </c>
      <c r="CO82" s="82">
        <f t="shared" si="110"/>
        <v>0.77216354071924764</v>
      </c>
      <c r="CP82" s="82">
        <f t="shared" si="110"/>
        <v>0.69100453296811604</v>
      </c>
    </row>
    <row r="83" spans="1:94">
      <c r="A83" s="5"/>
      <c r="B83" s="18" t="s">
        <v>106</v>
      </c>
      <c r="C83" s="83">
        <f>_xlfn.STDEV.S(C75:C81)</f>
        <v>4.3195756217914272E-2</v>
      </c>
      <c r="D83" s="84">
        <f t="shared" ref="D83:BP83" si="111">_xlfn.STDEV.S(D75:D81)</f>
        <v>2.3517906441313435E-2</v>
      </c>
      <c r="E83" s="84">
        <f t="shared" si="111"/>
        <v>1.503393094957989E-2</v>
      </c>
      <c r="F83" s="84">
        <f t="shared" si="111"/>
        <v>3.1854645843597491E-2</v>
      </c>
      <c r="G83" s="84">
        <f t="shared" si="111"/>
        <v>4.1797442547838341E-2</v>
      </c>
      <c r="H83" s="84">
        <f t="shared" si="111"/>
        <v>2.2210675251394835E-2</v>
      </c>
      <c r="I83" s="84">
        <f t="shared" si="111"/>
        <v>3.5361922183248434E-2</v>
      </c>
      <c r="J83" s="84">
        <f t="shared" si="111"/>
        <v>2.5591663026392028E-2</v>
      </c>
      <c r="K83" s="84">
        <f t="shared" si="111"/>
        <v>5.3419093031833086E-2</v>
      </c>
      <c r="L83" s="84">
        <f t="shared" si="111"/>
        <v>5.1552348498531277E-2</v>
      </c>
      <c r="M83" s="84">
        <f t="shared" si="111"/>
        <v>1.8524603895342429E-2</v>
      </c>
      <c r="N83" s="84">
        <f t="shared" si="111"/>
        <v>3.1325163297110832E-2</v>
      </c>
      <c r="O83" s="84">
        <f t="shared" si="111"/>
        <v>2.7651966023174292E-3</v>
      </c>
      <c r="P83" s="84">
        <f t="shared" si="111"/>
        <v>2.8865104495973227E-2</v>
      </c>
      <c r="Q83" s="84">
        <f t="shared" si="111"/>
        <v>4.1805080304768698E-2</v>
      </c>
      <c r="R83" s="84">
        <f t="shared" si="111"/>
        <v>3.2251798955907865E-2</v>
      </c>
      <c r="S83" s="84">
        <f t="shared" si="111"/>
        <v>3.846584581091772E-2</v>
      </c>
      <c r="T83" s="84">
        <f t="shared" si="111"/>
        <v>4.417762991929633E-2</v>
      </c>
      <c r="U83" s="84">
        <f t="shared" si="111"/>
        <v>3.8260645596415637E-3</v>
      </c>
      <c r="V83" s="84">
        <f t="shared" si="111"/>
        <v>3.5604190464435963E-2</v>
      </c>
      <c r="W83" s="84">
        <f t="shared" si="111"/>
        <v>4.0546183725254065E-2</v>
      </c>
      <c r="X83" s="84">
        <f t="shared" si="111"/>
        <v>2.1360606978219124E-2</v>
      </c>
      <c r="Y83" s="84">
        <f t="shared" si="111"/>
        <v>2.0984732803972891E-2</v>
      </c>
      <c r="Z83" s="84">
        <f t="shared" si="111"/>
        <v>3.9319221893789003E-2</v>
      </c>
      <c r="AA83" s="84">
        <f>_xlfn.STDEV.S(AA75:AA81)</f>
        <v>3.0669696598214839E-2</v>
      </c>
      <c r="AB83" s="84"/>
      <c r="AC83" s="84">
        <f t="shared" si="111"/>
        <v>3.5470613909589874E-2</v>
      </c>
      <c r="AD83" s="84">
        <f t="shared" si="111"/>
        <v>3.0645896118804247E-2</v>
      </c>
      <c r="AE83" s="84">
        <f t="shared" si="111"/>
        <v>2.5520339582884997E-2</v>
      </c>
      <c r="AF83" s="84">
        <f t="shared" si="111"/>
        <v>2.7644514455729248E-2</v>
      </c>
      <c r="AG83" s="84">
        <f t="shared" si="111"/>
        <v>1.0926675048296298E-2</v>
      </c>
      <c r="AH83" s="84">
        <f t="shared" si="111"/>
        <v>3.391566318802821E-2</v>
      </c>
      <c r="AI83" s="84">
        <f t="shared" si="111"/>
        <v>1.636028665507484E-2</v>
      </c>
      <c r="AJ83" s="84">
        <f t="shared" si="111"/>
        <v>1.5554368235999384E-2</v>
      </c>
      <c r="AK83" s="84">
        <f t="shared" si="111"/>
        <v>5.1285047942731539E-2</v>
      </c>
      <c r="AL83" s="84">
        <f t="shared" si="111"/>
        <v>2.3384725784051829E-2</v>
      </c>
      <c r="AM83" s="84">
        <f t="shared" si="111"/>
        <v>1.7536120670856813E-2</v>
      </c>
      <c r="AN83" s="84">
        <f t="shared" si="111"/>
        <v>4.5595443882271124E-2</v>
      </c>
      <c r="AO83" s="84">
        <f t="shared" si="111"/>
        <v>4.9717565966197794E-2</v>
      </c>
      <c r="AP83" s="84">
        <f t="shared" si="111"/>
        <v>2.9729545748395647E-2</v>
      </c>
      <c r="AQ83" s="84">
        <f t="shared" si="111"/>
        <v>1.5024406980163645E-2</v>
      </c>
      <c r="AR83" s="84">
        <f t="shared" si="111"/>
        <v>1.5534655084540274E-2</v>
      </c>
      <c r="AS83" s="84">
        <f t="shared" si="111"/>
        <v>3.2544619839982109E-2</v>
      </c>
      <c r="AT83" s="84">
        <f t="shared" si="111"/>
        <v>3.0430416445822037E-2</v>
      </c>
      <c r="AU83" s="84">
        <f t="shared" si="111"/>
        <v>3.3654848610658934E-2</v>
      </c>
      <c r="AV83" s="84">
        <f t="shared" si="111"/>
        <v>3.1427035540805608E-2</v>
      </c>
      <c r="AW83" s="84">
        <f t="shared" si="111"/>
        <v>4.2531132526386239E-2</v>
      </c>
      <c r="AX83" s="84">
        <f t="shared" si="111"/>
        <v>5.1630588386663991E-2</v>
      </c>
      <c r="AY83" s="84">
        <f t="shared" si="111"/>
        <v>6.1124127720924869E-2</v>
      </c>
      <c r="AZ83" s="84">
        <f t="shared" si="111"/>
        <v>8.4711375374517436E-2</v>
      </c>
      <c r="BA83" s="84">
        <f t="shared" si="111"/>
        <v>6.240065979356698E-2</v>
      </c>
      <c r="BB83" s="84">
        <f t="shared" si="111"/>
        <v>2.721778073013913E-2</v>
      </c>
      <c r="BC83" s="84">
        <f t="shared" si="111"/>
        <v>1.922067950335429E-2</v>
      </c>
      <c r="BD83" s="84">
        <f t="shared" si="111"/>
        <v>3.9394712312719453E-2</v>
      </c>
      <c r="BE83" s="84">
        <f t="shared" si="111"/>
        <v>2.3810617687156619E-2</v>
      </c>
      <c r="BF83" s="84">
        <f t="shared" si="111"/>
        <v>2.8323298310392757E-2</v>
      </c>
      <c r="BG83" s="84">
        <f t="shared" si="111"/>
        <v>2.4697537116537618E-2</v>
      </c>
      <c r="BH83" s="84">
        <f t="shared" si="111"/>
        <v>2.1878717873454676E-2</v>
      </c>
      <c r="BI83" s="84">
        <f t="shared" si="111"/>
        <v>4.008906700894705E-2</v>
      </c>
      <c r="BJ83" s="84">
        <f t="shared" si="111"/>
        <v>3.1448589010666488E-2</v>
      </c>
      <c r="BK83" s="84">
        <f t="shared" si="111"/>
        <v>3.3695410856715124E-2</v>
      </c>
      <c r="BL83" s="84">
        <f t="shared" si="111"/>
        <v>3.9782018332510959E-2</v>
      </c>
      <c r="BM83" s="84">
        <f t="shared" si="111"/>
        <v>2.3825047229929296E-2</v>
      </c>
      <c r="BN83" s="84">
        <f t="shared" si="111"/>
        <v>2.9406760453915461E-2</v>
      </c>
      <c r="BO83" s="84">
        <f t="shared" si="111"/>
        <v>4.0597745182778422E-2</v>
      </c>
      <c r="BP83" s="84">
        <f t="shared" si="111"/>
        <v>4.4682711801477634E-2</v>
      </c>
      <c r="BQ83" s="84">
        <f t="shared" ref="BQ83:CP83" si="112">_xlfn.STDEV.S(BQ75:BQ81)</f>
        <v>4.5308357987435731E-2</v>
      </c>
      <c r="BR83" s="84">
        <f t="shared" si="112"/>
        <v>8.0807185646226895E-2</v>
      </c>
      <c r="BS83" s="84">
        <f t="shared" si="112"/>
        <v>4.1266846678955423E-2</v>
      </c>
      <c r="BT83" s="84">
        <f t="shared" si="112"/>
        <v>1.5927816075936619E-2</v>
      </c>
      <c r="BU83" s="84">
        <f t="shared" si="112"/>
        <v>8.4534718496251729E-2</v>
      </c>
      <c r="BV83" s="84">
        <f t="shared" si="112"/>
        <v>4.5851505997149003E-2</v>
      </c>
      <c r="BW83" s="84">
        <f t="shared" si="112"/>
        <v>3.3802202924399991E-2</v>
      </c>
      <c r="BX83" s="84">
        <f t="shared" si="112"/>
        <v>1.8655141664435923E-2</v>
      </c>
      <c r="BY83" s="84">
        <f t="shared" si="112"/>
        <v>3.6036583557222154E-2</v>
      </c>
      <c r="BZ83" s="84">
        <f t="shared" si="112"/>
        <v>3.9407389948464051E-2</v>
      </c>
      <c r="CA83" s="84">
        <f t="shared" si="112"/>
        <v>2.9049629377129824E-2</v>
      </c>
      <c r="CB83" s="84">
        <f t="shared" si="112"/>
        <v>6.9377119346690067E-2</v>
      </c>
      <c r="CC83" s="84">
        <f t="shared" si="112"/>
        <v>3.804499277166349E-2</v>
      </c>
      <c r="CD83" s="84">
        <f t="shared" si="112"/>
        <v>9.3399545726400354E-3</v>
      </c>
      <c r="CE83" s="84">
        <f t="shared" si="112"/>
        <v>3.6463614468448112E-2</v>
      </c>
      <c r="CF83" s="84">
        <f t="shared" si="112"/>
        <v>2.3865028171189524E-2</v>
      </c>
      <c r="CG83" s="84">
        <f t="shared" si="112"/>
        <v>1.5545426798038879E-2</v>
      </c>
      <c r="CH83" s="84">
        <f t="shared" si="112"/>
        <v>2.3551014341800878E-2</v>
      </c>
      <c r="CI83" s="84">
        <f t="shared" si="112"/>
        <v>3.5829744319338629E-2</v>
      </c>
      <c r="CJ83" s="84">
        <f t="shared" si="112"/>
        <v>5.9473587341259522E-2</v>
      </c>
      <c r="CK83" s="84">
        <f t="shared" si="112"/>
        <v>7.2718988396993062E-2</v>
      </c>
      <c r="CL83" s="84">
        <f t="shared" si="112"/>
        <v>4.5674322669494782E-2</v>
      </c>
      <c r="CM83" s="84">
        <f t="shared" si="112"/>
        <v>2.8576509572057134E-2</v>
      </c>
      <c r="CN83" s="84">
        <f t="shared" si="112"/>
        <v>4.5674322669494782E-2</v>
      </c>
      <c r="CO83" s="84">
        <f t="shared" si="112"/>
        <v>4.0951440994614313E-2</v>
      </c>
      <c r="CP83" s="84">
        <f t="shared" si="112"/>
        <v>3.2871661542711053E-2</v>
      </c>
    </row>
    <row r="84" spans="1:94">
      <c r="A84" s="5"/>
      <c r="B84" s="18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</row>
    <row r="85" spans="1:94">
      <c r="A85" s="5"/>
      <c r="B85" s="141"/>
      <c r="C85" s="1"/>
    </row>
    <row r="86" spans="1:94">
      <c r="A86" s="113"/>
      <c r="B86" s="80" t="s">
        <v>142</v>
      </c>
      <c r="C86" s="85">
        <f t="shared" ref="C86:AA86" si="113">TTEST(C65:C69,C75:C81,2,3)</f>
        <v>0.88238427740882297</v>
      </c>
      <c r="D86" s="85">
        <f t="shared" si="113"/>
        <v>0.11871042684210738</v>
      </c>
      <c r="E86" s="85">
        <f t="shared" si="113"/>
        <v>0.87713938069964115</v>
      </c>
      <c r="F86" s="85">
        <f t="shared" si="113"/>
        <v>0.69788400584517318</v>
      </c>
      <c r="G86" s="85">
        <f t="shared" si="113"/>
        <v>0.57611240015190024</v>
      </c>
      <c r="H86" s="85">
        <f t="shared" si="113"/>
        <v>5.7137435324686028E-2</v>
      </c>
      <c r="I86" s="85">
        <f t="shared" si="113"/>
        <v>0.32907146955295014</v>
      </c>
      <c r="J86" s="85">
        <f t="shared" si="113"/>
        <v>0.45128091103985601</v>
      </c>
      <c r="K86" s="85">
        <f t="shared" si="113"/>
        <v>0.58317855846878286</v>
      </c>
      <c r="L86" s="85">
        <f t="shared" si="113"/>
        <v>0.14756746577421856</v>
      </c>
      <c r="M86" s="85">
        <f t="shared" si="113"/>
        <v>0.93537222108434837</v>
      </c>
      <c r="N86" s="85">
        <f t="shared" si="113"/>
        <v>0.14969218911272614</v>
      </c>
      <c r="O86" s="85">
        <f t="shared" si="113"/>
        <v>0.70076151944370202</v>
      </c>
      <c r="P86" s="85">
        <f t="shared" si="113"/>
        <v>0.8424070777660958</v>
      </c>
      <c r="Q86" s="85">
        <f t="shared" si="113"/>
        <v>0.96184041328550607</v>
      </c>
      <c r="R86" s="85">
        <f t="shared" si="113"/>
        <v>0.16369987988454876</v>
      </c>
      <c r="S86" s="86">
        <f t="shared" si="113"/>
        <v>2.5878296926836467E-2</v>
      </c>
      <c r="T86" s="85">
        <f t="shared" si="113"/>
        <v>6.1011008503136434E-2</v>
      </c>
      <c r="U86" s="85">
        <f t="shared" si="113"/>
        <v>0.90148792065799821</v>
      </c>
      <c r="V86" s="85">
        <f t="shared" si="113"/>
        <v>0.12590097887345145</v>
      </c>
      <c r="W86" s="85">
        <f t="shared" si="113"/>
        <v>5.5928635514239211E-2</v>
      </c>
      <c r="X86" s="86">
        <f t="shared" si="113"/>
        <v>1.0815257609656686E-2</v>
      </c>
      <c r="Y86" s="85">
        <f t="shared" si="113"/>
        <v>0.25828878373998021</v>
      </c>
      <c r="Z86" s="85">
        <f t="shared" si="113"/>
        <v>0.6024611348582668</v>
      </c>
      <c r="AA86" s="85">
        <f t="shared" si="113"/>
        <v>0.20208424456898644</v>
      </c>
      <c r="AB86" s="85"/>
      <c r="AC86" s="86">
        <f t="shared" ref="AC86:BH86" si="114">TTEST(AC65:AC69,AC75:AC81,2,3)</f>
        <v>4.4224857379500479E-2</v>
      </c>
      <c r="AD86" s="86">
        <f t="shared" si="114"/>
        <v>1.0113978851957374E-2</v>
      </c>
      <c r="AE86" s="85">
        <f t="shared" si="114"/>
        <v>0.29216744741900286</v>
      </c>
      <c r="AF86" s="105">
        <f t="shared" si="114"/>
        <v>7.7379999000975905E-2</v>
      </c>
      <c r="AG86" s="85">
        <f t="shared" si="114"/>
        <v>0.15261528335091079</v>
      </c>
      <c r="AH86" s="85">
        <f t="shared" si="114"/>
        <v>0.10102404388492808</v>
      </c>
      <c r="AI86" s="85">
        <f t="shared" si="114"/>
        <v>0.15457086780770596</v>
      </c>
      <c r="AJ86" s="85">
        <f t="shared" si="114"/>
        <v>8.6571910930615767E-2</v>
      </c>
      <c r="AK86" s="85">
        <f t="shared" si="114"/>
        <v>0.38823841467868625</v>
      </c>
      <c r="AL86" s="85">
        <f t="shared" si="114"/>
        <v>0.30912531989959818</v>
      </c>
      <c r="AM86" s="85">
        <f t="shared" si="114"/>
        <v>0.1081772188288639</v>
      </c>
      <c r="AN86" s="85">
        <f t="shared" si="114"/>
        <v>0.15716805478164864</v>
      </c>
      <c r="AO86" s="85">
        <f t="shared" si="114"/>
        <v>0.28446495746929618</v>
      </c>
      <c r="AP86" s="86">
        <f t="shared" si="114"/>
        <v>3.0298557944489043E-2</v>
      </c>
      <c r="AQ86" s="105">
        <f t="shared" si="114"/>
        <v>6.3376143506285468E-2</v>
      </c>
      <c r="AR86" s="85">
        <f t="shared" si="114"/>
        <v>0.68130408769072492</v>
      </c>
      <c r="AS86" s="86">
        <f t="shared" si="114"/>
        <v>3.5803432424057931E-2</v>
      </c>
      <c r="AT86" s="86">
        <f t="shared" si="114"/>
        <v>1.8814338547136409E-2</v>
      </c>
      <c r="AU86" s="85">
        <f t="shared" si="114"/>
        <v>0.31050080159697618</v>
      </c>
      <c r="AV86" s="86">
        <f t="shared" si="114"/>
        <v>3.7415452738842601E-3</v>
      </c>
      <c r="AW86" s="86">
        <f t="shared" si="114"/>
        <v>2.1005500195567996E-2</v>
      </c>
      <c r="AX86" s="85">
        <f t="shared" si="114"/>
        <v>0.12333900638625114</v>
      </c>
      <c r="AY86" s="85">
        <f t="shared" si="114"/>
        <v>0.88647969293830253</v>
      </c>
      <c r="AZ86" s="85">
        <f t="shared" si="114"/>
        <v>0.18898134286354634</v>
      </c>
      <c r="BA86" s="85">
        <f t="shared" si="114"/>
        <v>5.5617340087836649E-2</v>
      </c>
      <c r="BB86" s="85">
        <f t="shared" si="114"/>
        <v>0.99042036959318835</v>
      </c>
      <c r="BC86" s="85">
        <f t="shared" si="114"/>
        <v>0.71964571595734372</v>
      </c>
      <c r="BD86" s="85">
        <f t="shared" si="114"/>
        <v>7.5399545635804838E-2</v>
      </c>
      <c r="BE86" s="85">
        <f t="shared" si="114"/>
        <v>0.49790010353452918</v>
      </c>
      <c r="BF86" s="85">
        <f t="shared" si="114"/>
        <v>0.4045292051454602</v>
      </c>
      <c r="BG86" s="85">
        <f t="shared" si="114"/>
        <v>0.11300086567545327</v>
      </c>
      <c r="BH86" s="85">
        <f t="shared" si="114"/>
        <v>0.22685019355868041</v>
      </c>
      <c r="BI86" s="85">
        <f t="shared" ref="BI86:CP86" si="115">TTEST(BI65:BI69,BI75:BI81,2,3)</f>
        <v>0.60566658012935071</v>
      </c>
      <c r="BJ86" s="85">
        <f t="shared" si="115"/>
        <v>7.7067921009689455E-2</v>
      </c>
      <c r="BK86" s="86">
        <f t="shared" si="115"/>
        <v>2.4347341657104764E-2</v>
      </c>
      <c r="BL86" s="86">
        <f t="shared" si="115"/>
        <v>4.3247503395429446E-2</v>
      </c>
      <c r="BM86" s="85">
        <f t="shared" si="115"/>
        <v>0.6353683057666748</v>
      </c>
      <c r="BN86" s="85">
        <f t="shared" si="115"/>
        <v>0.71123606578810361</v>
      </c>
      <c r="BO86" s="85">
        <f t="shared" si="115"/>
        <v>0.64528033014123265</v>
      </c>
      <c r="BP86" s="85">
        <f t="shared" si="115"/>
        <v>0.1290223006533775</v>
      </c>
      <c r="BQ86" s="85">
        <f t="shared" si="115"/>
        <v>0.55998890115223521</v>
      </c>
      <c r="BR86" s="85">
        <f t="shared" si="115"/>
        <v>8.0818484092730722E-2</v>
      </c>
      <c r="BS86" s="85">
        <f t="shared" si="115"/>
        <v>0.23890802820938803</v>
      </c>
      <c r="BT86" s="86">
        <f t="shared" si="115"/>
        <v>1.2607604797889829E-2</v>
      </c>
      <c r="BU86" s="85">
        <f t="shared" si="115"/>
        <v>0.75081325755769524</v>
      </c>
      <c r="BV86" s="85">
        <f t="shared" si="115"/>
        <v>0.18212044921138343</v>
      </c>
      <c r="BW86" s="86">
        <f t="shared" si="115"/>
        <v>4.5112323936503412E-2</v>
      </c>
      <c r="BX86" s="85">
        <f t="shared" si="115"/>
        <v>0.45423677802265849</v>
      </c>
      <c r="BY86" s="85">
        <f t="shared" si="115"/>
        <v>0.33958332065149399</v>
      </c>
      <c r="BZ86" s="85">
        <f t="shared" si="115"/>
        <v>9.9033864864220653E-2</v>
      </c>
      <c r="CA86" s="85">
        <f t="shared" si="115"/>
        <v>0.10729967987470204</v>
      </c>
      <c r="CB86" s="85">
        <f t="shared" si="115"/>
        <v>0.17236139663601677</v>
      </c>
      <c r="CC86" s="85">
        <f t="shared" si="115"/>
        <v>0.47630647636520251</v>
      </c>
      <c r="CD86" s="85">
        <f t="shared" si="115"/>
        <v>0.75017021653228533</v>
      </c>
      <c r="CE86" s="85">
        <f t="shared" si="115"/>
        <v>0.92435172284490574</v>
      </c>
      <c r="CF86" s="86">
        <f t="shared" si="115"/>
        <v>4.1594145254973618E-2</v>
      </c>
      <c r="CG86" s="85">
        <f t="shared" si="115"/>
        <v>0.138295546042006</v>
      </c>
      <c r="CH86" s="85">
        <f t="shared" si="115"/>
        <v>0.83633168197915575</v>
      </c>
      <c r="CI86" s="85">
        <f t="shared" si="115"/>
        <v>0.91554632999911023</v>
      </c>
      <c r="CJ86" s="85">
        <f t="shared" si="115"/>
        <v>0.16577609417926853</v>
      </c>
      <c r="CK86" s="85">
        <f t="shared" si="115"/>
        <v>0.11253522934842543</v>
      </c>
      <c r="CL86" s="85">
        <f t="shared" si="115"/>
        <v>0.79618975099232936</v>
      </c>
      <c r="CM86" s="85">
        <f t="shared" si="115"/>
        <v>0.74537196977822218</v>
      </c>
      <c r="CN86" s="85">
        <f t="shared" si="115"/>
        <v>0.79618975099232936</v>
      </c>
      <c r="CO86" s="85">
        <f t="shared" si="115"/>
        <v>0.58456011271138886</v>
      </c>
      <c r="CP86" s="86">
        <f t="shared" si="115"/>
        <v>3.4947250095978259E-2</v>
      </c>
    </row>
    <row r="87" spans="1:94">
      <c r="A87" s="113" t="s">
        <v>147</v>
      </c>
      <c r="B87" s="87" t="s">
        <v>148</v>
      </c>
      <c r="C87" s="88">
        <f>C82/C70</f>
        <v>1.0077195618524062</v>
      </c>
      <c r="D87" s="88">
        <f t="shared" ref="D87:BO87" si="116">D82/D70</f>
        <v>1.0247103340673762</v>
      </c>
      <c r="E87" s="88">
        <f t="shared" si="116"/>
        <v>0.9992401922994314</v>
      </c>
      <c r="F87" s="88">
        <f t="shared" si="116"/>
        <v>0.99513343878071681</v>
      </c>
      <c r="G87" s="88">
        <f t="shared" si="116"/>
        <v>0.96233289226268859</v>
      </c>
      <c r="H87" s="88">
        <f t="shared" si="116"/>
        <v>0.98040136932046629</v>
      </c>
      <c r="I87" s="88">
        <f t="shared" si="116"/>
        <v>0.97795123869530942</v>
      </c>
      <c r="J87" s="88">
        <f t="shared" si="116"/>
        <v>1.0153920767455911</v>
      </c>
      <c r="K87" s="88">
        <f t="shared" si="116"/>
        <v>1.0187676549783533</v>
      </c>
      <c r="L87" s="88">
        <f t="shared" si="116"/>
        <v>1.0418079940183504</v>
      </c>
      <c r="M87" s="88">
        <f t="shared" si="116"/>
        <v>1.0033155809158956</v>
      </c>
      <c r="N87" s="88">
        <f t="shared" si="116"/>
        <v>1.0426137957714479</v>
      </c>
      <c r="O87" s="88">
        <f t="shared" si="116"/>
        <v>1.000463958327535</v>
      </c>
      <c r="P87" s="88">
        <f t="shared" si="116"/>
        <v>0.99714073668096526</v>
      </c>
      <c r="Q87" s="88">
        <f t="shared" si="116"/>
        <v>0.99874887452955863</v>
      </c>
      <c r="R87" s="88">
        <f t="shared" si="116"/>
        <v>0.95364576264551737</v>
      </c>
      <c r="S87" s="104">
        <f t="shared" si="116"/>
        <v>0.95021115232621767</v>
      </c>
      <c r="T87" s="88">
        <f t="shared" si="116"/>
        <v>0.95931079162286614</v>
      </c>
      <c r="U87" s="88">
        <f t="shared" si="116"/>
        <v>0.99946555908120693</v>
      </c>
      <c r="V87" s="88">
        <f t="shared" si="116"/>
        <v>0.96547288119875541</v>
      </c>
      <c r="W87" s="88">
        <f t="shared" si="116"/>
        <v>0.95112610015909371</v>
      </c>
      <c r="X87" s="104">
        <f t="shared" si="116"/>
        <v>0.97602556495553239</v>
      </c>
      <c r="Y87" s="88">
        <f t="shared" si="116"/>
        <v>1.0129101391087649</v>
      </c>
      <c r="Z87" s="88">
        <f t="shared" si="116"/>
        <v>0.98029030118335114</v>
      </c>
      <c r="AA87" s="88">
        <f t="shared" si="116"/>
        <v>1.0190566101978027</v>
      </c>
      <c r="AB87" s="88" t="e">
        <f t="shared" si="116"/>
        <v>#DIV/0!</v>
      </c>
      <c r="AC87" s="104">
        <f t="shared" si="116"/>
        <v>0.96126913578462814</v>
      </c>
      <c r="AD87" s="104">
        <f t="shared" si="116"/>
        <v>0.95803512082895648</v>
      </c>
      <c r="AE87" s="88">
        <f t="shared" si="116"/>
        <v>0.98967793387158154</v>
      </c>
      <c r="AF87" s="88">
        <f t="shared" si="116"/>
        <v>0.97386317080071505</v>
      </c>
      <c r="AG87" s="88">
        <f t="shared" si="116"/>
        <v>1.0149076789369353</v>
      </c>
      <c r="AH87" s="88">
        <f t="shared" si="116"/>
        <v>0.97787335784700591</v>
      </c>
      <c r="AI87" s="88">
        <f t="shared" si="116"/>
        <v>0.98972785028352417</v>
      </c>
      <c r="AJ87" s="88">
        <f t="shared" si="116"/>
        <v>0.98542501438725727</v>
      </c>
      <c r="AK87" s="88">
        <f t="shared" si="116"/>
        <v>1.0286402202286336</v>
      </c>
      <c r="AL87" s="88">
        <f t="shared" si="116"/>
        <v>0.98510558519415359</v>
      </c>
      <c r="AM87" s="88">
        <f t="shared" si="116"/>
        <v>1.0203299648370694</v>
      </c>
      <c r="AN87" s="88">
        <f t="shared" si="116"/>
        <v>1.033387122498554</v>
      </c>
      <c r="AO87" s="88">
        <f t="shared" si="116"/>
        <v>1.0405336947067232</v>
      </c>
      <c r="AP87" s="104">
        <f t="shared" si="116"/>
        <v>1.0732023222706641</v>
      </c>
      <c r="AQ87" s="110">
        <f t="shared" si="116"/>
        <v>1.0188027914518472</v>
      </c>
      <c r="AR87" s="88">
        <f t="shared" si="116"/>
        <v>0.99222708588758701</v>
      </c>
      <c r="AS87" s="104">
        <f t="shared" si="116"/>
        <v>1.0313224434718251</v>
      </c>
      <c r="AT87" s="104">
        <f t="shared" si="116"/>
        <v>1.0365045673471576</v>
      </c>
      <c r="AU87" s="88">
        <f t="shared" si="116"/>
        <v>1.01509054266017</v>
      </c>
      <c r="AV87" s="104">
        <f t="shared" si="116"/>
        <v>1.0522196044806817</v>
      </c>
      <c r="AW87" s="104">
        <f t="shared" si="116"/>
        <v>1.0642328713740818</v>
      </c>
      <c r="AX87" s="88">
        <f t="shared" si="116"/>
        <v>1.1135098168426414</v>
      </c>
      <c r="AY87" s="88">
        <f t="shared" si="116"/>
        <v>1.0048628335020815</v>
      </c>
      <c r="AZ87" s="88">
        <f t="shared" si="116"/>
        <v>1.0798930775348614</v>
      </c>
      <c r="BA87" s="88">
        <f t="shared" si="116"/>
        <v>1.1148788014933355</v>
      </c>
      <c r="BB87" s="88">
        <f t="shared" si="116"/>
        <v>1.0001742178332897</v>
      </c>
      <c r="BC87" s="88">
        <f t="shared" si="116"/>
        <v>1.0038934092458607</v>
      </c>
      <c r="BD87" s="88">
        <f t="shared" si="116"/>
        <v>1.0590025563117327</v>
      </c>
      <c r="BE87" s="88">
        <f t="shared" si="116"/>
        <v>1.0086547180432952</v>
      </c>
      <c r="BF87" s="88">
        <f t="shared" si="116"/>
        <v>0.98713006855114815</v>
      </c>
      <c r="BG87" s="88">
        <f t="shared" si="116"/>
        <v>1.0242304366331545</v>
      </c>
      <c r="BH87" s="88">
        <f t="shared" si="116"/>
        <v>1.0225041193285365</v>
      </c>
      <c r="BI87" s="88">
        <f t="shared" si="116"/>
        <v>1.0085439085315457</v>
      </c>
      <c r="BJ87" s="88">
        <f t="shared" si="116"/>
        <v>1.0478459454373887</v>
      </c>
      <c r="BK87" s="104">
        <f t="shared" si="116"/>
        <v>1.0743586535743626</v>
      </c>
      <c r="BL87" s="104">
        <f t="shared" si="116"/>
        <v>1.1181858091430228</v>
      </c>
      <c r="BM87" s="88">
        <f t="shared" si="116"/>
        <v>0.99045846443596008</v>
      </c>
      <c r="BN87" s="88">
        <f t="shared" si="116"/>
        <v>1.0077326696616185</v>
      </c>
      <c r="BO87" s="88">
        <f t="shared" si="116"/>
        <v>1.0304896990447059</v>
      </c>
      <c r="BP87" s="88">
        <f t="shared" ref="BP87:CP87" si="117">BP82/BP70</f>
        <v>0.96005053213057512</v>
      </c>
      <c r="BQ87" s="88">
        <f t="shared" si="117"/>
        <v>0.98721060098853131</v>
      </c>
      <c r="BR87" s="88">
        <f t="shared" si="117"/>
        <v>0.925165778747707</v>
      </c>
      <c r="BS87" s="88">
        <f t="shared" si="117"/>
        <v>0.96658944754983944</v>
      </c>
      <c r="BT87" s="104">
        <f t="shared" si="117"/>
        <v>0.97518693119920563</v>
      </c>
      <c r="BU87" s="88">
        <f t="shared" si="117"/>
        <v>0.98282104906444823</v>
      </c>
      <c r="BV87" s="88">
        <f t="shared" si="117"/>
        <v>0.97020290251317365</v>
      </c>
      <c r="BW87" s="104">
        <f t="shared" si="117"/>
        <v>0.97106479168888571</v>
      </c>
      <c r="BX87" s="88">
        <f t="shared" si="117"/>
        <v>0.99064922656941212</v>
      </c>
      <c r="BY87" s="88">
        <f t="shared" si="117"/>
        <v>0.98556995374420209</v>
      </c>
      <c r="BZ87" s="88">
        <f t="shared" si="117"/>
        <v>0.97382845650450811</v>
      </c>
      <c r="CA87" s="88">
        <f t="shared" si="117"/>
        <v>0.97988271714090491</v>
      </c>
      <c r="CB87" s="88">
        <f t="shared" si="117"/>
        <v>0.96189105789325002</v>
      </c>
      <c r="CC87" s="88">
        <f t="shared" si="117"/>
        <v>0.98845707942040317</v>
      </c>
      <c r="CD87" s="88">
        <f t="shared" si="117"/>
        <v>0.99813683870307968</v>
      </c>
      <c r="CE87" s="88">
        <f t="shared" si="117"/>
        <v>1.0013389855518713</v>
      </c>
      <c r="CF87" s="104">
        <f t="shared" si="117"/>
        <v>0.97838065884894221</v>
      </c>
      <c r="CG87" s="88">
        <f t="shared" si="117"/>
        <v>0.98843005725913835</v>
      </c>
      <c r="CH87" s="88">
        <f t="shared" si="117"/>
        <v>0.99801510776983671</v>
      </c>
      <c r="CI87" s="88">
        <f t="shared" si="117"/>
        <v>0.99849219021313318</v>
      </c>
      <c r="CJ87" s="88">
        <f t="shared" si="117"/>
        <v>1.0735863290313188</v>
      </c>
      <c r="CK87" s="88">
        <f t="shared" si="117"/>
        <v>1.0880319216642655</v>
      </c>
      <c r="CL87" s="88">
        <f t="shared" si="117"/>
        <v>0.98877984718699252</v>
      </c>
      <c r="CM87" s="88">
        <f t="shared" si="117"/>
        <v>1.0061161361927342</v>
      </c>
      <c r="CN87" s="88">
        <f t="shared" si="117"/>
        <v>0.98877984718699252</v>
      </c>
      <c r="CO87" s="88">
        <f t="shared" si="117"/>
        <v>1.0266763697467631</v>
      </c>
      <c r="CP87" s="88">
        <f t="shared" si="117"/>
        <v>0.93485674544587394</v>
      </c>
    </row>
    <row r="88" spans="1:94" s="106" customFormat="1">
      <c r="S88" s="107" t="s">
        <v>146</v>
      </c>
      <c r="X88" s="107" t="s">
        <v>146</v>
      </c>
      <c r="AC88" s="107" t="s">
        <v>146</v>
      </c>
      <c r="AD88" s="107" t="s">
        <v>146</v>
      </c>
      <c r="AF88" s="108"/>
      <c r="AG88" s="109"/>
      <c r="AP88" s="107" t="s">
        <v>145</v>
      </c>
      <c r="AQ88" s="111"/>
      <c r="AS88" s="107" t="s">
        <v>145</v>
      </c>
      <c r="AT88" s="107" t="s">
        <v>145</v>
      </c>
      <c r="AV88" s="107" t="s">
        <v>145</v>
      </c>
      <c r="AW88" s="107" t="s">
        <v>145</v>
      </c>
      <c r="BK88" s="107" t="s">
        <v>145</v>
      </c>
      <c r="BL88" s="107" t="s">
        <v>145</v>
      </c>
      <c r="BT88" s="107" t="s">
        <v>146</v>
      </c>
      <c r="BW88" s="107" t="s">
        <v>146</v>
      </c>
      <c r="CF88" s="107" t="s">
        <v>146</v>
      </c>
      <c r="CP88" s="107" t="s">
        <v>146</v>
      </c>
    </row>
    <row r="121" spans="3:95">
      <c r="CQ121" s="72"/>
    </row>
    <row r="122" spans="3:95">
      <c r="CQ122" s="72"/>
    </row>
    <row r="124" spans="3:95"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</row>
    <row r="125" spans="3:95"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91"/>
  <sheetViews>
    <sheetView topLeftCell="A63" zoomScale="110" zoomScaleNormal="110" zoomScalePageLayoutView="110" workbookViewId="0">
      <selection activeCell="CR95" sqref="CR95"/>
    </sheetView>
  </sheetViews>
  <sheetFormatPr baseColWidth="10" defaultRowHeight="15" x14ac:dyDescent="0"/>
  <cols>
    <col min="1" max="1" width="34.33203125" customWidth="1"/>
    <col min="2" max="2" width="25.6640625" customWidth="1"/>
  </cols>
  <sheetData>
    <row r="1" spans="1:95" ht="25">
      <c r="A1" s="56" t="s">
        <v>112</v>
      </c>
      <c r="B1" s="57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</row>
    <row r="2" spans="1:95" ht="25">
      <c r="A2" s="32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</row>
    <row r="3" spans="1:95" ht="20">
      <c r="A3" s="37" t="s">
        <v>103</v>
      </c>
      <c r="B3" s="38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</row>
    <row r="4" spans="1:95">
      <c r="A4" s="24" t="s">
        <v>133</v>
      </c>
      <c r="B4" s="7" t="s">
        <v>132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/>
      <c r="AC4" s="3" t="s">
        <v>27</v>
      </c>
      <c r="AD4" s="3" t="s">
        <v>28</v>
      </c>
      <c r="AE4" s="3" t="s">
        <v>29</v>
      </c>
      <c r="AF4" s="3" t="s">
        <v>30</v>
      </c>
      <c r="AG4" s="3" t="s">
        <v>31</v>
      </c>
      <c r="AH4" s="3" t="s">
        <v>32</v>
      </c>
      <c r="AI4" s="3" t="s">
        <v>33</v>
      </c>
      <c r="AJ4" s="3" t="s">
        <v>34</v>
      </c>
      <c r="AK4" s="3" t="s">
        <v>35</v>
      </c>
      <c r="AL4" s="3" t="s">
        <v>36</v>
      </c>
      <c r="AM4" s="3" t="s">
        <v>37</v>
      </c>
      <c r="AN4" s="3" t="s">
        <v>38</v>
      </c>
      <c r="AO4" s="3" t="s">
        <v>39</v>
      </c>
      <c r="AP4" s="3" t="s">
        <v>40</v>
      </c>
      <c r="AQ4" s="3" t="s">
        <v>41</v>
      </c>
      <c r="AR4" s="3" t="s">
        <v>42</v>
      </c>
      <c r="AS4" s="3" t="s">
        <v>43</v>
      </c>
      <c r="AT4" s="3" t="s">
        <v>44</v>
      </c>
      <c r="AU4" s="3" t="s">
        <v>45</v>
      </c>
      <c r="AV4" s="3" t="s">
        <v>46</v>
      </c>
      <c r="AW4" s="3" t="s">
        <v>47</v>
      </c>
      <c r="AX4" s="3" t="s">
        <v>48</v>
      </c>
      <c r="AY4" s="3" t="s">
        <v>49</v>
      </c>
      <c r="AZ4" s="3" t="s">
        <v>50</v>
      </c>
      <c r="BA4" s="3" t="s">
        <v>51</v>
      </c>
      <c r="BB4" s="3" t="s">
        <v>52</v>
      </c>
      <c r="BC4" s="3" t="s">
        <v>53</v>
      </c>
      <c r="BD4" s="3" t="s">
        <v>54</v>
      </c>
      <c r="BE4" s="3" t="s">
        <v>55</v>
      </c>
      <c r="BF4" s="3" t="s">
        <v>56</v>
      </c>
      <c r="BG4" s="3" t="s">
        <v>57</v>
      </c>
      <c r="BH4" s="3" t="s">
        <v>58</v>
      </c>
      <c r="BI4" s="3" t="s">
        <v>59</v>
      </c>
      <c r="BJ4" s="3" t="s">
        <v>60</v>
      </c>
      <c r="BK4" s="3" t="s">
        <v>61</v>
      </c>
      <c r="BL4" s="3" t="s">
        <v>62</v>
      </c>
      <c r="BM4" s="3" t="s">
        <v>63</v>
      </c>
      <c r="BN4" s="3" t="s">
        <v>64</v>
      </c>
      <c r="BO4" s="3" t="s">
        <v>65</v>
      </c>
      <c r="BP4" s="3" t="s">
        <v>66</v>
      </c>
      <c r="BQ4" s="3" t="s">
        <v>67</v>
      </c>
      <c r="BR4" s="3" t="s">
        <v>68</v>
      </c>
      <c r="BS4" s="3" t="s">
        <v>69</v>
      </c>
      <c r="BT4" s="3" t="s">
        <v>70</v>
      </c>
      <c r="BU4" s="3" t="s">
        <v>71</v>
      </c>
      <c r="BV4" s="3" t="s">
        <v>72</v>
      </c>
      <c r="BW4" s="3" t="s">
        <v>73</v>
      </c>
      <c r="BX4" s="3" t="s">
        <v>74</v>
      </c>
      <c r="BY4" s="3" t="s">
        <v>75</v>
      </c>
      <c r="BZ4" s="3" t="s">
        <v>76</v>
      </c>
      <c r="CA4" s="3" t="s">
        <v>77</v>
      </c>
      <c r="CB4" s="3" t="s">
        <v>78</v>
      </c>
      <c r="CC4" s="3" t="s">
        <v>79</v>
      </c>
      <c r="CD4" s="3" t="s">
        <v>80</v>
      </c>
      <c r="CE4" s="3" t="s">
        <v>81</v>
      </c>
      <c r="CF4" s="3" t="s">
        <v>82</v>
      </c>
      <c r="CG4" s="3" t="s">
        <v>83</v>
      </c>
      <c r="CH4" s="3" t="s">
        <v>84</v>
      </c>
      <c r="CI4" s="3" t="s">
        <v>85</v>
      </c>
      <c r="CJ4" s="3" t="s">
        <v>86</v>
      </c>
      <c r="CK4" s="3" t="s">
        <v>87</v>
      </c>
      <c r="CL4" s="3" t="s">
        <v>88</v>
      </c>
      <c r="CM4" s="3" t="s">
        <v>89</v>
      </c>
      <c r="CN4" s="3" t="s">
        <v>90</v>
      </c>
      <c r="CO4" s="3" t="s">
        <v>91</v>
      </c>
      <c r="CP4" s="3" t="s">
        <v>92</v>
      </c>
    </row>
    <row r="5" spans="1:95">
      <c r="A5" s="137" t="s">
        <v>102</v>
      </c>
    </row>
    <row r="6" spans="1:95">
      <c r="A6" s="39" t="s">
        <v>116</v>
      </c>
      <c r="B6" s="40" t="s">
        <v>127</v>
      </c>
      <c r="C6" s="47">
        <v>470</v>
      </c>
      <c r="D6" s="47">
        <v>225633</v>
      </c>
      <c r="E6" s="47">
        <v>1132004</v>
      </c>
      <c r="F6" s="47">
        <v>118527</v>
      </c>
      <c r="G6" s="47">
        <v>1389</v>
      </c>
      <c r="H6" s="47">
        <v>50132</v>
      </c>
      <c r="I6" s="47">
        <v>685</v>
      </c>
      <c r="J6" s="47">
        <v>52826</v>
      </c>
      <c r="K6" s="47">
        <v>12944</v>
      </c>
      <c r="L6" s="47">
        <v>81259</v>
      </c>
      <c r="M6" s="47">
        <v>4096</v>
      </c>
      <c r="N6" s="47">
        <v>3991</v>
      </c>
      <c r="O6" s="47">
        <v>21717</v>
      </c>
      <c r="P6" s="47">
        <v>78386</v>
      </c>
      <c r="Q6" s="47">
        <v>3201</v>
      </c>
      <c r="R6" s="47">
        <v>10171</v>
      </c>
      <c r="S6" s="47">
        <v>13392</v>
      </c>
      <c r="T6" s="47">
        <v>41930</v>
      </c>
      <c r="U6" s="47">
        <v>21184</v>
      </c>
      <c r="V6" s="47">
        <v>272948</v>
      </c>
      <c r="W6" s="47">
        <v>72925</v>
      </c>
      <c r="X6" s="47">
        <v>192081</v>
      </c>
      <c r="Y6" s="47">
        <v>243719</v>
      </c>
      <c r="Z6" s="47">
        <v>103</v>
      </c>
      <c r="AA6" s="47">
        <v>11856</v>
      </c>
      <c r="AB6" s="47"/>
      <c r="AC6" s="47">
        <v>33899</v>
      </c>
      <c r="AD6" s="47">
        <v>27692</v>
      </c>
      <c r="AE6" s="47">
        <v>71762</v>
      </c>
      <c r="AF6" s="47">
        <v>31084</v>
      </c>
      <c r="AG6" s="47">
        <v>29963</v>
      </c>
      <c r="AH6" s="47">
        <v>113332</v>
      </c>
      <c r="AI6" s="47">
        <v>90562</v>
      </c>
      <c r="AJ6" s="47">
        <v>182910</v>
      </c>
      <c r="AK6" s="47">
        <v>268</v>
      </c>
      <c r="AL6" s="47">
        <v>11873</v>
      </c>
      <c r="AM6" s="47">
        <v>28118</v>
      </c>
      <c r="AN6" s="47">
        <v>11137</v>
      </c>
      <c r="AO6" s="47">
        <v>658</v>
      </c>
      <c r="AP6" s="47">
        <v>1475</v>
      </c>
      <c r="AQ6" s="47">
        <v>27646</v>
      </c>
      <c r="AR6" s="47">
        <v>12475</v>
      </c>
      <c r="AS6" s="47">
        <v>28843</v>
      </c>
      <c r="AT6" s="47">
        <v>25499</v>
      </c>
      <c r="AU6" s="47">
        <v>6466</v>
      </c>
      <c r="AV6" s="47">
        <v>9978</v>
      </c>
      <c r="AW6" s="47">
        <v>1975</v>
      </c>
      <c r="AX6" s="47">
        <v>943</v>
      </c>
      <c r="AY6" s="47">
        <v>2001</v>
      </c>
      <c r="AZ6" s="47">
        <v>968</v>
      </c>
      <c r="BA6" s="47">
        <v>762</v>
      </c>
      <c r="BB6" s="47">
        <v>5365</v>
      </c>
      <c r="BC6" s="47">
        <v>5818</v>
      </c>
      <c r="BD6" s="47">
        <v>410</v>
      </c>
      <c r="BE6" s="47">
        <v>35274</v>
      </c>
      <c r="BF6" s="47">
        <v>28136</v>
      </c>
      <c r="BG6" s="47">
        <v>17238</v>
      </c>
      <c r="BH6" s="47">
        <v>5317</v>
      </c>
      <c r="BI6" s="47">
        <v>23558</v>
      </c>
      <c r="BJ6" s="47">
        <v>395</v>
      </c>
      <c r="BK6" s="47">
        <v>308</v>
      </c>
      <c r="BL6" s="47">
        <v>450</v>
      </c>
      <c r="BM6" s="47">
        <v>9326</v>
      </c>
      <c r="BN6" s="47">
        <v>9490</v>
      </c>
      <c r="BO6" s="47">
        <v>169</v>
      </c>
      <c r="BP6" s="47">
        <v>1611</v>
      </c>
      <c r="BQ6" s="47">
        <v>6391</v>
      </c>
      <c r="BR6" s="47">
        <v>5100</v>
      </c>
      <c r="BS6" s="47">
        <v>2286</v>
      </c>
      <c r="BT6" s="47">
        <v>15520</v>
      </c>
      <c r="BU6" s="47">
        <v>1448</v>
      </c>
      <c r="BV6" s="47">
        <v>10456</v>
      </c>
      <c r="BW6" s="47">
        <v>72350</v>
      </c>
      <c r="BX6" s="47">
        <v>17739</v>
      </c>
      <c r="BY6" s="47">
        <v>41301</v>
      </c>
      <c r="BZ6" s="47">
        <v>54827</v>
      </c>
      <c r="CA6" s="47">
        <v>71512</v>
      </c>
      <c r="CB6" s="47">
        <v>27343</v>
      </c>
      <c r="CC6" s="47">
        <v>50421</v>
      </c>
      <c r="CD6" s="47">
        <v>102778</v>
      </c>
      <c r="CE6" s="47">
        <v>40225</v>
      </c>
      <c r="CF6" s="47">
        <v>66820</v>
      </c>
      <c r="CG6" s="47">
        <v>380042</v>
      </c>
      <c r="CH6" s="47">
        <v>170708</v>
      </c>
      <c r="CI6" s="47">
        <v>170762</v>
      </c>
      <c r="CJ6" s="47">
        <v>44</v>
      </c>
      <c r="CK6" s="47">
        <v>167</v>
      </c>
      <c r="CL6" s="47">
        <v>1311</v>
      </c>
      <c r="CM6" s="47">
        <v>2062</v>
      </c>
      <c r="CN6" s="47">
        <v>1311</v>
      </c>
      <c r="CO6" s="47">
        <v>955</v>
      </c>
      <c r="CP6" s="47">
        <v>762</v>
      </c>
      <c r="CQ6" s="1"/>
    </row>
    <row r="7" spans="1:95">
      <c r="A7" s="39" t="s">
        <v>117</v>
      </c>
      <c r="B7" s="40" t="s">
        <v>127</v>
      </c>
      <c r="C7" s="47">
        <v>467</v>
      </c>
      <c r="D7" s="47">
        <v>218286</v>
      </c>
      <c r="E7" s="47">
        <v>757200</v>
      </c>
      <c r="F7" s="47">
        <v>133649</v>
      </c>
      <c r="G7" s="47">
        <v>4325</v>
      </c>
      <c r="H7" s="47">
        <v>31962</v>
      </c>
      <c r="I7" s="47">
        <v>877</v>
      </c>
      <c r="J7" s="47">
        <v>40141</v>
      </c>
      <c r="K7" s="47">
        <v>14637</v>
      </c>
      <c r="L7" s="47">
        <v>86235</v>
      </c>
      <c r="M7" s="47">
        <v>9106</v>
      </c>
      <c r="N7" s="47">
        <v>4667</v>
      </c>
      <c r="O7" s="47">
        <v>17654</v>
      </c>
      <c r="P7" s="47">
        <v>59662</v>
      </c>
      <c r="Q7" s="47">
        <v>3074</v>
      </c>
      <c r="R7" s="47">
        <v>7716</v>
      </c>
      <c r="S7" s="47">
        <v>10644</v>
      </c>
      <c r="T7" s="47">
        <v>24121</v>
      </c>
      <c r="U7" s="47">
        <v>19881</v>
      </c>
      <c r="V7" s="47">
        <v>108513</v>
      </c>
      <c r="W7" s="47">
        <v>34285</v>
      </c>
      <c r="X7" s="47">
        <v>155684</v>
      </c>
      <c r="Y7" s="47">
        <v>277767</v>
      </c>
      <c r="Z7" s="47">
        <v>164</v>
      </c>
      <c r="AA7" s="47">
        <v>14371</v>
      </c>
      <c r="AB7" s="47"/>
      <c r="AC7" s="47">
        <v>28580</v>
      </c>
      <c r="AD7" s="47">
        <v>29630</v>
      </c>
      <c r="AE7" s="47">
        <v>74035</v>
      </c>
      <c r="AF7" s="47">
        <v>23338</v>
      </c>
      <c r="AG7" s="47">
        <v>20964</v>
      </c>
      <c r="AH7" s="47">
        <v>108298</v>
      </c>
      <c r="AI7" s="47">
        <v>92905</v>
      </c>
      <c r="AJ7" s="47">
        <v>175587</v>
      </c>
      <c r="AK7" s="47">
        <v>403</v>
      </c>
      <c r="AL7" s="47">
        <v>10480</v>
      </c>
      <c r="AM7" s="47">
        <v>28062</v>
      </c>
      <c r="AN7" s="47">
        <v>12771</v>
      </c>
      <c r="AO7" s="47">
        <v>494</v>
      </c>
      <c r="AP7" s="47">
        <v>1860</v>
      </c>
      <c r="AQ7" s="47">
        <v>25661</v>
      </c>
      <c r="AR7" s="47">
        <v>13184</v>
      </c>
      <c r="AS7" s="47">
        <v>26225</v>
      </c>
      <c r="AT7" s="47">
        <v>26641</v>
      </c>
      <c r="AU7" s="47">
        <v>6002</v>
      </c>
      <c r="AV7" s="47">
        <v>10573</v>
      </c>
      <c r="AW7" s="47">
        <v>2017</v>
      </c>
      <c r="AX7" s="47">
        <v>1218</v>
      </c>
      <c r="AY7" s="47">
        <v>1709</v>
      </c>
      <c r="AZ7" s="47">
        <v>630</v>
      </c>
      <c r="BA7" s="47">
        <v>884</v>
      </c>
      <c r="BB7" s="47">
        <v>4436</v>
      </c>
      <c r="BC7" s="47">
        <v>7032</v>
      </c>
      <c r="BD7" s="47">
        <v>525</v>
      </c>
      <c r="BE7" s="47">
        <v>42498</v>
      </c>
      <c r="BF7" s="47">
        <v>28893</v>
      </c>
      <c r="BG7" s="47">
        <v>16148</v>
      </c>
      <c r="BH7" s="47">
        <v>5786</v>
      </c>
      <c r="BI7" s="47">
        <v>29158</v>
      </c>
      <c r="BJ7" s="47">
        <v>314</v>
      </c>
      <c r="BK7" s="47">
        <v>584</v>
      </c>
      <c r="BL7" s="47">
        <v>453</v>
      </c>
      <c r="BM7" s="47">
        <v>9097</v>
      </c>
      <c r="BN7" s="47">
        <v>9223</v>
      </c>
      <c r="BO7" s="47">
        <v>80</v>
      </c>
      <c r="BP7" s="47">
        <v>1528</v>
      </c>
      <c r="BQ7" s="47">
        <v>6010</v>
      </c>
      <c r="BR7" s="47">
        <v>4782</v>
      </c>
      <c r="BS7" s="47">
        <v>1993</v>
      </c>
      <c r="BT7" s="47">
        <v>14183</v>
      </c>
      <c r="BU7" s="47">
        <v>1232</v>
      </c>
      <c r="BV7" s="47">
        <v>9277</v>
      </c>
      <c r="BW7" s="47">
        <v>59909</v>
      </c>
      <c r="BX7" s="47">
        <v>18925</v>
      </c>
      <c r="BY7" s="47">
        <v>37716</v>
      </c>
      <c r="BZ7" s="47">
        <v>67651</v>
      </c>
      <c r="CA7" s="47">
        <v>70690</v>
      </c>
      <c r="CB7" s="47">
        <v>46465</v>
      </c>
      <c r="CC7" s="47">
        <v>39008</v>
      </c>
      <c r="CD7" s="47">
        <v>123683</v>
      </c>
      <c r="CE7" s="47">
        <v>41568</v>
      </c>
      <c r="CF7" s="47">
        <v>60045</v>
      </c>
      <c r="CG7" s="47">
        <v>355331</v>
      </c>
      <c r="CH7" s="47">
        <v>146426</v>
      </c>
      <c r="CI7" s="47">
        <v>198430</v>
      </c>
      <c r="CJ7" s="47">
        <v>88</v>
      </c>
      <c r="CK7" s="47">
        <v>98</v>
      </c>
      <c r="CL7" s="47">
        <v>1333</v>
      </c>
      <c r="CM7" s="47">
        <v>2008</v>
      </c>
      <c r="CN7" s="47">
        <v>1333</v>
      </c>
      <c r="CO7" s="47">
        <v>556</v>
      </c>
      <c r="CP7" s="47">
        <v>917</v>
      </c>
      <c r="CQ7" s="1"/>
    </row>
    <row r="8" spans="1:95">
      <c r="A8" s="39" t="s">
        <v>118</v>
      </c>
      <c r="B8" s="40" t="s">
        <v>127</v>
      </c>
      <c r="C8" s="47">
        <v>144</v>
      </c>
      <c r="D8" s="47">
        <v>150567</v>
      </c>
      <c r="E8" s="47">
        <v>751970</v>
      </c>
      <c r="F8" s="47">
        <v>112354</v>
      </c>
      <c r="G8" s="47">
        <v>1130</v>
      </c>
      <c r="H8" s="47">
        <v>32083</v>
      </c>
      <c r="I8" s="47">
        <v>827</v>
      </c>
      <c r="J8" s="47">
        <v>23651</v>
      </c>
      <c r="K8" s="47">
        <v>6626</v>
      </c>
      <c r="L8" s="47">
        <v>57758</v>
      </c>
      <c r="M8" s="47">
        <v>3173</v>
      </c>
      <c r="N8" s="47">
        <v>2510</v>
      </c>
      <c r="O8" s="47">
        <v>15491</v>
      </c>
      <c r="P8" s="47">
        <v>64577</v>
      </c>
      <c r="Q8" s="47">
        <v>6675</v>
      </c>
      <c r="R8" s="47">
        <v>2564</v>
      </c>
      <c r="S8" s="47">
        <v>7050</v>
      </c>
      <c r="T8" s="47">
        <v>25328</v>
      </c>
      <c r="U8" s="47">
        <v>14509</v>
      </c>
      <c r="V8" s="47">
        <v>139553</v>
      </c>
      <c r="W8" s="47">
        <v>46706</v>
      </c>
      <c r="X8" s="47">
        <v>93356</v>
      </c>
      <c r="Y8" s="47">
        <v>205901</v>
      </c>
      <c r="Z8" s="47">
        <v>147</v>
      </c>
      <c r="AA8" s="47">
        <v>11419</v>
      </c>
      <c r="AB8" s="47"/>
      <c r="AC8" s="47">
        <v>12234</v>
      </c>
      <c r="AD8" s="47">
        <v>11275</v>
      </c>
      <c r="AE8" s="47">
        <v>39716</v>
      </c>
      <c r="AF8" s="47">
        <v>13524</v>
      </c>
      <c r="AG8" s="47">
        <v>16340</v>
      </c>
      <c r="AH8" s="47">
        <v>76934</v>
      </c>
      <c r="AI8" s="47">
        <v>76798</v>
      </c>
      <c r="AJ8" s="47">
        <v>161094</v>
      </c>
      <c r="AK8" s="47">
        <v>573</v>
      </c>
      <c r="AL8" s="47">
        <v>4689</v>
      </c>
      <c r="AM8" s="47">
        <v>14939</v>
      </c>
      <c r="AN8" s="47">
        <v>7741</v>
      </c>
      <c r="AO8" s="47">
        <v>465</v>
      </c>
      <c r="AP8" s="47">
        <v>727</v>
      </c>
      <c r="AQ8" s="47">
        <v>14216</v>
      </c>
      <c r="AR8" s="47">
        <v>7554</v>
      </c>
      <c r="AS8" s="47">
        <v>19365</v>
      </c>
      <c r="AT8" s="47">
        <v>18614</v>
      </c>
      <c r="AU8" s="47">
        <v>5231</v>
      </c>
      <c r="AV8" s="47">
        <v>9355</v>
      </c>
      <c r="AW8" s="47">
        <v>2279</v>
      </c>
      <c r="AX8" s="47">
        <v>582</v>
      </c>
      <c r="AY8" s="47">
        <v>1004</v>
      </c>
      <c r="AZ8" s="47">
        <v>435</v>
      </c>
      <c r="BA8" s="47">
        <v>713</v>
      </c>
      <c r="BB8" s="47">
        <v>3284</v>
      </c>
      <c r="BC8" s="47">
        <v>5550</v>
      </c>
      <c r="BD8" s="47">
        <v>483</v>
      </c>
      <c r="BE8" s="47">
        <v>39796</v>
      </c>
      <c r="BF8" s="47">
        <v>28832</v>
      </c>
      <c r="BG8" s="47">
        <v>19667</v>
      </c>
      <c r="BH8" s="47">
        <v>7836</v>
      </c>
      <c r="BI8" s="47">
        <v>43868</v>
      </c>
      <c r="BJ8" s="47">
        <v>912</v>
      </c>
      <c r="BK8" s="47">
        <v>964</v>
      </c>
      <c r="BL8" s="47">
        <v>205</v>
      </c>
      <c r="BM8" s="47">
        <v>12972</v>
      </c>
      <c r="BN8" s="47">
        <v>14634</v>
      </c>
      <c r="BO8" s="47">
        <v>336</v>
      </c>
      <c r="BP8" s="47">
        <v>899</v>
      </c>
      <c r="BQ8" s="47">
        <v>5099</v>
      </c>
      <c r="BR8" s="47">
        <v>2467</v>
      </c>
      <c r="BS8" s="47">
        <v>1117</v>
      </c>
      <c r="BT8" s="47">
        <v>8130</v>
      </c>
      <c r="BU8" s="47">
        <v>902</v>
      </c>
      <c r="BV8" s="47">
        <v>8594</v>
      </c>
      <c r="BW8" s="47">
        <v>47309</v>
      </c>
      <c r="BX8" s="47">
        <v>17540</v>
      </c>
      <c r="BY8" s="47">
        <v>24227</v>
      </c>
      <c r="BZ8" s="47">
        <v>40070</v>
      </c>
      <c r="CA8" s="47">
        <v>51867</v>
      </c>
      <c r="CB8" s="47">
        <v>26340</v>
      </c>
      <c r="CC8" s="47">
        <v>34812</v>
      </c>
      <c r="CD8" s="47">
        <v>118868</v>
      </c>
      <c r="CE8" s="47">
        <v>35368</v>
      </c>
      <c r="CF8" s="47">
        <v>47269</v>
      </c>
      <c r="CG8" s="47">
        <v>337522</v>
      </c>
      <c r="CH8" s="47">
        <v>224945</v>
      </c>
      <c r="CI8" s="47">
        <v>306621</v>
      </c>
      <c r="CJ8" s="47">
        <v>167</v>
      </c>
      <c r="CK8" s="47">
        <v>404</v>
      </c>
      <c r="CL8" s="47">
        <v>1368</v>
      </c>
      <c r="CM8" s="47">
        <v>2588</v>
      </c>
      <c r="CN8" s="47">
        <v>1368</v>
      </c>
      <c r="CO8" s="47">
        <v>1387</v>
      </c>
      <c r="CP8" s="47">
        <v>868</v>
      </c>
      <c r="CQ8" s="1"/>
    </row>
    <row r="9" spans="1:95">
      <c r="A9" s="39" t="s">
        <v>119</v>
      </c>
      <c r="B9" s="40" t="s">
        <v>128</v>
      </c>
      <c r="C9" s="47">
        <v>328</v>
      </c>
      <c r="D9" s="47">
        <v>198375</v>
      </c>
      <c r="E9" s="47">
        <v>777368</v>
      </c>
      <c r="F9" s="47">
        <v>117083</v>
      </c>
      <c r="G9" s="47">
        <v>1160</v>
      </c>
      <c r="H9" s="47">
        <v>32063</v>
      </c>
      <c r="I9" s="47">
        <v>1192</v>
      </c>
      <c r="J9" s="47">
        <v>40752</v>
      </c>
      <c r="K9" s="47">
        <v>12843</v>
      </c>
      <c r="L9" s="47">
        <v>67356</v>
      </c>
      <c r="M9" s="47">
        <v>3198</v>
      </c>
      <c r="N9" s="47">
        <v>3087</v>
      </c>
      <c r="O9" s="47">
        <v>17258</v>
      </c>
      <c r="P9" s="47">
        <v>44520</v>
      </c>
      <c r="Q9" s="47">
        <v>3556</v>
      </c>
      <c r="R9" s="47">
        <v>6259</v>
      </c>
      <c r="S9" s="47">
        <v>11713</v>
      </c>
      <c r="T9" s="47">
        <v>27384</v>
      </c>
      <c r="U9" s="47">
        <v>16691</v>
      </c>
      <c r="V9" s="47">
        <v>148437</v>
      </c>
      <c r="W9" s="47">
        <v>53017</v>
      </c>
      <c r="X9" s="47">
        <v>148900</v>
      </c>
      <c r="Y9" s="47">
        <v>205653</v>
      </c>
      <c r="Z9" s="47">
        <v>230</v>
      </c>
      <c r="AA9" s="47">
        <v>16777</v>
      </c>
      <c r="AB9" s="47"/>
      <c r="AC9" s="47">
        <v>19133</v>
      </c>
      <c r="AD9" s="47">
        <v>20934</v>
      </c>
      <c r="AE9" s="47">
        <v>64832</v>
      </c>
      <c r="AF9" s="47">
        <v>23679</v>
      </c>
      <c r="AG9" s="47">
        <v>25101</v>
      </c>
      <c r="AH9" s="47">
        <v>104875</v>
      </c>
      <c r="AI9" s="47">
        <v>92556</v>
      </c>
      <c r="AJ9" s="47">
        <v>180691</v>
      </c>
      <c r="AK9" s="47">
        <v>716</v>
      </c>
      <c r="AL9" s="47">
        <v>8538</v>
      </c>
      <c r="AM9" s="47">
        <v>21556</v>
      </c>
      <c r="AN9" s="47">
        <v>10106</v>
      </c>
      <c r="AO9" s="47">
        <v>543</v>
      </c>
      <c r="AP9" s="47">
        <v>494</v>
      </c>
      <c r="AQ9" s="47">
        <v>19570</v>
      </c>
      <c r="AR9" s="47">
        <v>9560</v>
      </c>
      <c r="AS9" s="47">
        <v>27510</v>
      </c>
      <c r="AT9" s="47">
        <v>20211</v>
      </c>
      <c r="AU9" s="47">
        <v>6531</v>
      </c>
      <c r="AV9" s="47">
        <v>10736</v>
      </c>
      <c r="AW9" s="47">
        <v>1683</v>
      </c>
      <c r="AX9" s="47">
        <v>763</v>
      </c>
      <c r="AY9" s="47">
        <v>1794</v>
      </c>
      <c r="AZ9" s="47">
        <v>1270</v>
      </c>
      <c r="BA9" s="47">
        <v>540</v>
      </c>
      <c r="BB9" s="47">
        <v>4995</v>
      </c>
      <c r="BC9" s="47">
        <v>4635</v>
      </c>
      <c r="BD9" s="47">
        <v>560</v>
      </c>
      <c r="BE9" s="47">
        <v>44554</v>
      </c>
      <c r="BF9" s="47">
        <v>25251</v>
      </c>
      <c r="BG9" s="47">
        <v>16313</v>
      </c>
      <c r="BH9" s="47">
        <v>5646</v>
      </c>
      <c r="BI9" s="47">
        <v>26480</v>
      </c>
      <c r="BJ9" s="47">
        <v>211</v>
      </c>
      <c r="BK9" s="47">
        <v>648</v>
      </c>
      <c r="BL9" s="47">
        <v>475</v>
      </c>
      <c r="BM9" s="47">
        <v>14476</v>
      </c>
      <c r="BN9" s="47">
        <v>9836</v>
      </c>
      <c r="BO9" s="47">
        <v>164</v>
      </c>
      <c r="BP9" s="47">
        <v>1445</v>
      </c>
      <c r="BQ9" s="47">
        <v>7022</v>
      </c>
      <c r="BR9" s="47">
        <v>3856</v>
      </c>
      <c r="BS9" s="47">
        <v>1952</v>
      </c>
      <c r="BT9" s="47">
        <v>11993</v>
      </c>
      <c r="BU9" s="47">
        <v>1098</v>
      </c>
      <c r="BV9" s="47">
        <v>8826</v>
      </c>
      <c r="BW9" s="47">
        <v>54784</v>
      </c>
      <c r="BX9" s="47">
        <v>18614</v>
      </c>
      <c r="BY9" s="47">
        <v>27791</v>
      </c>
      <c r="BZ9" s="47">
        <v>58252</v>
      </c>
      <c r="CA9" s="47">
        <v>71610</v>
      </c>
      <c r="CB9" s="47">
        <v>35432</v>
      </c>
      <c r="CC9" s="47">
        <v>38015</v>
      </c>
      <c r="CD9" s="47">
        <v>132356</v>
      </c>
      <c r="CE9" s="47">
        <v>32858</v>
      </c>
      <c r="CF9" s="47">
        <v>54476</v>
      </c>
      <c r="CG9" s="47">
        <v>366675</v>
      </c>
      <c r="CH9" s="47">
        <v>199031</v>
      </c>
      <c r="CI9" s="47">
        <v>209700</v>
      </c>
      <c r="CJ9" s="47">
        <v>141</v>
      </c>
      <c r="CK9" s="47">
        <v>209</v>
      </c>
      <c r="CL9" s="47">
        <v>1588</v>
      </c>
      <c r="CM9" s="47">
        <v>1284</v>
      </c>
      <c r="CN9" s="47">
        <v>1588</v>
      </c>
      <c r="CO9" s="47">
        <v>1435</v>
      </c>
      <c r="CP9" s="47">
        <v>1226</v>
      </c>
      <c r="CQ9" s="1"/>
    </row>
    <row r="10" spans="1:95">
      <c r="A10" s="39" t="s">
        <v>120</v>
      </c>
      <c r="B10" s="40" t="s">
        <v>128</v>
      </c>
      <c r="C10" s="47">
        <v>290</v>
      </c>
      <c r="D10" s="47">
        <v>153990</v>
      </c>
      <c r="E10" s="47">
        <v>843214</v>
      </c>
      <c r="F10" s="47">
        <v>108585</v>
      </c>
      <c r="G10" s="47">
        <v>860</v>
      </c>
      <c r="H10" s="47">
        <v>40485</v>
      </c>
      <c r="I10" s="47">
        <v>846</v>
      </c>
      <c r="J10" s="47">
        <v>23046</v>
      </c>
      <c r="K10" s="47">
        <v>5157</v>
      </c>
      <c r="L10" s="47">
        <v>45456</v>
      </c>
      <c r="M10" s="47">
        <v>3281</v>
      </c>
      <c r="N10" s="47">
        <v>2416</v>
      </c>
      <c r="O10" s="47">
        <v>18517</v>
      </c>
      <c r="P10" s="47">
        <v>50967</v>
      </c>
      <c r="Q10" s="47">
        <v>3888</v>
      </c>
      <c r="R10" s="47">
        <v>6266</v>
      </c>
      <c r="S10" s="47">
        <v>10916</v>
      </c>
      <c r="T10" s="47">
        <v>34909</v>
      </c>
      <c r="U10" s="47">
        <v>18281</v>
      </c>
      <c r="V10" s="47">
        <v>205245</v>
      </c>
      <c r="W10" s="47">
        <v>60842</v>
      </c>
      <c r="X10" s="47">
        <v>132776</v>
      </c>
      <c r="Y10" s="47">
        <v>213205</v>
      </c>
      <c r="Z10" s="47">
        <v>223</v>
      </c>
      <c r="AA10" s="47">
        <v>10797</v>
      </c>
      <c r="AB10" s="47"/>
      <c r="AC10" s="47">
        <v>27268</v>
      </c>
      <c r="AD10" s="47">
        <v>27778</v>
      </c>
      <c r="AE10" s="47">
        <v>61442</v>
      </c>
      <c r="AF10" s="47">
        <v>34161</v>
      </c>
      <c r="AG10" s="47">
        <v>23024</v>
      </c>
      <c r="AH10" s="47">
        <v>120623</v>
      </c>
      <c r="AI10" s="47">
        <v>70374</v>
      </c>
      <c r="AJ10" s="47">
        <v>220103</v>
      </c>
      <c r="AK10" s="47">
        <v>934</v>
      </c>
      <c r="AL10" s="47">
        <v>13574</v>
      </c>
      <c r="AM10" s="47">
        <v>25379</v>
      </c>
      <c r="AN10" s="47">
        <v>8256</v>
      </c>
      <c r="AO10" s="47">
        <v>419</v>
      </c>
      <c r="AP10" s="47">
        <v>1012</v>
      </c>
      <c r="AQ10" s="47">
        <v>30163</v>
      </c>
      <c r="AR10" s="47">
        <v>12858</v>
      </c>
      <c r="AS10" s="47">
        <v>31393</v>
      </c>
      <c r="AT10" s="47">
        <v>24079</v>
      </c>
      <c r="AU10" s="47">
        <v>6062</v>
      </c>
      <c r="AV10" s="47">
        <v>9266</v>
      </c>
      <c r="AW10" s="47">
        <v>1675</v>
      </c>
      <c r="AX10" s="47">
        <v>754</v>
      </c>
      <c r="AY10" s="47">
        <v>1068</v>
      </c>
      <c r="AZ10" s="47">
        <v>387</v>
      </c>
      <c r="BA10" s="47">
        <v>719</v>
      </c>
      <c r="BB10" s="47">
        <v>4573</v>
      </c>
      <c r="BC10" s="47">
        <v>6838</v>
      </c>
      <c r="BD10" s="47">
        <v>831</v>
      </c>
      <c r="BE10" s="47">
        <v>43683</v>
      </c>
      <c r="BF10" s="47">
        <v>28916</v>
      </c>
      <c r="BG10" s="47">
        <v>17933</v>
      </c>
      <c r="BH10" s="47">
        <v>5875</v>
      </c>
      <c r="BI10" s="47">
        <v>28502</v>
      </c>
      <c r="BJ10" s="47">
        <v>591</v>
      </c>
      <c r="BK10" s="47">
        <v>930</v>
      </c>
      <c r="BL10" s="47">
        <v>613</v>
      </c>
      <c r="BM10" s="47">
        <v>13399</v>
      </c>
      <c r="BN10" s="47">
        <v>12727</v>
      </c>
      <c r="BO10" s="47">
        <v>207</v>
      </c>
      <c r="BP10" s="47">
        <v>1510</v>
      </c>
      <c r="BQ10" s="47">
        <v>6318</v>
      </c>
      <c r="BR10" s="47">
        <v>2989</v>
      </c>
      <c r="BS10" s="47">
        <v>3348</v>
      </c>
      <c r="BT10" s="47">
        <v>14605</v>
      </c>
      <c r="BU10" s="47">
        <v>1550</v>
      </c>
      <c r="BV10" s="47">
        <v>9806</v>
      </c>
      <c r="BW10" s="47">
        <v>67835</v>
      </c>
      <c r="BX10" s="47">
        <v>18967</v>
      </c>
      <c r="BY10" s="47">
        <v>51042</v>
      </c>
      <c r="BZ10" s="47">
        <v>43867</v>
      </c>
      <c r="CA10" s="47">
        <v>75442</v>
      </c>
      <c r="CB10" s="47">
        <v>53128</v>
      </c>
      <c r="CC10" s="47">
        <v>65755</v>
      </c>
      <c r="CD10" s="47">
        <v>109746</v>
      </c>
      <c r="CE10" s="47">
        <v>41064</v>
      </c>
      <c r="CF10" s="47">
        <v>69603</v>
      </c>
      <c r="CG10" s="47">
        <v>458803</v>
      </c>
      <c r="CH10" s="47">
        <v>208904</v>
      </c>
      <c r="CI10" s="47">
        <v>292977</v>
      </c>
      <c r="CJ10" s="47">
        <v>256</v>
      </c>
      <c r="CK10" s="47">
        <v>200</v>
      </c>
      <c r="CL10" s="47">
        <v>4182</v>
      </c>
      <c r="CM10" s="47">
        <v>1463</v>
      </c>
      <c r="CN10" s="47">
        <v>4182</v>
      </c>
      <c r="CO10" s="47">
        <v>1009</v>
      </c>
      <c r="CP10" s="47">
        <v>803</v>
      </c>
      <c r="CQ10" s="1"/>
    </row>
    <row r="11" spans="1:95">
      <c r="A11" s="39" t="s">
        <v>129</v>
      </c>
      <c r="B11" s="40" t="s">
        <v>128</v>
      </c>
      <c r="C11" s="47">
        <v>590</v>
      </c>
      <c r="D11" s="47">
        <v>311083</v>
      </c>
      <c r="E11" s="47">
        <v>804781</v>
      </c>
      <c r="F11" s="47">
        <v>120808</v>
      </c>
      <c r="G11" s="47">
        <v>6925</v>
      </c>
      <c r="H11" s="47">
        <v>26791</v>
      </c>
      <c r="I11" s="47">
        <v>1235</v>
      </c>
      <c r="J11" s="47">
        <v>63755</v>
      </c>
      <c r="K11" s="47">
        <v>39903</v>
      </c>
      <c r="L11" s="47">
        <v>189935</v>
      </c>
      <c r="M11" s="47">
        <v>11698</v>
      </c>
      <c r="N11" s="47">
        <v>6685</v>
      </c>
      <c r="O11" s="47">
        <v>21027</v>
      </c>
      <c r="P11" s="47">
        <v>96096</v>
      </c>
      <c r="Q11" s="47">
        <v>5237</v>
      </c>
      <c r="R11" s="47">
        <v>7779</v>
      </c>
      <c r="S11" s="47">
        <v>8277</v>
      </c>
      <c r="T11" s="47">
        <v>18004</v>
      </c>
      <c r="U11" s="47">
        <v>19251</v>
      </c>
      <c r="V11" s="47">
        <v>86201</v>
      </c>
      <c r="W11" s="47">
        <v>29075</v>
      </c>
      <c r="X11" s="47">
        <v>161643</v>
      </c>
      <c r="Y11" s="47">
        <v>364602</v>
      </c>
      <c r="Z11" s="47">
        <v>267</v>
      </c>
      <c r="AA11" s="47">
        <v>17330</v>
      </c>
      <c r="AB11" s="47"/>
      <c r="AC11" s="47">
        <v>22824</v>
      </c>
      <c r="AD11" s="47">
        <v>28013</v>
      </c>
      <c r="AE11" s="47">
        <v>65898</v>
      </c>
      <c r="AF11" s="47">
        <v>22855</v>
      </c>
      <c r="AG11" s="47">
        <v>34268</v>
      </c>
      <c r="AH11" s="47">
        <v>87347</v>
      </c>
      <c r="AI11" s="47">
        <v>100725</v>
      </c>
      <c r="AJ11" s="47">
        <v>178646</v>
      </c>
      <c r="AK11" s="47">
        <v>422</v>
      </c>
      <c r="AL11" s="47">
        <v>8585</v>
      </c>
      <c r="AM11" s="47">
        <v>31987</v>
      </c>
      <c r="AN11" s="47">
        <v>17199</v>
      </c>
      <c r="AO11" s="47">
        <v>500</v>
      </c>
      <c r="AP11" s="47">
        <v>743</v>
      </c>
      <c r="AQ11" s="47">
        <v>29470</v>
      </c>
      <c r="AR11" s="47">
        <v>15558</v>
      </c>
      <c r="AS11" s="47">
        <v>36295</v>
      </c>
      <c r="AT11" s="47">
        <v>38567</v>
      </c>
      <c r="AU11" s="47">
        <v>6953</v>
      </c>
      <c r="AV11" s="47">
        <v>13879</v>
      </c>
      <c r="AW11" s="47">
        <v>2982</v>
      </c>
      <c r="AX11" s="47">
        <v>1236</v>
      </c>
      <c r="AY11" s="47">
        <v>2830</v>
      </c>
      <c r="AZ11" s="47">
        <v>1944</v>
      </c>
      <c r="BA11" s="47">
        <v>795</v>
      </c>
      <c r="BB11" s="47">
        <v>4781</v>
      </c>
      <c r="BC11" s="47">
        <v>7511</v>
      </c>
      <c r="BD11" s="47">
        <v>684</v>
      </c>
      <c r="BE11" s="47">
        <v>64325</v>
      </c>
      <c r="BF11" s="47">
        <v>25718</v>
      </c>
      <c r="BG11" s="47">
        <v>23341</v>
      </c>
      <c r="BH11" s="47">
        <v>8413</v>
      </c>
      <c r="BI11" s="47">
        <v>49991</v>
      </c>
      <c r="BJ11" s="47">
        <v>562</v>
      </c>
      <c r="BK11" s="47">
        <v>400</v>
      </c>
      <c r="BL11" s="47">
        <v>836</v>
      </c>
      <c r="BM11" s="47">
        <v>10476</v>
      </c>
      <c r="BN11" s="47">
        <v>9163</v>
      </c>
      <c r="BO11" s="47">
        <v>196</v>
      </c>
      <c r="BP11" s="47">
        <v>1366</v>
      </c>
      <c r="BQ11" s="47">
        <v>5558</v>
      </c>
      <c r="BR11" s="47">
        <v>5831</v>
      </c>
      <c r="BS11" s="47">
        <v>1410</v>
      </c>
      <c r="BT11" s="47">
        <v>12939</v>
      </c>
      <c r="BU11" s="47">
        <v>1140</v>
      </c>
      <c r="BV11" s="47">
        <v>7141</v>
      </c>
      <c r="BW11" s="47">
        <v>48493</v>
      </c>
      <c r="BX11" s="47">
        <v>17253</v>
      </c>
      <c r="BY11" s="47">
        <v>35219</v>
      </c>
      <c r="BZ11" s="47">
        <v>58964</v>
      </c>
      <c r="CA11" s="47">
        <v>60313</v>
      </c>
      <c r="CB11" s="47">
        <v>60771</v>
      </c>
      <c r="CC11" s="47">
        <v>38112</v>
      </c>
      <c r="CD11" s="47">
        <v>172651</v>
      </c>
      <c r="CE11" s="47">
        <v>64595</v>
      </c>
      <c r="CF11" s="47">
        <v>51677</v>
      </c>
      <c r="CG11" s="47">
        <v>375743</v>
      </c>
      <c r="CH11" s="47">
        <v>236122</v>
      </c>
      <c r="CI11" s="47">
        <v>236707</v>
      </c>
      <c r="CJ11" s="47">
        <v>52</v>
      </c>
      <c r="CK11" s="47">
        <v>238</v>
      </c>
      <c r="CL11" s="47">
        <v>1133</v>
      </c>
      <c r="CM11" s="47">
        <v>1590</v>
      </c>
      <c r="CN11" s="47">
        <v>1133</v>
      </c>
      <c r="CO11" s="47">
        <v>877</v>
      </c>
      <c r="CP11" s="47">
        <v>685</v>
      </c>
      <c r="CQ11" s="1"/>
    </row>
    <row r="12" spans="1:95">
      <c r="A12" s="10"/>
      <c r="B12" s="39" t="s">
        <v>97</v>
      </c>
      <c r="C12" s="41">
        <f>AVERAGE(C6:C11)</f>
        <v>381.5</v>
      </c>
      <c r="D12" s="41">
        <f t="shared" ref="D12:BP12" si="0">AVERAGE(D6:D11)</f>
        <v>209655.66666666666</v>
      </c>
      <c r="E12" s="41">
        <f t="shared" si="0"/>
        <v>844422.83333333337</v>
      </c>
      <c r="F12" s="41">
        <f t="shared" si="0"/>
        <v>118501</v>
      </c>
      <c r="G12" s="41">
        <f t="shared" si="0"/>
        <v>2631.5</v>
      </c>
      <c r="H12" s="41">
        <f t="shared" si="0"/>
        <v>35586</v>
      </c>
      <c r="I12" s="41">
        <f t="shared" si="0"/>
        <v>943.66666666666663</v>
      </c>
      <c r="J12" s="41">
        <f t="shared" si="0"/>
        <v>40695.166666666664</v>
      </c>
      <c r="K12" s="41">
        <f t="shared" si="0"/>
        <v>15351.666666666666</v>
      </c>
      <c r="L12" s="41">
        <f t="shared" si="0"/>
        <v>87999.833333333328</v>
      </c>
      <c r="M12" s="41">
        <f t="shared" si="0"/>
        <v>5758.666666666667</v>
      </c>
      <c r="N12" s="41">
        <f t="shared" si="0"/>
        <v>3892.6666666666665</v>
      </c>
      <c r="O12" s="41">
        <f t="shared" si="0"/>
        <v>18610.666666666668</v>
      </c>
      <c r="P12" s="41">
        <f t="shared" si="0"/>
        <v>65701.333333333328</v>
      </c>
      <c r="Q12" s="41">
        <f t="shared" si="0"/>
        <v>4271.833333333333</v>
      </c>
      <c r="R12" s="41">
        <f t="shared" si="0"/>
        <v>6792.5</v>
      </c>
      <c r="S12" s="41">
        <f t="shared" si="0"/>
        <v>10332</v>
      </c>
      <c r="T12" s="41">
        <f t="shared" si="0"/>
        <v>28612.666666666668</v>
      </c>
      <c r="U12" s="41">
        <f t="shared" si="0"/>
        <v>18299.5</v>
      </c>
      <c r="V12" s="41">
        <f t="shared" si="0"/>
        <v>160149.5</v>
      </c>
      <c r="W12" s="41">
        <f t="shared" si="0"/>
        <v>49475</v>
      </c>
      <c r="X12" s="41">
        <f t="shared" si="0"/>
        <v>147406.66666666666</v>
      </c>
      <c r="Y12" s="41">
        <f t="shared" si="0"/>
        <v>251807.83333333334</v>
      </c>
      <c r="Z12" s="41">
        <f t="shared" si="0"/>
        <v>189</v>
      </c>
      <c r="AA12" s="41">
        <f t="shared" si="0"/>
        <v>13758.333333333334</v>
      </c>
      <c r="AB12" s="41"/>
      <c r="AC12" s="41">
        <f t="shared" si="0"/>
        <v>23989.666666666668</v>
      </c>
      <c r="AD12" s="41">
        <f t="shared" si="0"/>
        <v>24220.333333333332</v>
      </c>
      <c r="AE12" s="41">
        <f t="shared" si="0"/>
        <v>62947.5</v>
      </c>
      <c r="AF12" s="41">
        <f t="shared" si="0"/>
        <v>24773.5</v>
      </c>
      <c r="AG12" s="41">
        <f t="shared" si="0"/>
        <v>24943.333333333332</v>
      </c>
      <c r="AH12" s="41">
        <f t="shared" si="0"/>
        <v>101901.5</v>
      </c>
      <c r="AI12" s="41">
        <f t="shared" si="0"/>
        <v>87320</v>
      </c>
      <c r="AJ12" s="41">
        <f t="shared" si="0"/>
        <v>183171.83333333334</v>
      </c>
      <c r="AK12" s="41">
        <f t="shared" si="0"/>
        <v>552.66666666666663</v>
      </c>
      <c r="AL12" s="41">
        <f t="shared" si="0"/>
        <v>9623.1666666666661</v>
      </c>
      <c r="AM12" s="41">
        <f t="shared" si="0"/>
        <v>25006.833333333332</v>
      </c>
      <c r="AN12" s="41">
        <f t="shared" si="0"/>
        <v>11201.666666666666</v>
      </c>
      <c r="AO12" s="41">
        <f t="shared" si="0"/>
        <v>513.16666666666663</v>
      </c>
      <c r="AP12" s="41">
        <f t="shared" si="0"/>
        <v>1051.8333333333333</v>
      </c>
      <c r="AQ12" s="41">
        <f t="shared" si="0"/>
        <v>24454.333333333332</v>
      </c>
      <c r="AR12" s="41">
        <f t="shared" si="0"/>
        <v>11864.833333333334</v>
      </c>
      <c r="AS12" s="41">
        <f t="shared" si="0"/>
        <v>28271.833333333332</v>
      </c>
      <c r="AT12" s="41">
        <f t="shared" si="0"/>
        <v>25601.833333333332</v>
      </c>
      <c r="AU12" s="41">
        <f t="shared" si="0"/>
        <v>6207.5</v>
      </c>
      <c r="AV12" s="41">
        <f t="shared" si="0"/>
        <v>10631.166666666666</v>
      </c>
      <c r="AW12" s="41">
        <f t="shared" si="0"/>
        <v>2101.8333333333335</v>
      </c>
      <c r="AX12" s="41">
        <f t="shared" si="0"/>
        <v>916</v>
      </c>
      <c r="AY12" s="41">
        <f t="shared" si="0"/>
        <v>1734.3333333333333</v>
      </c>
      <c r="AZ12" s="41">
        <f t="shared" si="0"/>
        <v>939</v>
      </c>
      <c r="BA12" s="41">
        <f t="shared" si="0"/>
        <v>735.5</v>
      </c>
      <c r="BB12" s="41">
        <f t="shared" si="0"/>
        <v>4572.333333333333</v>
      </c>
      <c r="BC12" s="41">
        <f t="shared" si="0"/>
        <v>6230.666666666667</v>
      </c>
      <c r="BD12" s="41">
        <f t="shared" si="0"/>
        <v>582.16666666666663</v>
      </c>
      <c r="BE12" s="41">
        <f t="shared" si="0"/>
        <v>45021.666666666664</v>
      </c>
      <c r="BF12" s="41">
        <f t="shared" si="0"/>
        <v>27624.333333333332</v>
      </c>
      <c r="BG12" s="41">
        <f t="shared" si="0"/>
        <v>18440</v>
      </c>
      <c r="BH12" s="41">
        <f t="shared" si="0"/>
        <v>6478.833333333333</v>
      </c>
      <c r="BI12" s="41">
        <f t="shared" si="0"/>
        <v>33592.833333333336</v>
      </c>
      <c r="BJ12" s="41">
        <f t="shared" si="0"/>
        <v>497.5</v>
      </c>
      <c r="BK12" s="41">
        <f t="shared" si="0"/>
        <v>639</v>
      </c>
      <c r="BL12" s="41">
        <f t="shared" si="0"/>
        <v>505.33333333333331</v>
      </c>
      <c r="BM12" s="41">
        <f t="shared" si="0"/>
        <v>11624.333333333334</v>
      </c>
      <c r="BN12" s="41">
        <f t="shared" si="0"/>
        <v>10845.5</v>
      </c>
      <c r="BO12" s="41">
        <f t="shared" si="0"/>
        <v>192</v>
      </c>
      <c r="BP12" s="41">
        <f t="shared" si="0"/>
        <v>1393.1666666666667</v>
      </c>
      <c r="BQ12" s="41">
        <f t="shared" ref="BQ12:CP12" si="1">AVERAGE(BQ6:BQ11)</f>
        <v>6066.333333333333</v>
      </c>
      <c r="BR12" s="41">
        <f t="shared" si="1"/>
        <v>4170.833333333333</v>
      </c>
      <c r="BS12" s="41">
        <f t="shared" si="1"/>
        <v>2017.6666666666667</v>
      </c>
      <c r="BT12" s="41">
        <f t="shared" si="1"/>
        <v>12895</v>
      </c>
      <c r="BU12" s="41">
        <f t="shared" si="1"/>
        <v>1228.3333333333333</v>
      </c>
      <c r="BV12" s="41">
        <f t="shared" si="1"/>
        <v>9016.6666666666661</v>
      </c>
      <c r="BW12" s="41">
        <f t="shared" si="1"/>
        <v>58446.666666666664</v>
      </c>
      <c r="BX12" s="41">
        <f t="shared" si="1"/>
        <v>18173</v>
      </c>
      <c r="BY12" s="41">
        <f t="shared" si="1"/>
        <v>36216</v>
      </c>
      <c r="BZ12" s="41">
        <f t="shared" si="1"/>
        <v>53938.5</v>
      </c>
      <c r="CA12" s="41">
        <f t="shared" si="1"/>
        <v>66905.666666666672</v>
      </c>
      <c r="CB12" s="41">
        <f t="shared" si="1"/>
        <v>41579.833333333336</v>
      </c>
      <c r="CC12" s="41">
        <f t="shared" si="1"/>
        <v>44353.833333333336</v>
      </c>
      <c r="CD12" s="41">
        <f t="shared" si="1"/>
        <v>126680.33333333333</v>
      </c>
      <c r="CE12" s="41">
        <f t="shared" si="1"/>
        <v>42613</v>
      </c>
      <c r="CF12" s="41">
        <f t="shared" si="1"/>
        <v>58315</v>
      </c>
      <c r="CG12" s="41">
        <f t="shared" si="1"/>
        <v>379019.33333333331</v>
      </c>
      <c r="CH12" s="41">
        <f t="shared" si="1"/>
        <v>197689.33333333334</v>
      </c>
      <c r="CI12" s="41">
        <f t="shared" si="1"/>
        <v>235866.16666666666</v>
      </c>
      <c r="CJ12" s="41">
        <f t="shared" si="1"/>
        <v>124.66666666666667</v>
      </c>
      <c r="CK12" s="41">
        <f t="shared" si="1"/>
        <v>219.33333333333334</v>
      </c>
      <c r="CL12" s="41">
        <f t="shared" si="1"/>
        <v>1819.1666666666667</v>
      </c>
      <c r="CM12" s="41">
        <f t="shared" si="1"/>
        <v>1832.5</v>
      </c>
      <c r="CN12" s="41">
        <f t="shared" si="1"/>
        <v>1819.1666666666667</v>
      </c>
      <c r="CO12" s="41">
        <f t="shared" si="1"/>
        <v>1036.5</v>
      </c>
      <c r="CP12" s="41">
        <f t="shared" si="1"/>
        <v>876.83333333333337</v>
      </c>
    </row>
    <row r="13" spans="1:95">
      <c r="A13" s="10"/>
      <c r="B13" s="39" t="s">
        <v>98</v>
      </c>
      <c r="C13" s="41">
        <f>_xlfn.STDEV.S(C6:C11)</f>
        <v>158.90594702527656</v>
      </c>
      <c r="D13" s="41">
        <f t="shared" ref="D13:BP13" si="2">_xlfn.STDEV.S(D6:D11)</f>
        <v>58880.645708642398</v>
      </c>
      <c r="E13" s="41">
        <f t="shared" si="2"/>
        <v>144863.7728135185</v>
      </c>
      <c r="F13" s="41">
        <f t="shared" si="2"/>
        <v>8636.0664425419982</v>
      </c>
      <c r="G13" s="41">
        <f t="shared" si="2"/>
        <v>2465.924471673859</v>
      </c>
      <c r="H13" s="41">
        <f t="shared" si="2"/>
        <v>8375.6104971518344</v>
      </c>
      <c r="I13" s="41">
        <f t="shared" si="2"/>
        <v>219.56654268505164</v>
      </c>
      <c r="J13" s="41">
        <f t="shared" si="2"/>
        <v>16007.623576492133</v>
      </c>
      <c r="K13" s="41">
        <f t="shared" si="2"/>
        <v>12612.989109115517</v>
      </c>
      <c r="L13" s="41">
        <f t="shared" si="2"/>
        <v>52134.529377051702</v>
      </c>
      <c r="M13" s="41">
        <f t="shared" si="2"/>
        <v>3704.7617827151407</v>
      </c>
      <c r="N13" s="41">
        <f t="shared" si="2"/>
        <v>1621.5916460893186</v>
      </c>
      <c r="O13" s="41">
        <f t="shared" si="2"/>
        <v>2365.3323374669044</v>
      </c>
      <c r="P13" s="41">
        <f t="shared" si="2"/>
        <v>18911.497367122109</v>
      </c>
      <c r="Q13" s="41">
        <f t="shared" si="2"/>
        <v>1410.5311647271978</v>
      </c>
      <c r="R13" s="41">
        <f t="shared" si="2"/>
        <v>2517.2339382743116</v>
      </c>
      <c r="S13" s="41">
        <f t="shared" si="2"/>
        <v>2311.0045434832014</v>
      </c>
      <c r="T13" s="41">
        <f t="shared" si="2"/>
        <v>8508.9683902730885</v>
      </c>
      <c r="U13" s="41">
        <f t="shared" si="2"/>
        <v>2395.0924616807597</v>
      </c>
      <c r="V13" s="41">
        <f t="shared" si="2"/>
        <v>68488.26611252471</v>
      </c>
      <c r="W13" s="41">
        <f t="shared" si="2"/>
        <v>16408.658775171116</v>
      </c>
      <c r="X13" s="41">
        <f t="shared" si="2"/>
        <v>32877.787368779333</v>
      </c>
      <c r="Y13" s="41">
        <f t="shared" si="2"/>
        <v>61951.136100693606</v>
      </c>
      <c r="Z13" s="41">
        <f t="shared" si="2"/>
        <v>61.165349667928815</v>
      </c>
      <c r="AA13" s="41">
        <f t="shared" si="2"/>
        <v>2832.1496900175757</v>
      </c>
      <c r="AB13" s="41"/>
      <c r="AC13" s="41">
        <f t="shared" si="2"/>
        <v>7657.0909010319774</v>
      </c>
      <c r="AD13" s="41">
        <f t="shared" si="2"/>
        <v>7024.8119879941769</v>
      </c>
      <c r="AE13" s="41">
        <f t="shared" si="2"/>
        <v>12287.017372006927</v>
      </c>
      <c r="AF13" s="41">
        <f t="shared" si="2"/>
        <v>7231.0172106004557</v>
      </c>
      <c r="AG13" s="41">
        <f t="shared" si="2"/>
        <v>6414.1655627732825</v>
      </c>
      <c r="AH13" s="41">
        <f t="shared" si="2"/>
        <v>16529.472668539671</v>
      </c>
      <c r="AI13" s="41">
        <f t="shared" si="2"/>
        <v>11372.703372549555</v>
      </c>
      <c r="AJ13" s="41">
        <f t="shared" si="2"/>
        <v>19675.252226252822</v>
      </c>
      <c r="AK13" s="41">
        <f t="shared" si="2"/>
        <v>242.08070279695292</v>
      </c>
      <c r="AL13" s="41">
        <f t="shared" si="2"/>
        <v>3098.5924169962518</v>
      </c>
      <c r="AM13" s="41">
        <f t="shared" si="2"/>
        <v>6019.0390401347868</v>
      </c>
      <c r="AN13" s="41">
        <f t="shared" si="2"/>
        <v>3472.424148439628</v>
      </c>
      <c r="AO13" s="41">
        <f t="shared" si="2"/>
        <v>81.969303197396101</v>
      </c>
      <c r="AP13" s="41">
        <f t="shared" si="2"/>
        <v>518.81843323716498</v>
      </c>
      <c r="AQ13" s="41">
        <f t="shared" si="2"/>
        <v>6293.9454928261566</v>
      </c>
      <c r="AR13" s="41">
        <f t="shared" si="2"/>
        <v>2850.7509478498246</v>
      </c>
      <c r="AS13" s="41">
        <f t="shared" si="2"/>
        <v>5630.9983632271287</v>
      </c>
      <c r="AT13" s="41">
        <f t="shared" si="2"/>
        <v>7062.5195055777858</v>
      </c>
      <c r="AU13" s="41">
        <f t="shared" si="2"/>
        <v>590.62636243229099</v>
      </c>
      <c r="AV13" s="41">
        <f t="shared" si="2"/>
        <v>1701.8638508020183</v>
      </c>
      <c r="AW13" s="41">
        <f t="shared" si="2"/>
        <v>487.23153291496482</v>
      </c>
      <c r="AX13" s="41">
        <f t="shared" si="2"/>
        <v>266.66158328488189</v>
      </c>
      <c r="AY13" s="41">
        <f t="shared" si="2"/>
        <v>671.29506676771166</v>
      </c>
      <c r="AZ13" s="41">
        <f t="shared" si="2"/>
        <v>595.75632602600194</v>
      </c>
      <c r="BA13" s="41">
        <f t="shared" si="2"/>
        <v>114.27466910912497</v>
      </c>
      <c r="BB13" s="41">
        <f t="shared" si="2"/>
        <v>711.18202077011597</v>
      </c>
      <c r="BC13" s="41">
        <f t="shared" si="2"/>
        <v>1079.8143667624861</v>
      </c>
      <c r="BD13" s="41">
        <f t="shared" si="2"/>
        <v>152.00186402365813</v>
      </c>
      <c r="BE13" s="41">
        <f t="shared" si="2"/>
        <v>10033.174067395959</v>
      </c>
      <c r="BF13" s="41">
        <f t="shared" si="2"/>
        <v>1689.0824333544729</v>
      </c>
      <c r="BG13" s="41">
        <f t="shared" si="2"/>
        <v>2720.4623136518544</v>
      </c>
      <c r="BH13" s="41">
        <f t="shared" si="2"/>
        <v>1301.6145998976306</v>
      </c>
      <c r="BI13" s="41">
        <f t="shared" si="2"/>
        <v>10689.747694247353</v>
      </c>
      <c r="BJ13" s="41">
        <f t="shared" si="2"/>
        <v>249.38865250848923</v>
      </c>
      <c r="BK13" s="41">
        <f t="shared" si="2"/>
        <v>268.36318674512717</v>
      </c>
      <c r="BL13" s="41">
        <f t="shared" si="2"/>
        <v>208.73587776581832</v>
      </c>
      <c r="BM13" s="41">
        <f t="shared" si="2"/>
        <v>2284.1221216622098</v>
      </c>
      <c r="BN13" s="41">
        <f t="shared" si="2"/>
        <v>2289.6531396698497</v>
      </c>
      <c r="BO13" s="41">
        <f t="shared" si="2"/>
        <v>83.467358889568317</v>
      </c>
      <c r="BP13" s="41">
        <f t="shared" si="2"/>
        <v>255.69780340602614</v>
      </c>
      <c r="BQ13" s="41">
        <f t="shared" ref="BQ13:CP13" si="3">_xlfn.STDEV.S(BQ6:BQ11)</f>
        <v>675.18195078561507</v>
      </c>
      <c r="BR13" s="41">
        <f t="shared" si="3"/>
        <v>1295.5251316229514</v>
      </c>
      <c r="BS13" s="41">
        <f t="shared" si="3"/>
        <v>778.09630937735881</v>
      </c>
      <c r="BT13" s="41">
        <f t="shared" si="3"/>
        <v>2645.5409276743385</v>
      </c>
      <c r="BU13" s="41">
        <f t="shared" si="3"/>
        <v>237.91567133475422</v>
      </c>
      <c r="BV13" s="41">
        <f t="shared" si="3"/>
        <v>1139.7918523426383</v>
      </c>
      <c r="BW13" s="41">
        <f t="shared" si="3"/>
        <v>10199.216884970454</v>
      </c>
      <c r="BX13" s="41">
        <f t="shared" si="3"/>
        <v>751.78002101678646</v>
      </c>
      <c r="BY13" s="41">
        <f t="shared" si="3"/>
        <v>9629.4159324436696</v>
      </c>
      <c r="BZ13" s="41">
        <f t="shared" si="3"/>
        <v>10261.134688717422</v>
      </c>
      <c r="CA13" s="41">
        <f t="shared" si="3"/>
        <v>8946.1049997563987</v>
      </c>
      <c r="CB13" s="41">
        <f t="shared" si="3"/>
        <v>14129.838518775321</v>
      </c>
      <c r="CC13" s="41">
        <f t="shared" si="3"/>
        <v>11777.82878830673</v>
      </c>
      <c r="CD13" s="41">
        <f t="shared" si="3"/>
        <v>24793.648901818902</v>
      </c>
      <c r="CE13" s="41">
        <f t="shared" si="3"/>
        <v>11314.171149492127</v>
      </c>
      <c r="CF13" s="41">
        <f t="shared" si="3"/>
        <v>8758.5609548601078</v>
      </c>
      <c r="CG13" s="41">
        <f t="shared" si="3"/>
        <v>41982.763247155075</v>
      </c>
      <c r="CH13" s="41">
        <f t="shared" si="3"/>
        <v>33774.04844946292</v>
      </c>
      <c r="CI13" s="41">
        <f t="shared" si="3"/>
        <v>54024.601978789833</v>
      </c>
      <c r="CJ13" s="41">
        <f t="shared" si="3"/>
        <v>80.547294595576986</v>
      </c>
      <c r="CK13" s="41">
        <f t="shared" si="3"/>
        <v>102.36340491927113</v>
      </c>
      <c r="CL13" s="41">
        <f t="shared" si="3"/>
        <v>1166.6522046722694</v>
      </c>
      <c r="CM13" s="41">
        <f t="shared" si="3"/>
        <v>479.67478566211918</v>
      </c>
      <c r="CN13" s="41">
        <f t="shared" si="3"/>
        <v>1166.6522046722694</v>
      </c>
      <c r="CO13" s="41">
        <f t="shared" si="3"/>
        <v>330.26398532083391</v>
      </c>
      <c r="CP13" s="41">
        <f t="shared" si="3"/>
        <v>189.23362985121489</v>
      </c>
    </row>
    <row r="14" spans="1:95">
      <c r="A14" s="10"/>
      <c r="B14" s="27" t="s">
        <v>104</v>
      </c>
      <c r="C14" s="10">
        <f>MEDIAN(C6:C11)</f>
        <v>397.5</v>
      </c>
      <c r="D14" s="10">
        <f t="shared" ref="D14:BP14" si="4">MEDIAN(D6:D11)</f>
        <v>208330.5</v>
      </c>
      <c r="E14" s="10">
        <f t="shared" si="4"/>
        <v>791074.5</v>
      </c>
      <c r="F14" s="10">
        <f t="shared" si="4"/>
        <v>117805</v>
      </c>
      <c r="G14" s="10">
        <f t="shared" si="4"/>
        <v>1274.5</v>
      </c>
      <c r="H14" s="10">
        <f t="shared" si="4"/>
        <v>32073</v>
      </c>
      <c r="I14" s="10">
        <f t="shared" si="4"/>
        <v>861.5</v>
      </c>
      <c r="J14" s="10">
        <f t="shared" si="4"/>
        <v>40446.5</v>
      </c>
      <c r="K14" s="10">
        <f t="shared" si="4"/>
        <v>12893.5</v>
      </c>
      <c r="L14" s="10">
        <f t="shared" si="4"/>
        <v>74307.5</v>
      </c>
      <c r="M14" s="10">
        <f t="shared" si="4"/>
        <v>3688.5</v>
      </c>
      <c r="N14" s="10">
        <f t="shared" si="4"/>
        <v>3539</v>
      </c>
      <c r="O14" s="10">
        <f t="shared" si="4"/>
        <v>18085.5</v>
      </c>
      <c r="P14" s="10">
        <f t="shared" si="4"/>
        <v>62119.5</v>
      </c>
      <c r="Q14" s="10">
        <f t="shared" si="4"/>
        <v>3722</v>
      </c>
      <c r="R14" s="10">
        <f t="shared" si="4"/>
        <v>6991</v>
      </c>
      <c r="S14" s="10">
        <f t="shared" si="4"/>
        <v>10780</v>
      </c>
      <c r="T14" s="10">
        <f t="shared" si="4"/>
        <v>26356</v>
      </c>
      <c r="U14" s="10">
        <f t="shared" si="4"/>
        <v>18766</v>
      </c>
      <c r="V14" s="10">
        <f t="shared" si="4"/>
        <v>143995</v>
      </c>
      <c r="W14" s="10">
        <f t="shared" si="4"/>
        <v>49861.5</v>
      </c>
      <c r="X14" s="10">
        <f t="shared" si="4"/>
        <v>152292</v>
      </c>
      <c r="Y14" s="10">
        <f t="shared" si="4"/>
        <v>228462</v>
      </c>
      <c r="Z14" s="10">
        <f t="shared" si="4"/>
        <v>193.5</v>
      </c>
      <c r="AA14" s="10">
        <f t="shared" si="4"/>
        <v>13113.5</v>
      </c>
      <c r="AB14" s="10"/>
      <c r="AC14" s="10">
        <f t="shared" si="4"/>
        <v>25046</v>
      </c>
      <c r="AD14" s="10">
        <f t="shared" si="4"/>
        <v>27735</v>
      </c>
      <c r="AE14" s="10">
        <f t="shared" si="4"/>
        <v>65365</v>
      </c>
      <c r="AF14" s="10">
        <f t="shared" si="4"/>
        <v>23508.5</v>
      </c>
      <c r="AG14" s="10">
        <f t="shared" si="4"/>
        <v>24062.5</v>
      </c>
      <c r="AH14" s="10">
        <f t="shared" si="4"/>
        <v>106586.5</v>
      </c>
      <c r="AI14" s="10">
        <f t="shared" si="4"/>
        <v>91559</v>
      </c>
      <c r="AJ14" s="10">
        <f t="shared" si="4"/>
        <v>179668.5</v>
      </c>
      <c r="AK14" s="10">
        <f t="shared" si="4"/>
        <v>497.5</v>
      </c>
      <c r="AL14" s="10">
        <f t="shared" si="4"/>
        <v>9532.5</v>
      </c>
      <c r="AM14" s="10">
        <f t="shared" si="4"/>
        <v>26720.5</v>
      </c>
      <c r="AN14" s="10">
        <f t="shared" si="4"/>
        <v>10621.5</v>
      </c>
      <c r="AO14" s="10">
        <f t="shared" si="4"/>
        <v>497</v>
      </c>
      <c r="AP14" s="10">
        <f t="shared" si="4"/>
        <v>877.5</v>
      </c>
      <c r="AQ14" s="10">
        <f t="shared" si="4"/>
        <v>26653.5</v>
      </c>
      <c r="AR14" s="10">
        <f t="shared" si="4"/>
        <v>12666.5</v>
      </c>
      <c r="AS14" s="10">
        <f t="shared" si="4"/>
        <v>28176.5</v>
      </c>
      <c r="AT14" s="10">
        <f t="shared" si="4"/>
        <v>24789</v>
      </c>
      <c r="AU14" s="10">
        <f t="shared" si="4"/>
        <v>6264</v>
      </c>
      <c r="AV14" s="10">
        <f t="shared" si="4"/>
        <v>10275.5</v>
      </c>
      <c r="AW14" s="10">
        <f t="shared" si="4"/>
        <v>1996</v>
      </c>
      <c r="AX14" s="10">
        <f t="shared" si="4"/>
        <v>853</v>
      </c>
      <c r="AY14" s="10">
        <f t="shared" si="4"/>
        <v>1751.5</v>
      </c>
      <c r="AZ14" s="10">
        <f t="shared" si="4"/>
        <v>799</v>
      </c>
      <c r="BA14" s="10">
        <f t="shared" si="4"/>
        <v>740.5</v>
      </c>
      <c r="BB14" s="10">
        <f t="shared" si="4"/>
        <v>4677</v>
      </c>
      <c r="BC14" s="10">
        <f t="shared" si="4"/>
        <v>6328</v>
      </c>
      <c r="BD14" s="10">
        <f t="shared" si="4"/>
        <v>542.5</v>
      </c>
      <c r="BE14" s="10">
        <f t="shared" si="4"/>
        <v>43090.5</v>
      </c>
      <c r="BF14" s="10">
        <f t="shared" si="4"/>
        <v>28484</v>
      </c>
      <c r="BG14" s="10">
        <f t="shared" si="4"/>
        <v>17585.5</v>
      </c>
      <c r="BH14" s="10">
        <f t="shared" si="4"/>
        <v>5830.5</v>
      </c>
      <c r="BI14" s="10">
        <f t="shared" si="4"/>
        <v>28830</v>
      </c>
      <c r="BJ14" s="10">
        <f t="shared" si="4"/>
        <v>478.5</v>
      </c>
      <c r="BK14" s="10">
        <f t="shared" si="4"/>
        <v>616</v>
      </c>
      <c r="BL14" s="10">
        <f t="shared" si="4"/>
        <v>464</v>
      </c>
      <c r="BM14" s="10">
        <f t="shared" si="4"/>
        <v>11724</v>
      </c>
      <c r="BN14" s="10">
        <f t="shared" si="4"/>
        <v>9663</v>
      </c>
      <c r="BO14" s="10">
        <f t="shared" si="4"/>
        <v>182.5</v>
      </c>
      <c r="BP14" s="10">
        <f t="shared" si="4"/>
        <v>1477.5</v>
      </c>
      <c r="BQ14" s="10">
        <f t="shared" ref="BQ14:CP14" si="5">MEDIAN(BQ6:BQ11)</f>
        <v>6164</v>
      </c>
      <c r="BR14" s="10">
        <f t="shared" si="5"/>
        <v>4319</v>
      </c>
      <c r="BS14" s="10">
        <f t="shared" si="5"/>
        <v>1972.5</v>
      </c>
      <c r="BT14" s="10">
        <f t="shared" si="5"/>
        <v>13561</v>
      </c>
      <c r="BU14" s="10">
        <f t="shared" si="5"/>
        <v>1186</v>
      </c>
      <c r="BV14" s="10">
        <f t="shared" si="5"/>
        <v>9051.5</v>
      </c>
      <c r="BW14" s="10">
        <f t="shared" si="5"/>
        <v>57346.5</v>
      </c>
      <c r="BX14" s="10">
        <f t="shared" si="5"/>
        <v>18176.5</v>
      </c>
      <c r="BY14" s="10">
        <f t="shared" si="5"/>
        <v>36467.5</v>
      </c>
      <c r="BZ14" s="10">
        <f t="shared" si="5"/>
        <v>56539.5</v>
      </c>
      <c r="CA14" s="10">
        <f t="shared" si="5"/>
        <v>71101</v>
      </c>
      <c r="CB14" s="10">
        <f t="shared" si="5"/>
        <v>40948.5</v>
      </c>
      <c r="CC14" s="10">
        <f t="shared" si="5"/>
        <v>38560</v>
      </c>
      <c r="CD14" s="10">
        <f t="shared" si="5"/>
        <v>121275.5</v>
      </c>
      <c r="CE14" s="10">
        <f t="shared" si="5"/>
        <v>40644.5</v>
      </c>
      <c r="CF14" s="10">
        <f t="shared" si="5"/>
        <v>57260.5</v>
      </c>
      <c r="CG14" s="10">
        <f t="shared" si="5"/>
        <v>371209</v>
      </c>
      <c r="CH14" s="10">
        <f t="shared" si="5"/>
        <v>203967.5</v>
      </c>
      <c r="CI14" s="10">
        <f t="shared" si="5"/>
        <v>223203.5</v>
      </c>
      <c r="CJ14" s="10">
        <f t="shared" si="5"/>
        <v>114.5</v>
      </c>
      <c r="CK14" s="10">
        <f t="shared" si="5"/>
        <v>204.5</v>
      </c>
      <c r="CL14" s="10">
        <f t="shared" si="5"/>
        <v>1350.5</v>
      </c>
      <c r="CM14" s="10">
        <f t="shared" si="5"/>
        <v>1799</v>
      </c>
      <c r="CN14" s="10">
        <f t="shared" si="5"/>
        <v>1350.5</v>
      </c>
      <c r="CO14" s="10">
        <f t="shared" si="5"/>
        <v>982</v>
      </c>
      <c r="CP14" s="10">
        <f t="shared" si="5"/>
        <v>835.5</v>
      </c>
    </row>
    <row r="15" spans="1:95">
      <c r="A15" s="134" t="s">
        <v>164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</row>
    <row r="16" spans="1:95">
      <c r="A16" s="39" t="s">
        <v>121</v>
      </c>
      <c r="B16" s="42" t="s">
        <v>130</v>
      </c>
      <c r="C16" s="45">
        <v>530</v>
      </c>
      <c r="D16" s="45">
        <v>193697</v>
      </c>
      <c r="E16" s="45">
        <v>640043</v>
      </c>
      <c r="F16" s="45">
        <v>102994</v>
      </c>
      <c r="G16" s="45">
        <v>1138</v>
      </c>
      <c r="H16" s="45">
        <v>25362</v>
      </c>
      <c r="I16" s="45">
        <v>1392</v>
      </c>
      <c r="J16" s="45">
        <v>35915</v>
      </c>
      <c r="K16" s="45">
        <v>11800</v>
      </c>
      <c r="L16" s="45">
        <v>69467</v>
      </c>
      <c r="M16" s="45">
        <v>5175</v>
      </c>
      <c r="N16" s="45">
        <v>4222</v>
      </c>
      <c r="O16" s="45">
        <v>18504</v>
      </c>
      <c r="P16" s="45">
        <v>58038</v>
      </c>
      <c r="Q16" s="45">
        <v>2349</v>
      </c>
      <c r="R16" s="45">
        <v>5120</v>
      </c>
      <c r="S16" s="45">
        <v>9445</v>
      </c>
      <c r="T16" s="45">
        <v>22009</v>
      </c>
      <c r="U16" s="45">
        <v>20333</v>
      </c>
      <c r="V16" s="45">
        <v>127738</v>
      </c>
      <c r="W16" s="45">
        <v>38410</v>
      </c>
      <c r="X16" s="45">
        <v>132815</v>
      </c>
      <c r="Y16" s="45">
        <v>235119</v>
      </c>
      <c r="Z16" s="45">
        <v>231</v>
      </c>
      <c r="AA16" s="45">
        <v>25284</v>
      </c>
      <c r="AB16" s="45"/>
      <c r="AC16" s="45">
        <v>12833</v>
      </c>
      <c r="AD16" s="45">
        <v>18171</v>
      </c>
      <c r="AE16" s="45">
        <v>60166</v>
      </c>
      <c r="AF16" s="45">
        <v>15478</v>
      </c>
      <c r="AG16" s="45">
        <v>22221</v>
      </c>
      <c r="AH16" s="45">
        <v>81749</v>
      </c>
      <c r="AI16" s="45">
        <v>79619</v>
      </c>
      <c r="AJ16" s="45">
        <v>155681</v>
      </c>
      <c r="AK16" s="45">
        <v>1104</v>
      </c>
      <c r="AL16" s="45">
        <v>8346</v>
      </c>
      <c r="AM16" s="45">
        <v>27085</v>
      </c>
      <c r="AN16" s="45">
        <v>11328</v>
      </c>
      <c r="AO16" s="45">
        <v>795</v>
      </c>
      <c r="AP16" s="45">
        <v>2036</v>
      </c>
      <c r="AQ16" s="45">
        <v>22906</v>
      </c>
      <c r="AR16" s="45">
        <v>12255</v>
      </c>
      <c r="AS16" s="45">
        <v>32109</v>
      </c>
      <c r="AT16" s="45">
        <v>26008</v>
      </c>
      <c r="AU16" s="45">
        <v>6752</v>
      </c>
      <c r="AV16" s="45">
        <v>16247</v>
      </c>
      <c r="AW16" s="45">
        <v>3455</v>
      </c>
      <c r="AX16" s="45">
        <v>1330</v>
      </c>
      <c r="AY16" s="45">
        <v>1507</v>
      </c>
      <c r="AZ16" s="45">
        <v>1425</v>
      </c>
      <c r="BA16" s="45">
        <v>1214</v>
      </c>
      <c r="BB16" s="45">
        <v>4482</v>
      </c>
      <c r="BC16" s="45">
        <v>7667</v>
      </c>
      <c r="BD16" s="45">
        <v>1094</v>
      </c>
      <c r="BE16" s="45">
        <v>49976</v>
      </c>
      <c r="BF16" s="45">
        <v>18882</v>
      </c>
      <c r="BG16" s="45">
        <v>17611</v>
      </c>
      <c r="BH16" s="45">
        <v>8637</v>
      </c>
      <c r="BI16" s="45">
        <v>36101</v>
      </c>
      <c r="BJ16" s="45">
        <v>755</v>
      </c>
      <c r="BK16" s="45">
        <v>1372</v>
      </c>
      <c r="BL16" s="45">
        <v>1226</v>
      </c>
      <c r="BM16" s="45">
        <v>9778</v>
      </c>
      <c r="BN16" s="45">
        <v>10305</v>
      </c>
      <c r="BO16" s="45">
        <v>207</v>
      </c>
      <c r="BP16" s="45">
        <v>867</v>
      </c>
      <c r="BQ16" s="45">
        <v>5045</v>
      </c>
      <c r="BR16" s="45">
        <v>2458</v>
      </c>
      <c r="BS16" s="45">
        <v>1206</v>
      </c>
      <c r="BT16" s="45">
        <v>12499</v>
      </c>
      <c r="BU16" s="45">
        <v>1352</v>
      </c>
      <c r="BV16" s="45">
        <v>6356</v>
      </c>
      <c r="BW16" s="45">
        <v>45412</v>
      </c>
      <c r="BX16" s="45">
        <v>17948</v>
      </c>
      <c r="BY16" s="45">
        <v>26480</v>
      </c>
      <c r="BZ16" s="45">
        <v>55689</v>
      </c>
      <c r="CA16" s="45">
        <v>58523</v>
      </c>
      <c r="CB16" s="45">
        <v>42656</v>
      </c>
      <c r="CC16" s="45">
        <v>32733</v>
      </c>
      <c r="CD16" s="45">
        <v>152052</v>
      </c>
      <c r="CE16" s="45">
        <v>46309</v>
      </c>
      <c r="CF16" s="45">
        <v>46048</v>
      </c>
      <c r="CG16" s="45">
        <v>344401</v>
      </c>
      <c r="CH16" s="45">
        <v>204229</v>
      </c>
      <c r="CI16" s="45">
        <v>245734</v>
      </c>
      <c r="CJ16" s="45">
        <v>336</v>
      </c>
      <c r="CK16" s="45">
        <v>409</v>
      </c>
      <c r="CL16" s="45">
        <v>1817</v>
      </c>
      <c r="CM16" s="45">
        <v>2879</v>
      </c>
      <c r="CN16" s="45">
        <v>1817</v>
      </c>
      <c r="CO16" s="45">
        <v>1922</v>
      </c>
      <c r="CP16" s="45">
        <v>646</v>
      </c>
      <c r="CQ16" s="1"/>
    </row>
    <row r="17" spans="1:95">
      <c r="A17" s="39" t="s">
        <v>122</v>
      </c>
      <c r="B17" s="42" t="s">
        <v>130</v>
      </c>
      <c r="C17" s="45">
        <v>364</v>
      </c>
      <c r="D17" s="45">
        <v>240776</v>
      </c>
      <c r="E17" s="45">
        <v>567386</v>
      </c>
      <c r="F17" s="45">
        <v>109074</v>
      </c>
      <c r="G17" s="45">
        <v>1731</v>
      </c>
      <c r="H17" s="45">
        <v>21789</v>
      </c>
      <c r="I17" s="45">
        <v>1216</v>
      </c>
      <c r="J17" s="45">
        <v>36384</v>
      </c>
      <c r="K17" s="45">
        <v>19786</v>
      </c>
      <c r="L17" s="45">
        <v>115702</v>
      </c>
      <c r="M17" s="45">
        <v>5132</v>
      </c>
      <c r="N17" s="45">
        <v>5124</v>
      </c>
      <c r="O17" s="45">
        <v>17950</v>
      </c>
      <c r="P17" s="45">
        <v>62092</v>
      </c>
      <c r="Q17" s="45">
        <v>2465</v>
      </c>
      <c r="R17" s="45">
        <v>3171</v>
      </c>
      <c r="S17" s="45">
        <v>5925</v>
      </c>
      <c r="T17" s="45">
        <v>14202</v>
      </c>
      <c r="U17" s="45">
        <v>16948</v>
      </c>
      <c r="V17" s="45">
        <v>75684</v>
      </c>
      <c r="W17" s="45">
        <v>20593</v>
      </c>
      <c r="X17" s="45">
        <v>93765</v>
      </c>
      <c r="Y17" s="45">
        <v>285320</v>
      </c>
      <c r="Z17" s="45">
        <v>126</v>
      </c>
      <c r="AA17" s="45">
        <v>21051</v>
      </c>
      <c r="AB17" s="45"/>
      <c r="AC17" s="45">
        <v>14026</v>
      </c>
      <c r="AD17" s="45">
        <v>16357</v>
      </c>
      <c r="AE17" s="45">
        <v>56231</v>
      </c>
      <c r="AF17" s="45">
        <v>15131</v>
      </c>
      <c r="AG17" s="45">
        <v>17010</v>
      </c>
      <c r="AH17" s="45">
        <v>88783</v>
      </c>
      <c r="AI17" s="45">
        <v>102025</v>
      </c>
      <c r="AJ17" s="45">
        <v>174491</v>
      </c>
      <c r="AK17" s="45">
        <v>975</v>
      </c>
      <c r="AL17" s="45">
        <v>8072</v>
      </c>
      <c r="AM17" s="45">
        <v>35125</v>
      </c>
      <c r="AN17" s="45">
        <v>16814</v>
      </c>
      <c r="AO17" s="45">
        <v>912</v>
      </c>
      <c r="AP17" s="45">
        <v>2040</v>
      </c>
      <c r="AQ17" s="45">
        <v>29905</v>
      </c>
      <c r="AR17" s="45">
        <v>18026</v>
      </c>
      <c r="AS17" s="45">
        <v>43467</v>
      </c>
      <c r="AT17" s="45">
        <v>48045</v>
      </c>
      <c r="AU17" s="45">
        <v>6944</v>
      </c>
      <c r="AV17" s="45">
        <v>22222</v>
      </c>
      <c r="AW17" s="45">
        <v>4685</v>
      </c>
      <c r="AX17" s="45">
        <v>739</v>
      </c>
      <c r="AY17" s="45">
        <v>2439</v>
      </c>
      <c r="AZ17" s="45">
        <v>2263</v>
      </c>
      <c r="BA17" s="45">
        <v>802</v>
      </c>
      <c r="BB17" s="45">
        <v>5444</v>
      </c>
      <c r="BC17" s="45">
        <v>7772</v>
      </c>
      <c r="BD17" s="45">
        <v>1595</v>
      </c>
      <c r="BE17" s="45">
        <v>67262</v>
      </c>
      <c r="BF17" s="45">
        <v>30756</v>
      </c>
      <c r="BG17" s="45">
        <v>32731</v>
      </c>
      <c r="BH17" s="45">
        <v>13680</v>
      </c>
      <c r="BI17" s="45">
        <v>54122</v>
      </c>
      <c r="BJ17" s="45">
        <v>717</v>
      </c>
      <c r="BK17" s="45">
        <v>1773</v>
      </c>
      <c r="BL17" s="45">
        <v>1835</v>
      </c>
      <c r="BM17" s="45">
        <v>12333</v>
      </c>
      <c r="BN17" s="45">
        <v>12156</v>
      </c>
      <c r="BO17" s="45">
        <v>298</v>
      </c>
      <c r="BP17" s="45">
        <v>1077</v>
      </c>
      <c r="BQ17" s="45">
        <v>4663</v>
      </c>
      <c r="BR17" s="45">
        <v>2051</v>
      </c>
      <c r="BS17" s="45">
        <v>1204</v>
      </c>
      <c r="BT17" s="45">
        <v>11210</v>
      </c>
      <c r="BU17" s="45">
        <v>1332</v>
      </c>
      <c r="BV17" s="45">
        <v>6489</v>
      </c>
      <c r="BW17" s="45">
        <v>41279</v>
      </c>
      <c r="BX17" s="45">
        <v>16683</v>
      </c>
      <c r="BY17" s="45">
        <v>26882</v>
      </c>
      <c r="BZ17" s="45">
        <v>49336</v>
      </c>
      <c r="CA17" s="45">
        <v>58207</v>
      </c>
      <c r="CB17" s="45">
        <v>26997</v>
      </c>
      <c r="CC17" s="45">
        <v>32279</v>
      </c>
      <c r="CD17" s="45">
        <v>170981</v>
      </c>
      <c r="CE17" s="45">
        <v>53716</v>
      </c>
      <c r="CF17" s="45">
        <v>46454</v>
      </c>
      <c r="CG17" s="45">
        <v>357500</v>
      </c>
      <c r="CH17" s="45">
        <v>178349</v>
      </c>
      <c r="CI17" s="45">
        <v>232167</v>
      </c>
      <c r="CJ17" s="45">
        <v>396</v>
      </c>
      <c r="CK17" s="45">
        <v>692</v>
      </c>
      <c r="CL17" s="45">
        <v>4091</v>
      </c>
      <c r="CM17" s="45">
        <v>3841</v>
      </c>
      <c r="CN17" s="45">
        <v>4091</v>
      </c>
      <c r="CO17" s="45">
        <v>1241</v>
      </c>
      <c r="CP17" s="45">
        <v>623</v>
      </c>
      <c r="CQ17" s="1"/>
    </row>
    <row r="18" spans="1:95">
      <c r="A18" s="39" t="s">
        <v>123</v>
      </c>
      <c r="B18" s="42" t="s">
        <v>131</v>
      </c>
      <c r="C18" s="45">
        <v>298</v>
      </c>
      <c r="D18" s="45">
        <v>236140</v>
      </c>
      <c r="E18" s="45">
        <v>496975</v>
      </c>
      <c r="F18" s="45">
        <v>68229</v>
      </c>
      <c r="G18" s="45">
        <v>2375</v>
      </c>
      <c r="H18" s="45">
        <v>13371</v>
      </c>
      <c r="I18" s="45">
        <v>1020</v>
      </c>
      <c r="J18" s="45">
        <v>37544</v>
      </c>
      <c r="K18" s="45">
        <v>27781</v>
      </c>
      <c r="L18" s="45">
        <v>172526</v>
      </c>
      <c r="M18" s="45">
        <v>6352</v>
      </c>
      <c r="N18" s="45">
        <v>6460</v>
      </c>
      <c r="O18" s="45">
        <v>17925</v>
      </c>
      <c r="P18" s="45">
        <v>87523</v>
      </c>
      <c r="Q18" s="45">
        <v>3815</v>
      </c>
      <c r="R18" s="45">
        <v>2548</v>
      </c>
      <c r="S18" s="45">
        <v>4086</v>
      </c>
      <c r="T18" s="45">
        <v>8042</v>
      </c>
      <c r="U18" s="45">
        <v>16378</v>
      </c>
      <c r="V18" s="45">
        <v>63648</v>
      </c>
      <c r="W18" s="45">
        <v>21203</v>
      </c>
      <c r="X18" s="45">
        <v>80768</v>
      </c>
      <c r="Y18" s="45">
        <v>350776</v>
      </c>
      <c r="Z18" s="45">
        <v>224</v>
      </c>
      <c r="AA18" s="45">
        <v>27217</v>
      </c>
      <c r="AB18" s="45"/>
      <c r="AC18" s="45">
        <v>8586</v>
      </c>
      <c r="AD18" s="45">
        <v>13154</v>
      </c>
      <c r="AE18" s="45">
        <v>41678</v>
      </c>
      <c r="AF18" s="45">
        <v>13694</v>
      </c>
      <c r="AG18" s="45">
        <v>29012</v>
      </c>
      <c r="AH18" s="45">
        <v>63400</v>
      </c>
      <c r="AI18" s="45">
        <v>99775</v>
      </c>
      <c r="AJ18" s="45">
        <v>160322</v>
      </c>
      <c r="AK18" s="45">
        <v>833</v>
      </c>
      <c r="AL18" s="45">
        <v>5722</v>
      </c>
      <c r="AM18" s="45">
        <v>38843</v>
      </c>
      <c r="AN18" s="45">
        <v>29635</v>
      </c>
      <c r="AO18" s="45">
        <v>428</v>
      </c>
      <c r="AP18" s="45">
        <v>1383</v>
      </c>
      <c r="AQ18" s="45">
        <v>27020</v>
      </c>
      <c r="AR18" s="45">
        <v>16671</v>
      </c>
      <c r="AS18" s="45">
        <v>64347</v>
      </c>
      <c r="AT18" s="45">
        <v>59401</v>
      </c>
      <c r="AU18" s="45">
        <v>12277</v>
      </c>
      <c r="AV18" s="45">
        <v>32540</v>
      </c>
      <c r="AW18" s="45">
        <v>7764</v>
      </c>
      <c r="AX18" s="45">
        <v>1489</v>
      </c>
      <c r="AY18" s="45">
        <v>5317</v>
      </c>
      <c r="AZ18" s="45">
        <v>1699</v>
      </c>
      <c r="BA18" s="45">
        <v>953</v>
      </c>
      <c r="BB18" s="45">
        <v>5910</v>
      </c>
      <c r="BC18" s="45">
        <v>8971</v>
      </c>
      <c r="BD18" s="45">
        <v>904</v>
      </c>
      <c r="BE18" s="45">
        <v>63670</v>
      </c>
      <c r="BF18" s="45">
        <v>35597</v>
      </c>
      <c r="BG18" s="45">
        <v>43867</v>
      </c>
      <c r="BH18" s="45">
        <v>19882</v>
      </c>
      <c r="BI18" s="45">
        <v>78217</v>
      </c>
      <c r="BJ18" s="45">
        <v>772</v>
      </c>
      <c r="BK18" s="45">
        <v>1358</v>
      </c>
      <c r="BL18" s="45">
        <v>1672</v>
      </c>
      <c r="BM18" s="45">
        <v>16293</v>
      </c>
      <c r="BN18" s="45">
        <v>14441</v>
      </c>
      <c r="BO18" s="45">
        <v>231</v>
      </c>
      <c r="BP18" s="45">
        <v>1008</v>
      </c>
      <c r="BQ18" s="45">
        <v>3523</v>
      </c>
      <c r="BR18" s="45">
        <v>1981</v>
      </c>
      <c r="BS18" s="45">
        <v>889</v>
      </c>
      <c r="BT18" s="45">
        <v>9577</v>
      </c>
      <c r="BU18" s="45">
        <v>1541</v>
      </c>
      <c r="BV18" s="45">
        <v>4679</v>
      </c>
      <c r="BW18" s="45">
        <v>32048</v>
      </c>
      <c r="BX18" s="45">
        <v>17512</v>
      </c>
      <c r="BY18" s="45">
        <v>27973</v>
      </c>
      <c r="BZ18" s="45">
        <v>38509</v>
      </c>
      <c r="CA18" s="45">
        <v>44594</v>
      </c>
      <c r="CB18" s="45">
        <v>46879</v>
      </c>
      <c r="CC18" s="45">
        <v>42063</v>
      </c>
      <c r="CD18" s="45">
        <v>171197</v>
      </c>
      <c r="CE18" s="45">
        <v>64815</v>
      </c>
      <c r="CF18" s="45">
        <v>38867</v>
      </c>
      <c r="CG18" s="45">
        <v>339667</v>
      </c>
      <c r="CH18" s="45">
        <v>299860</v>
      </c>
      <c r="CI18" s="45">
        <v>309803</v>
      </c>
      <c r="CJ18" s="45">
        <v>290</v>
      </c>
      <c r="CK18" s="45">
        <v>576</v>
      </c>
      <c r="CL18" s="45">
        <v>1541</v>
      </c>
      <c r="CM18" s="45">
        <v>2879</v>
      </c>
      <c r="CN18" s="45">
        <v>1541</v>
      </c>
      <c r="CO18" s="45">
        <v>1198</v>
      </c>
      <c r="CP18" s="45">
        <v>364</v>
      </c>
      <c r="CQ18" s="1"/>
    </row>
    <row r="19" spans="1:95">
      <c r="A19" s="39" t="s">
        <v>124</v>
      </c>
      <c r="B19" s="42" t="s">
        <v>131</v>
      </c>
      <c r="C19" s="45">
        <v>367</v>
      </c>
      <c r="D19" s="45">
        <v>170469</v>
      </c>
      <c r="E19" s="45">
        <v>403127</v>
      </c>
      <c r="F19" s="45">
        <v>54100</v>
      </c>
      <c r="G19" s="45">
        <v>1693</v>
      </c>
      <c r="H19" s="45">
        <v>11194</v>
      </c>
      <c r="I19" s="45">
        <v>820</v>
      </c>
      <c r="J19" s="45">
        <v>27916</v>
      </c>
      <c r="K19" s="45">
        <v>13190</v>
      </c>
      <c r="L19" s="45">
        <v>119646</v>
      </c>
      <c r="M19" s="45">
        <v>4369</v>
      </c>
      <c r="N19" s="45">
        <v>4462</v>
      </c>
      <c r="O19" s="45">
        <v>15827</v>
      </c>
      <c r="P19" s="45">
        <v>64765</v>
      </c>
      <c r="Q19" s="45">
        <v>4537</v>
      </c>
      <c r="R19" s="45">
        <v>1964</v>
      </c>
      <c r="S19" s="45">
        <v>3623</v>
      </c>
      <c r="T19" s="45">
        <v>8147</v>
      </c>
      <c r="U19" s="45">
        <v>14586</v>
      </c>
      <c r="V19" s="45">
        <v>62050</v>
      </c>
      <c r="W19" s="45">
        <v>16010</v>
      </c>
      <c r="X19" s="45">
        <v>79054</v>
      </c>
      <c r="Y19" s="45">
        <v>310042</v>
      </c>
      <c r="Z19" s="45">
        <v>208</v>
      </c>
      <c r="AA19" s="45">
        <v>37977</v>
      </c>
      <c r="AB19" s="45"/>
      <c r="AC19" s="45">
        <v>14394</v>
      </c>
      <c r="AD19" s="45">
        <v>9769</v>
      </c>
      <c r="AE19" s="45">
        <v>43613</v>
      </c>
      <c r="AF19" s="45">
        <v>19451</v>
      </c>
      <c r="AG19" s="45">
        <v>29942</v>
      </c>
      <c r="AH19" s="45">
        <v>72530</v>
      </c>
      <c r="AI19" s="45">
        <v>106419</v>
      </c>
      <c r="AJ19" s="45">
        <v>179763</v>
      </c>
      <c r="AK19" s="45">
        <v>716</v>
      </c>
      <c r="AL19" s="45">
        <v>8142</v>
      </c>
      <c r="AM19" s="45">
        <v>43370</v>
      </c>
      <c r="AN19" s="45">
        <v>27881</v>
      </c>
      <c r="AO19" s="45">
        <v>704</v>
      </c>
      <c r="AP19" s="45">
        <v>1365</v>
      </c>
      <c r="AQ19" s="45">
        <v>38028</v>
      </c>
      <c r="AR19" s="45">
        <v>18804</v>
      </c>
      <c r="AS19" s="45">
        <v>59287</v>
      </c>
      <c r="AT19" s="45">
        <v>57639</v>
      </c>
      <c r="AU19" s="45">
        <v>12399</v>
      </c>
      <c r="AV19" s="45">
        <v>27017</v>
      </c>
      <c r="AW19" s="45">
        <v>5101</v>
      </c>
      <c r="AX19" s="45">
        <v>784</v>
      </c>
      <c r="AY19" s="45">
        <v>2626</v>
      </c>
      <c r="AZ19" s="45">
        <v>975</v>
      </c>
      <c r="BA19" s="45">
        <v>735</v>
      </c>
      <c r="BB19" s="45">
        <v>4373</v>
      </c>
      <c r="BC19" s="45">
        <v>9444</v>
      </c>
      <c r="BD19" s="45">
        <v>1494</v>
      </c>
      <c r="BE19" s="45">
        <v>69252</v>
      </c>
      <c r="BF19" s="45">
        <v>56752</v>
      </c>
      <c r="BG19" s="45">
        <v>33747</v>
      </c>
      <c r="BH19" s="45">
        <v>13666</v>
      </c>
      <c r="BI19" s="45">
        <v>67955</v>
      </c>
      <c r="BJ19" s="45">
        <v>986</v>
      </c>
      <c r="BK19" s="45">
        <v>1509</v>
      </c>
      <c r="BL19" s="45">
        <v>1566</v>
      </c>
      <c r="BM19" s="45">
        <v>25345</v>
      </c>
      <c r="BN19" s="45">
        <v>14974</v>
      </c>
      <c r="BO19" s="45">
        <v>201</v>
      </c>
      <c r="BP19" s="45">
        <v>1421</v>
      </c>
      <c r="BQ19" s="45">
        <v>4354</v>
      </c>
      <c r="BR19" s="45">
        <v>2906</v>
      </c>
      <c r="BS19" s="45">
        <v>2121</v>
      </c>
      <c r="BT19" s="45">
        <v>11565</v>
      </c>
      <c r="BU19" s="45">
        <v>1776</v>
      </c>
      <c r="BV19" s="45">
        <v>6487</v>
      </c>
      <c r="BW19" s="45">
        <v>42271</v>
      </c>
      <c r="BX19" s="45">
        <v>19423</v>
      </c>
      <c r="BY19" s="45">
        <v>39015</v>
      </c>
      <c r="BZ19" s="45">
        <v>40519</v>
      </c>
      <c r="CA19" s="45">
        <v>46732</v>
      </c>
      <c r="CB19" s="45">
        <v>48211</v>
      </c>
      <c r="CC19" s="45">
        <v>57376</v>
      </c>
      <c r="CD19" s="45">
        <v>171871</v>
      </c>
      <c r="CE19" s="45">
        <v>72412</v>
      </c>
      <c r="CF19" s="45">
        <v>45185</v>
      </c>
      <c r="CG19" s="45">
        <v>381938</v>
      </c>
      <c r="CH19" s="45">
        <v>275907</v>
      </c>
      <c r="CI19" s="45">
        <v>295283</v>
      </c>
      <c r="CJ19" s="45">
        <v>443</v>
      </c>
      <c r="CK19" s="45">
        <v>677</v>
      </c>
      <c r="CL19" s="45">
        <v>2705</v>
      </c>
      <c r="CM19" s="45">
        <v>4384</v>
      </c>
      <c r="CN19" s="45">
        <v>2705</v>
      </c>
      <c r="CO19" s="45">
        <v>1726</v>
      </c>
      <c r="CP19" s="45">
        <v>648</v>
      </c>
      <c r="CQ19" s="1"/>
    </row>
    <row r="20" spans="1:95">
      <c r="A20" s="7" t="s">
        <v>125</v>
      </c>
      <c r="B20" s="58" t="s">
        <v>131</v>
      </c>
      <c r="C20" s="46">
        <v>445</v>
      </c>
      <c r="D20" s="46">
        <v>115524</v>
      </c>
      <c r="E20" s="46">
        <v>592822</v>
      </c>
      <c r="F20" s="46">
        <v>83596</v>
      </c>
      <c r="G20" s="46">
        <v>837</v>
      </c>
      <c r="H20" s="46">
        <v>28223</v>
      </c>
      <c r="I20" s="46">
        <v>862</v>
      </c>
      <c r="J20" s="46">
        <v>18200</v>
      </c>
      <c r="K20" s="46">
        <v>6380</v>
      </c>
      <c r="L20" s="46">
        <v>41811</v>
      </c>
      <c r="M20" s="46">
        <v>3208</v>
      </c>
      <c r="N20" s="46">
        <v>2429</v>
      </c>
      <c r="O20" s="46">
        <v>16579</v>
      </c>
      <c r="P20" s="46">
        <v>47417</v>
      </c>
      <c r="Q20" s="46">
        <v>1915</v>
      </c>
      <c r="R20" s="46">
        <v>3260</v>
      </c>
      <c r="S20" s="46">
        <v>8354</v>
      </c>
      <c r="T20" s="46">
        <v>22190</v>
      </c>
      <c r="U20" s="46">
        <v>15734</v>
      </c>
      <c r="V20" s="46">
        <v>178804</v>
      </c>
      <c r="W20" s="46">
        <v>59129</v>
      </c>
      <c r="X20" s="46">
        <v>105016</v>
      </c>
      <c r="Y20" s="46">
        <v>210574</v>
      </c>
      <c r="Z20" s="46">
        <v>58</v>
      </c>
      <c r="AA20" s="46">
        <v>14277</v>
      </c>
      <c r="AB20" s="46"/>
      <c r="AC20" s="46">
        <v>17983</v>
      </c>
      <c r="AD20" s="46">
        <v>8112</v>
      </c>
      <c r="AE20" s="46">
        <v>33241</v>
      </c>
      <c r="AF20" s="46">
        <v>18499</v>
      </c>
      <c r="AG20" s="46">
        <v>17529</v>
      </c>
      <c r="AH20" s="46">
        <v>54057</v>
      </c>
      <c r="AI20" s="46">
        <v>55890</v>
      </c>
      <c r="AJ20" s="46">
        <v>156078</v>
      </c>
      <c r="AK20" s="46">
        <v>599</v>
      </c>
      <c r="AL20" s="46">
        <v>5507</v>
      </c>
      <c r="AM20" s="46">
        <v>19848</v>
      </c>
      <c r="AN20" s="46">
        <v>10100</v>
      </c>
      <c r="AO20" s="46">
        <v>537</v>
      </c>
      <c r="AP20" s="46">
        <v>1158</v>
      </c>
      <c r="AQ20" s="46">
        <v>20588</v>
      </c>
      <c r="AR20" s="46">
        <v>13653</v>
      </c>
      <c r="AS20" s="46">
        <v>24387</v>
      </c>
      <c r="AT20" s="46">
        <v>26165</v>
      </c>
      <c r="AU20" s="46">
        <v>5315</v>
      </c>
      <c r="AV20" s="46">
        <v>10743</v>
      </c>
      <c r="AW20" s="46">
        <v>1670</v>
      </c>
      <c r="AX20" s="46">
        <v>1086</v>
      </c>
      <c r="AY20" s="46">
        <v>857</v>
      </c>
      <c r="AZ20" s="46">
        <v>570</v>
      </c>
      <c r="BA20" s="46">
        <v>988</v>
      </c>
      <c r="BB20" s="46">
        <v>2786</v>
      </c>
      <c r="BC20" s="46">
        <v>6294</v>
      </c>
      <c r="BD20" s="46">
        <v>627</v>
      </c>
      <c r="BE20" s="46">
        <v>23762</v>
      </c>
      <c r="BF20" s="46">
        <v>18862</v>
      </c>
      <c r="BG20" s="46">
        <v>21528</v>
      </c>
      <c r="BH20" s="46">
        <v>6352</v>
      </c>
      <c r="BI20" s="46">
        <v>43127</v>
      </c>
      <c r="BJ20" s="46">
        <v>578</v>
      </c>
      <c r="BK20" s="46">
        <v>676</v>
      </c>
      <c r="BL20" s="46">
        <v>596</v>
      </c>
      <c r="BM20" s="46">
        <v>20835</v>
      </c>
      <c r="BN20" s="46">
        <v>16269</v>
      </c>
      <c r="BO20" s="46">
        <v>189</v>
      </c>
      <c r="BP20" s="46">
        <v>2204</v>
      </c>
      <c r="BQ20" s="46">
        <v>2918</v>
      </c>
      <c r="BR20" s="46">
        <v>1770</v>
      </c>
      <c r="BS20" s="46">
        <v>2531</v>
      </c>
      <c r="BT20" s="46">
        <v>9691</v>
      </c>
      <c r="BU20" s="46">
        <v>1616</v>
      </c>
      <c r="BV20" s="46">
        <v>5514</v>
      </c>
      <c r="BW20" s="46">
        <v>42537</v>
      </c>
      <c r="BX20" s="46">
        <v>18122</v>
      </c>
      <c r="BY20" s="46">
        <v>45205</v>
      </c>
      <c r="BZ20" s="46">
        <v>30762</v>
      </c>
      <c r="CA20" s="46">
        <v>41290</v>
      </c>
      <c r="CB20" s="46">
        <v>34151</v>
      </c>
      <c r="CC20" s="46">
        <v>57943</v>
      </c>
      <c r="CD20" s="46">
        <v>116956</v>
      </c>
      <c r="CE20" s="46">
        <v>42370</v>
      </c>
      <c r="CF20" s="46">
        <v>44913</v>
      </c>
      <c r="CG20" s="46">
        <v>328696</v>
      </c>
      <c r="CH20" s="46">
        <v>201093</v>
      </c>
      <c r="CI20" s="46">
        <v>352131</v>
      </c>
      <c r="CJ20" s="46">
        <v>195</v>
      </c>
      <c r="CK20" s="46">
        <v>297</v>
      </c>
      <c r="CL20" s="46">
        <v>1898</v>
      </c>
      <c r="CM20" s="46">
        <v>2512</v>
      </c>
      <c r="CN20" s="46">
        <v>1898</v>
      </c>
      <c r="CO20" s="46">
        <v>1764</v>
      </c>
      <c r="CP20" s="46">
        <v>579</v>
      </c>
      <c r="CQ20" s="1"/>
    </row>
    <row r="21" spans="1:95">
      <c r="A21" s="39" t="s">
        <v>126</v>
      </c>
      <c r="B21" s="58" t="s">
        <v>131</v>
      </c>
      <c r="C21" s="45">
        <v>369</v>
      </c>
      <c r="D21" s="45">
        <v>154295</v>
      </c>
      <c r="E21" s="45">
        <v>400918</v>
      </c>
      <c r="F21" s="45">
        <v>47952</v>
      </c>
      <c r="G21" s="45">
        <v>1741</v>
      </c>
      <c r="H21" s="45">
        <v>10214</v>
      </c>
      <c r="I21" s="45">
        <v>943</v>
      </c>
      <c r="J21" s="45">
        <v>25972</v>
      </c>
      <c r="K21" s="45">
        <v>22384</v>
      </c>
      <c r="L21" s="45">
        <v>109799</v>
      </c>
      <c r="M21" s="45">
        <v>4727</v>
      </c>
      <c r="N21" s="45">
        <v>4736</v>
      </c>
      <c r="O21" s="45">
        <v>15256</v>
      </c>
      <c r="P21" s="45">
        <v>62522</v>
      </c>
      <c r="Q21" s="45">
        <v>2565</v>
      </c>
      <c r="R21" s="45">
        <v>2493</v>
      </c>
      <c r="S21" s="45">
        <v>4174</v>
      </c>
      <c r="T21" s="45">
        <v>5675</v>
      </c>
      <c r="U21" s="45">
        <v>12869</v>
      </c>
      <c r="V21" s="45">
        <v>59582</v>
      </c>
      <c r="W21" s="45">
        <v>20116</v>
      </c>
      <c r="X21" s="45">
        <v>77633</v>
      </c>
      <c r="Y21" s="45">
        <v>273906</v>
      </c>
      <c r="Z21" s="45">
        <v>199</v>
      </c>
      <c r="AA21" s="45">
        <v>23211</v>
      </c>
      <c r="AB21" s="45"/>
      <c r="AC21" s="45">
        <v>9106</v>
      </c>
      <c r="AD21" s="45">
        <v>13965</v>
      </c>
      <c r="AE21" s="45">
        <v>38790</v>
      </c>
      <c r="AF21" s="45">
        <v>13065</v>
      </c>
      <c r="AG21" s="45">
        <v>28406</v>
      </c>
      <c r="AH21" s="45">
        <v>47927</v>
      </c>
      <c r="AI21" s="45">
        <v>82037</v>
      </c>
      <c r="AJ21" s="45">
        <v>137999</v>
      </c>
      <c r="AK21" s="45">
        <v>384</v>
      </c>
      <c r="AL21" s="45">
        <v>6523</v>
      </c>
      <c r="AM21" s="45">
        <v>36469</v>
      </c>
      <c r="AN21" s="45">
        <v>30816</v>
      </c>
      <c r="AO21" s="45">
        <v>671</v>
      </c>
      <c r="AP21" s="45">
        <v>2685</v>
      </c>
      <c r="AQ21" s="45">
        <v>25506</v>
      </c>
      <c r="AR21" s="45">
        <v>14944</v>
      </c>
      <c r="AS21" s="45">
        <v>58650</v>
      </c>
      <c r="AT21" s="45">
        <v>44231</v>
      </c>
      <c r="AU21" s="45">
        <v>13309</v>
      </c>
      <c r="AV21" s="45">
        <v>27504</v>
      </c>
      <c r="AW21" s="45">
        <v>7013</v>
      </c>
      <c r="AX21" s="45">
        <v>727</v>
      </c>
      <c r="AY21" s="45">
        <v>3390</v>
      </c>
      <c r="AZ21" s="45">
        <v>1911</v>
      </c>
      <c r="BA21" s="45">
        <v>1167</v>
      </c>
      <c r="BB21" s="45">
        <v>4039</v>
      </c>
      <c r="BC21" s="45">
        <v>6929</v>
      </c>
      <c r="BD21" s="45">
        <v>843</v>
      </c>
      <c r="BE21" s="45">
        <v>54768</v>
      </c>
      <c r="BF21" s="45">
        <v>29737</v>
      </c>
      <c r="BG21" s="45">
        <v>31765</v>
      </c>
      <c r="BH21" s="45">
        <v>12012</v>
      </c>
      <c r="BI21" s="45">
        <v>70902</v>
      </c>
      <c r="BJ21" s="45">
        <v>928</v>
      </c>
      <c r="BK21" s="45">
        <v>1068</v>
      </c>
      <c r="BL21" s="45">
        <v>1439</v>
      </c>
      <c r="BM21" s="45">
        <v>13579</v>
      </c>
      <c r="BN21" s="45">
        <v>13743</v>
      </c>
      <c r="BO21" s="45">
        <v>314</v>
      </c>
      <c r="BP21" s="45">
        <v>1115</v>
      </c>
      <c r="BQ21" s="45">
        <v>3086</v>
      </c>
      <c r="BR21" s="45">
        <v>3433</v>
      </c>
      <c r="BS21" s="45">
        <v>1374</v>
      </c>
      <c r="BT21" s="45">
        <v>7763</v>
      </c>
      <c r="BU21" s="45">
        <v>1307</v>
      </c>
      <c r="BV21" s="45">
        <v>4440</v>
      </c>
      <c r="BW21" s="45">
        <v>29484</v>
      </c>
      <c r="BX21" s="45">
        <v>15516</v>
      </c>
      <c r="BY21" s="45">
        <v>32195</v>
      </c>
      <c r="BZ21" s="45">
        <v>33816</v>
      </c>
      <c r="CA21" s="45">
        <v>34927</v>
      </c>
      <c r="CB21" s="45">
        <v>53665</v>
      </c>
      <c r="CC21" s="45">
        <v>42373</v>
      </c>
      <c r="CD21" s="45">
        <v>155816</v>
      </c>
      <c r="CE21" s="45">
        <v>80764</v>
      </c>
      <c r="CF21" s="45">
        <v>32334</v>
      </c>
      <c r="CG21" s="45">
        <v>300569</v>
      </c>
      <c r="CH21" s="45">
        <v>254323</v>
      </c>
      <c r="CI21" s="45">
        <v>308125</v>
      </c>
      <c r="CJ21" s="45">
        <v>181</v>
      </c>
      <c r="CK21" s="45">
        <v>364</v>
      </c>
      <c r="CL21" s="45">
        <v>1714</v>
      </c>
      <c r="CM21" s="45">
        <v>3509</v>
      </c>
      <c r="CN21" s="45">
        <v>1714</v>
      </c>
      <c r="CO21" s="45">
        <v>1555</v>
      </c>
      <c r="CP21" s="45">
        <v>553</v>
      </c>
      <c r="CQ21" s="1"/>
    </row>
    <row r="22" spans="1:95">
      <c r="A22" s="10"/>
      <c r="B22" s="39" t="s">
        <v>109</v>
      </c>
      <c r="C22" s="41">
        <f t="shared" ref="C22:AI22" si="6">AVERAGE(C16:C21)</f>
        <v>395.5</v>
      </c>
      <c r="D22" s="41">
        <f t="shared" si="6"/>
        <v>185150.16666666666</v>
      </c>
      <c r="E22" s="41">
        <f t="shared" si="6"/>
        <v>516878.5</v>
      </c>
      <c r="F22" s="41">
        <f t="shared" si="6"/>
        <v>77657.5</v>
      </c>
      <c r="G22" s="41">
        <f t="shared" si="6"/>
        <v>1585.8333333333333</v>
      </c>
      <c r="H22" s="41">
        <f t="shared" si="6"/>
        <v>18358.833333333332</v>
      </c>
      <c r="I22" s="41">
        <f t="shared" si="6"/>
        <v>1042.1666666666667</v>
      </c>
      <c r="J22" s="41">
        <f t="shared" si="6"/>
        <v>30321.833333333332</v>
      </c>
      <c r="K22" s="41">
        <f t="shared" si="6"/>
        <v>16886.833333333332</v>
      </c>
      <c r="L22" s="41">
        <f t="shared" si="6"/>
        <v>104825.16666666667</v>
      </c>
      <c r="M22" s="41">
        <f t="shared" si="6"/>
        <v>4827.166666666667</v>
      </c>
      <c r="N22" s="41">
        <f t="shared" si="6"/>
        <v>4572.166666666667</v>
      </c>
      <c r="O22" s="41">
        <f t="shared" si="6"/>
        <v>17006.833333333332</v>
      </c>
      <c r="P22" s="41">
        <f t="shared" si="6"/>
        <v>63726.166666666664</v>
      </c>
      <c r="Q22" s="41">
        <f t="shared" si="6"/>
        <v>2941</v>
      </c>
      <c r="R22" s="41">
        <f t="shared" si="6"/>
        <v>3092.6666666666665</v>
      </c>
      <c r="S22" s="41">
        <f t="shared" si="6"/>
        <v>5934.5</v>
      </c>
      <c r="T22" s="41">
        <f t="shared" si="6"/>
        <v>13377.5</v>
      </c>
      <c r="U22" s="41">
        <f t="shared" si="6"/>
        <v>16141.333333333334</v>
      </c>
      <c r="V22" s="41">
        <f t="shared" si="6"/>
        <v>94584.333333333328</v>
      </c>
      <c r="W22" s="41">
        <f t="shared" si="6"/>
        <v>29243.5</v>
      </c>
      <c r="X22" s="41">
        <f t="shared" si="6"/>
        <v>94841.833333333328</v>
      </c>
      <c r="Y22" s="41">
        <f t="shared" si="6"/>
        <v>277622.83333333331</v>
      </c>
      <c r="Z22" s="41">
        <f t="shared" si="6"/>
        <v>174.33333333333334</v>
      </c>
      <c r="AA22" s="41">
        <f t="shared" si="6"/>
        <v>24836.166666666668</v>
      </c>
      <c r="AB22" s="41"/>
      <c r="AC22" s="41">
        <f t="shared" si="6"/>
        <v>12821.333333333334</v>
      </c>
      <c r="AD22" s="41">
        <f t="shared" si="6"/>
        <v>13254.666666666666</v>
      </c>
      <c r="AE22" s="41">
        <f t="shared" si="6"/>
        <v>45619.833333333336</v>
      </c>
      <c r="AF22" s="41">
        <f t="shared" si="6"/>
        <v>15886.333333333334</v>
      </c>
      <c r="AG22" s="41">
        <f t="shared" si="6"/>
        <v>24020</v>
      </c>
      <c r="AH22" s="41">
        <f t="shared" si="6"/>
        <v>68074.333333333328</v>
      </c>
      <c r="AI22" s="41">
        <f t="shared" si="6"/>
        <v>87627.5</v>
      </c>
      <c r="AJ22" s="41">
        <f t="shared" ref="AJ22:BO22" si="7">AVERAGE(AJ16:AJ21)</f>
        <v>160722.33333333334</v>
      </c>
      <c r="AK22" s="41">
        <f t="shared" si="7"/>
        <v>768.5</v>
      </c>
      <c r="AL22" s="41">
        <f t="shared" si="7"/>
        <v>7052</v>
      </c>
      <c r="AM22" s="41">
        <f t="shared" si="7"/>
        <v>33456.666666666664</v>
      </c>
      <c r="AN22" s="41">
        <f t="shared" si="7"/>
        <v>21095.666666666668</v>
      </c>
      <c r="AO22" s="41">
        <f t="shared" si="7"/>
        <v>674.5</v>
      </c>
      <c r="AP22" s="41">
        <f t="shared" si="7"/>
        <v>1777.8333333333333</v>
      </c>
      <c r="AQ22" s="41">
        <f t="shared" si="7"/>
        <v>27325.5</v>
      </c>
      <c r="AR22" s="41">
        <f t="shared" si="7"/>
        <v>15725.5</v>
      </c>
      <c r="AS22" s="41">
        <f t="shared" si="7"/>
        <v>47041.166666666664</v>
      </c>
      <c r="AT22" s="41">
        <f t="shared" si="7"/>
        <v>43581.5</v>
      </c>
      <c r="AU22" s="41">
        <f t="shared" si="7"/>
        <v>9499.3333333333339</v>
      </c>
      <c r="AV22" s="41">
        <f t="shared" si="7"/>
        <v>22712.166666666668</v>
      </c>
      <c r="AW22" s="41">
        <f t="shared" si="7"/>
        <v>4948</v>
      </c>
      <c r="AX22" s="41">
        <f t="shared" si="7"/>
        <v>1025.8333333333333</v>
      </c>
      <c r="AY22" s="41">
        <f t="shared" si="7"/>
        <v>2689.3333333333335</v>
      </c>
      <c r="AZ22" s="41">
        <f t="shared" si="7"/>
        <v>1473.8333333333333</v>
      </c>
      <c r="BA22" s="41">
        <f t="shared" si="7"/>
        <v>976.5</v>
      </c>
      <c r="BB22" s="41">
        <f t="shared" si="7"/>
        <v>4505.666666666667</v>
      </c>
      <c r="BC22" s="41">
        <f t="shared" si="7"/>
        <v>7846.166666666667</v>
      </c>
      <c r="BD22" s="41">
        <f t="shared" si="7"/>
        <v>1092.8333333333333</v>
      </c>
      <c r="BE22" s="41">
        <f t="shared" si="7"/>
        <v>54781.666666666664</v>
      </c>
      <c r="BF22" s="41">
        <f t="shared" si="7"/>
        <v>31764.333333333332</v>
      </c>
      <c r="BG22" s="41">
        <f t="shared" si="7"/>
        <v>30208.166666666668</v>
      </c>
      <c r="BH22" s="41">
        <f t="shared" si="7"/>
        <v>12371.5</v>
      </c>
      <c r="BI22" s="41">
        <f t="shared" si="7"/>
        <v>58404</v>
      </c>
      <c r="BJ22" s="41">
        <f t="shared" si="7"/>
        <v>789.33333333333337</v>
      </c>
      <c r="BK22" s="41">
        <f t="shared" si="7"/>
        <v>1292.6666666666667</v>
      </c>
      <c r="BL22" s="41">
        <f t="shared" si="7"/>
        <v>1389</v>
      </c>
      <c r="BM22" s="41">
        <f t="shared" si="7"/>
        <v>16360.5</v>
      </c>
      <c r="BN22" s="41">
        <f t="shared" si="7"/>
        <v>13648</v>
      </c>
      <c r="BO22" s="41">
        <f t="shared" si="7"/>
        <v>240</v>
      </c>
      <c r="BP22" s="41">
        <f t="shared" ref="BP22:CP22" si="8">AVERAGE(BP16:BP21)</f>
        <v>1282</v>
      </c>
      <c r="BQ22" s="41">
        <f t="shared" si="8"/>
        <v>3931.5</v>
      </c>
      <c r="BR22" s="41">
        <f t="shared" si="8"/>
        <v>2433.1666666666665</v>
      </c>
      <c r="BS22" s="41">
        <f t="shared" si="8"/>
        <v>1554.1666666666667</v>
      </c>
      <c r="BT22" s="41">
        <f t="shared" si="8"/>
        <v>10384.166666666666</v>
      </c>
      <c r="BU22" s="41">
        <f t="shared" si="8"/>
        <v>1487.3333333333333</v>
      </c>
      <c r="BV22" s="41">
        <f t="shared" si="8"/>
        <v>5660.833333333333</v>
      </c>
      <c r="BW22" s="41">
        <f t="shared" si="8"/>
        <v>38838.5</v>
      </c>
      <c r="BX22" s="41">
        <f t="shared" si="8"/>
        <v>17534</v>
      </c>
      <c r="BY22" s="41">
        <f t="shared" si="8"/>
        <v>32958.333333333336</v>
      </c>
      <c r="BZ22" s="41">
        <f t="shared" si="8"/>
        <v>41438.5</v>
      </c>
      <c r="CA22" s="41">
        <f t="shared" si="8"/>
        <v>47378.833333333336</v>
      </c>
      <c r="CB22" s="41">
        <f t="shared" si="8"/>
        <v>42093.166666666664</v>
      </c>
      <c r="CC22" s="41">
        <f t="shared" si="8"/>
        <v>44127.833333333336</v>
      </c>
      <c r="CD22" s="41">
        <f t="shared" si="8"/>
        <v>156478.83333333334</v>
      </c>
      <c r="CE22" s="41">
        <f t="shared" si="8"/>
        <v>60064.333333333336</v>
      </c>
      <c r="CF22" s="41">
        <f t="shared" si="8"/>
        <v>42300.166666666664</v>
      </c>
      <c r="CG22" s="41">
        <f t="shared" si="8"/>
        <v>342128.5</v>
      </c>
      <c r="CH22" s="41">
        <f t="shared" si="8"/>
        <v>235626.83333333334</v>
      </c>
      <c r="CI22" s="41">
        <f t="shared" si="8"/>
        <v>290540.5</v>
      </c>
      <c r="CJ22" s="41">
        <f t="shared" si="8"/>
        <v>306.83333333333331</v>
      </c>
      <c r="CK22" s="41">
        <f t="shared" si="8"/>
        <v>502.5</v>
      </c>
      <c r="CL22" s="41">
        <f t="shared" si="8"/>
        <v>2294.3333333333335</v>
      </c>
      <c r="CM22" s="41">
        <f t="shared" si="8"/>
        <v>3334</v>
      </c>
      <c r="CN22" s="41">
        <f t="shared" si="8"/>
        <v>2294.3333333333335</v>
      </c>
      <c r="CO22" s="41">
        <f t="shared" si="8"/>
        <v>1567.6666666666667</v>
      </c>
      <c r="CP22" s="41">
        <f t="shared" si="8"/>
        <v>568.83333333333337</v>
      </c>
    </row>
    <row r="23" spans="1:95">
      <c r="A23" s="10"/>
      <c r="B23" s="39" t="s">
        <v>110</v>
      </c>
      <c r="C23" s="41">
        <f t="shared" ref="C23:AI23" si="9">_xlfn.STDEV.S(C16:C21)</f>
        <v>80.688908779335961</v>
      </c>
      <c r="D23" s="41">
        <f t="shared" si="9"/>
        <v>48544.053903301778</v>
      </c>
      <c r="E23" s="41">
        <f t="shared" si="9"/>
        <v>100269.94308714851</v>
      </c>
      <c r="F23" s="41">
        <f t="shared" si="9"/>
        <v>25260.521116952437</v>
      </c>
      <c r="G23" s="41">
        <f t="shared" si="9"/>
        <v>536.7913623249417</v>
      </c>
      <c r="H23" s="41">
        <f t="shared" si="9"/>
        <v>7754.5315633290611</v>
      </c>
      <c r="I23" s="41">
        <f t="shared" si="9"/>
        <v>221.24413363220864</v>
      </c>
      <c r="J23" s="41">
        <f t="shared" si="9"/>
        <v>7639.9083349649291</v>
      </c>
      <c r="K23" s="41">
        <f t="shared" si="9"/>
        <v>7838.9141191026356</v>
      </c>
      <c r="L23" s="41">
        <f t="shared" si="9"/>
        <v>45093.435457577049</v>
      </c>
      <c r="M23" s="41">
        <f t="shared" si="9"/>
        <v>1037.3696383963957</v>
      </c>
      <c r="N23" s="41">
        <f t="shared" si="9"/>
        <v>1313.2549511296982</v>
      </c>
      <c r="O23" s="41">
        <f t="shared" si="9"/>
        <v>1312.5979455517468</v>
      </c>
      <c r="P23" s="41">
        <f t="shared" si="9"/>
        <v>13189.640835392995</v>
      </c>
      <c r="Q23" s="41">
        <f t="shared" si="9"/>
        <v>1008.1849036759081</v>
      </c>
      <c r="R23" s="41">
        <f t="shared" si="9"/>
        <v>1102.212986072414</v>
      </c>
      <c r="S23" s="41">
        <f t="shared" si="9"/>
        <v>2451.0008363931661</v>
      </c>
      <c r="T23" s="41">
        <f t="shared" si="9"/>
        <v>7321.160365679747</v>
      </c>
      <c r="U23" s="41">
        <f t="shared" si="9"/>
        <v>2512.7649843681461</v>
      </c>
      <c r="V23" s="41">
        <f t="shared" si="9"/>
        <v>48559.331484964532</v>
      </c>
      <c r="W23" s="41">
        <f t="shared" si="9"/>
        <v>16583.63893420259</v>
      </c>
      <c r="X23" s="41">
        <f t="shared" si="9"/>
        <v>21401.434694119624</v>
      </c>
      <c r="Y23" s="41">
        <f t="shared" si="9"/>
        <v>50552.094486446971</v>
      </c>
      <c r="Z23" s="41">
        <f t="shared" si="9"/>
        <v>68.248565308485922</v>
      </c>
      <c r="AA23" s="41">
        <f t="shared" si="9"/>
        <v>7836.007616552366</v>
      </c>
      <c r="AB23" s="41"/>
      <c r="AC23" s="41">
        <f t="shared" si="9"/>
        <v>3530.132896459661</v>
      </c>
      <c r="AD23" s="41">
        <f t="shared" si="9"/>
        <v>3818.5443648943865</v>
      </c>
      <c r="AE23" s="41">
        <f t="shared" si="9"/>
        <v>10427.227731600897</v>
      </c>
      <c r="AF23" s="41">
        <f t="shared" si="9"/>
        <v>2570.4625005369462</v>
      </c>
      <c r="AG23" s="41">
        <f t="shared" si="9"/>
        <v>5894.68787977786</v>
      </c>
      <c r="AH23" s="41">
        <f t="shared" si="9"/>
        <v>15874.182910205691</v>
      </c>
      <c r="AI23" s="41">
        <f t="shared" si="9"/>
        <v>19029.602746773249</v>
      </c>
      <c r="AJ23" s="41">
        <f t="shared" ref="AJ23:BO23" si="10">_xlfn.STDEV.S(AJ16:AJ21)</f>
        <v>14937.323638010479</v>
      </c>
      <c r="AK23" s="41">
        <f t="shared" si="10"/>
        <v>260.26505720130774</v>
      </c>
      <c r="AL23" s="41">
        <f t="shared" si="10"/>
        <v>1291.410236911571</v>
      </c>
      <c r="AM23" s="41">
        <f t="shared" si="10"/>
        <v>8543.2803691946465</v>
      </c>
      <c r="AN23" s="41">
        <f t="shared" si="10"/>
        <v>9466.6837840220851</v>
      </c>
      <c r="AO23" s="41">
        <f t="shared" si="10"/>
        <v>174.0560254630675</v>
      </c>
      <c r="AP23" s="41">
        <f t="shared" si="10"/>
        <v>577.72845409125068</v>
      </c>
      <c r="AQ23" s="41">
        <f t="shared" si="10"/>
        <v>6156.7381542501871</v>
      </c>
      <c r="AR23" s="41">
        <f t="shared" si="10"/>
        <v>2553.9695182206069</v>
      </c>
      <c r="AS23" s="41">
        <f t="shared" si="10"/>
        <v>16328.948826139018</v>
      </c>
      <c r="AT23" s="41">
        <f t="shared" si="10"/>
        <v>14699.503008605427</v>
      </c>
      <c r="AU23" s="41">
        <f t="shared" si="10"/>
        <v>3527.6982108262428</v>
      </c>
      <c r="AV23" s="41">
        <f t="shared" si="10"/>
        <v>8042.1285594466035</v>
      </c>
      <c r="AW23" s="41">
        <f t="shared" si="10"/>
        <v>2247.7095897824524</v>
      </c>
      <c r="AX23" s="41">
        <f t="shared" si="10"/>
        <v>328.85219577595433</v>
      </c>
      <c r="AY23" s="41">
        <f t="shared" si="10"/>
        <v>1563.1763389543314</v>
      </c>
      <c r="AZ23" s="41">
        <f t="shared" si="10"/>
        <v>621.72869216939534</v>
      </c>
      <c r="BA23" s="41">
        <f t="shared" si="10"/>
        <v>190.86827918750669</v>
      </c>
      <c r="BB23" s="41">
        <f t="shared" si="10"/>
        <v>1099.6193280707037</v>
      </c>
      <c r="BC23" s="41">
        <f t="shared" si="10"/>
        <v>1192.1693531821152</v>
      </c>
      <c r="BD23" s="41">
        <f t="shared" si="10"/>
        <v>381.62359291147948</v>
      </c>
      <c r="BE23" s="41">
        <f t="shared" si="10"/>
        <v>16908.377067792946</v>
      </c>
      <c r="BF23" s="41">
        <f t="shared" si="10"/>
        <v>13975.867438791289</v>
      </c>
      <c r="BG23" s="41">
        <f t="shared" si="10"/>
        <v>9401.1636389686682</v>
      </c>
      <c r="BH23" s="41">
        <f t="shared" si="10"/>
        <v>4692.667120092794</v>
      </c>
      <c r="BI23" s="41">
        <f t="shared" si="10"/>
        <v>16668.069090329569</v>
      </c>
      <c r="BJ23" s="41">
        <f t="shared" si="10"/>
        <v>147.8372979551057</v>
      </c>
      <c r="BK23" s="41">
        <f t="shared" si="10"/>
        <v>379.16627838807977</v>
      </c>
      <c r="BL23" s="41">
        <f t="shared" si="10"/>
        <v>440.05726900029725</v>
      </c>
      <c r="BM23" s="41">
        <f t="shared" si="10"/>
        <v>5797.132937927161</v>
      </c>
      <c r="BN23" s="41">
        <f t="shared" si="10"/>
        <v>2129.2019162117999</v>
      </c>
      <c r="BO23" s="41">
        <f t="shared" si="10"/>
        <v>53.163897524541973</v>
      </c>
      <c r="BP23" s="41">
        <f t="shared" ref="BP23:CP23" si="11">_xlfn.STDEV.S(BP16:BP21)</f>
        <v>487.15911158470595</v>
      </c>
      <c r="BQ23" s="41">
        <f t="shared" si="11"/>
        <v>878.90903966223948</v>
      </c>
      <c r="BR23" s="41">
        <f t="shared" si="11"/>
        <v>634.68903146869263</v>
      </c>
      <c r="BS23" s="41">
        <f t="shared" si="11"/>
        <v>631.54522139484743</v>
      </c>
      <c r="BT23" s="41">
        <f t="shared" si="11"/>
        <v>1705.9543272510768</v>
      </c>
      <c r="BU23" s="41">
        <f t="shared" si="11"/>
        <v>188.53505421185417</v>
      </c>
      <c r="BV23" s="41">
        <f t="shared" si="11"/>
        <v>930.33959749473672</v>
      </c>
      <c r="BW23" s="41">
        <f t="shared" si="11"/>
        <v>6453.6107955159487</v>
      </c>
      <c r="BX23" s="41">
        <f t="shared" si="11"/>
        <v>1332.8518297245196</v>
      </c>
      <c r="BY23" s="41">
        <f t="shared" si="11"/>
        <v>7628.7733133621559</v>
      </c>
      <c r="BZ23" s="41">
        <f t="shared" si="11"/>
        <v>9454.7857247004813</v>
      </c>
      <c r="CA23" s="41">
        <f t="shared" si="11"/>
        <v>9399.3337937678752</v>
      </c>
      <c r="CB23" s="41">
        <f t="shared" si="11"/>
        <v>9854.2219665819794</v>
      </c>
      <c r="CC23" s="41">
        <f t="shared" si="11"/>
        <v>11348.592906905542</v>
      </c>
      <c r="CD23" s="41">
        <f t="shared" si="11"/>
        <v>21194.087000073127</v>
      </c>
      <c r="CE23" s="41">
        <f t="shared" si="11"/>
        <v>15140.078396978875</v>
      </c>
      <c r="CF23" s="41">
        <f t="shared" si="11"/>
        <v>5613.5703225903198</v>
      </c>
      <c r="CG23" s="41">
        <f t="shared" si="11"/>
        <v>27349.320421173175</v>
      </c>
      <c r="CH23" s="41">
        <f t="shared" si="11"/>
        <v>48077.225271085088</v>
      </c>
      <c r="CI23" s="41">
        <f t="shared" si="11"/>
        <v>44522.415674579024</v>
      </c>
      <c r="CJ23" s="41">
        <f t="shared" si="11"/>
        <v>105.79870824668265</v>
      </c>
      <c r="CK23" s="41">
        <f t="shared" si="11"/>
        <v>168.47403360755627</v>
      </c>
      <c r="CL23" s="41">
        <f t="shared" si="11"/>
        <v>968.07885353759605</v>
      </c>
      <c r="CM23" s="41">
        <f t="shared" si="11"/>
        <v>704.25961122302044</v>
      </c>
      <c r="CN23" s="41">
        <f t="shared" si="11"/>
        <v>968.07885353759605</v>
      </c>
      <c r="CO23" s="41">
        <f t="shared" si="11"/>
        <v>294.17455135797655</v>
      </c>
      <c r="CP23" s="41">
        <f t="shared" si="11"/>
        <v>107.20712041029108</v>
      </c>
    </row>
    <row r="24" spans="1:95">
      <c r="A24" s="10"/>
      <c r="B24" s="39" t="s">
        <v>104</v>
      </c>
      <c r="C24" s="41">
        <f>MEDIAN(C16:C21)</f>
        <v>368</v>
      </c>
      <c r="D24" s="41">
        <f t="shared" ref="D24:BP24" si="12">MEDIAN(D16:D21)</f>
        <v>182083</v>
      </c>
      <c r="E24" s="41">
        <f t="shared" si="12"/>
        <v>532180.5</v>
      </c>
      <c r="F24" s="41">
        <f t="shared" si="12"/>
        <v>75912.5</v>
      </c>
      <c r="G24" s="41">
        <f t="shared" si="12"/>
        <v>1712</v>
      </c>
      <c r="H24" s="41">
        <f t="shared" si="12"/>
        <v>17580</v>
      </c>
      <c r="I24" s="41">
        <f t="shared" si="12"/>
        <v>981.5</v>
      </c>
      <c r="J24" s="41">
        <f t="shared" si="12"/>
        <v>31915.5</v>
      </c>
      <c r="K24" s="41">
        <f t="shared" si="12"/>
        <v>16488</v>
      </c>
      <c r="L24" s="41">
        <f t="shared" si="12"/>
        <v>112750.5</v>
      </c>
      <c r="M24" s="41">
        <f t="shared" si="12"/>
        <v>4929.5</v>
      </c>
      <c r="N24" s="41">
        <f t="shared" si="12"/>
        <v>4599</v>
      </c>
      <c r="O24" s="41">
        <f t="shared" si="12"/>
        <v>17252</v>
      </c>
      <c r="P24" s="41">
        <f t="shared" si="12"/>
        <v>62307</v>
      </c>
      <c r="Q24" s="41">
        <f t="shared" si="12"/>
        <v>2515</v>
      </c>
      <c r="R24" s="41">
        <f t="shared" si="12"/>
        <v>2859.5</v>
      </c>
      <c r="S24" s="41">
        <f t="shared" si="12"/>
        <v>5049.5</v>
      </c>
      <c r="T24" s="41">
        <f t="shared" si="12"/>
        <v>11174.5</v>
      </c>
      <c r="U24" s="41">
        <f t="shared" si="12"/>
        <v>16056</v>
      </c>
      <c r="V24" s="41">
        <f t="shared" si="12"/>
        <v>69666</v>
      </c>
      <c r="W24" s="41">
        <f t="shared" si="12"/>
        <v>20898</v>
      </c>
      <c r="X24" s="41">
        <f t="shared" si="12"/>
        <v>87266.5</v>
      </c>
      <c r="Y24" s="41">
        <f t="shared" si="12"/>
        <v>279613</v>
      </c>
      <c r="Z24" s="41">
        <f t="shared" si="12"/>
        <v>203.5</v>
      </c>
      <c r="AA24" s="41">
        <f t="shared" si="12"/>
        <v>24247.5</v>
      </c>
      <c r="AB24" s="41"/>
      <c r="AC24" s="41">
        <f t="shared" si="12"/>
        <v>13429.5</v>
      </c>
      <c r="AD24" s="41">
        <f t="shared" si="12"/>
        <v>13559.5</v>
      </c>
      <c r="AE24" s="41">
        <f t="shared" si="12"/>
        <v>42645.5</v>
      </c>
      <c r="AF24" s="41">
        <f t="shared" si="12"/>
        <v>15304.5</v>
      </c>
      <c r="AG24" s="41">
        <f t="shared" si="12"/>
        <v>25313.5</v>
      </c>
      <c r="AH24" s="41">
        <f t="shared" si="12"/>
        <v>67965</v>
      </c>
      <c r="AI24" s="41">
        <f t="shared" si="12"/>
        <v>90906</v>
      </c>
      <c r="AJ24" s="41">
        <f t="shared" si="12"/>
        <v>158200</v>
      </c>
      <c r="AK24" s="41">
        <f t="shared" si="12"/>
        <v>774.5</v>
      </c>
      <c r="AL24" s="41">
        <f t="shared" si="12"/>
        <v>7297.5</v>
      </c>
      <c r="AM24" s="41">
        <f t="shared" si="12"/>
        <v>35797</v>
      </c>
      <c r="AN24" s="41">
        <f t="shared" si="12"/>
        <v>22347.5</v>
      </c>
      <c r="AO24" s="41">
        <f t="shared" si="12"/>
        <v>687.5</v>
      </c>
      <c r="AP24" s="41">
        <f t="shared" si="12"/>
        <v>1709.5</v>
      </c>
      <c r="AQ24" s="41">
        <f t="shared" si="12"/>
        <v>26263</v>
      </c>
      <c r="AR24" s="41">
        <f t="shared" si="12"/>
        <v>15807.5</v>
      </c>
      <c r="AS24" s="41">
        <f t="shared" si="12"/>
        <v>51058.5</v>
      </c>
      <c r="AT24" s="41">
        <f t="shared" si="12"/>
        <v>46138</v>
      </c>
      <c r="AU24" s="41">
        <f t="shared" si="12"/>
        <v>9610.5</v>
      </c>
      <c r="AV24" s="41">
        <f t="shared" si="12"/>
        <v>24619.5</v>
      </c>
      <c r="AW24" s="41">
        <f t="shared" si="12"/>
        <v>4893</v>
      </c>
      <c r="AX24" s="41">
        <f t="shared" si="12"/>
        <v>935</v>
      </c>
      <c r="AY24" s="41">
        <f t="shared" si="12"/>
        <v>2532.5</v>
      </c>
      <c r="AZ24" s="41">
        <f t="shared" si="12"/>
        <v>1562</v>
      </c>
      <c r="BA24" s="41">
        <f t="shared" si="12"/>
        <v>970.5</v>
      </c>
      <c r="BB24" s="41">
        <f t="shared" si="12"/>
        <v>4427.5</v>
      </c>
      <c r="BC24" s="41">
        <f t="shared" si="12"/>
        <v>7719.5</v>
      </c>
      <c r="BD24" s="41">
        <f t="shared" si="12"/>
        <v>999</v>
      </c>
      <c r="BE24" s="41">
        <f t="shared" si="12"/>
        <v>59219</v>
      </c>
      <c r="BF24" s="41">
        <f t="shared" si="12"/>
        <v>30246.5</v>
      </c>
      <c r="BG24" s="41">
        <f t="shared" si="12"/>
        <v>32248</v>
      </c>
      <c r="BH24" s="41">
        <f t="shared" si="12"/>
        <v>12839</v>
      </c>
      <c r="BI24" s="41">
        <f t="shared" si="12"/>
        <v>61038.5</v>
      </c>
      <c r="BJ24" s="41">
        <f t="shared" si="12"/>
        <v>763.5</v>
      </c>
      <c r="BK24" s="41">
        <f t="shared" si="12"/>
        <v>1365</v>
      </c>
      <c r="BL24" s="41">
        <f t="shared" si="12"/>
        <v>1502.5</v>
      </c>
      <c r="BM24" s="41">
        <f t="shared" si="12"/>
        <v>14936</v>
      </c>
      <c r="BN24" s="41">
        <f t="shared" si="12"/>
        <v>14092</v>
      </c>
      <c r="BO24" s="41">
        <f t="shared" si="12"/>
        <v>219</v>
      </c>
      <c r="BP24" s="41">
        <f t="shared" si="12"/>
        <v>1096</v>
      </c>
      <c r="BQ24" s="41">
        <f t="shared" ref="BQ24:CP24" si="13">MEDIAN(BQ16:BQ21)</f>
        <v>3938.5</v>
      </c>
      <c r="BR24" s="41">
        <f t="shared" si="13"/>
        <v>2254.5</v>
      </c>
      <c r="BS24" s="41">
        <f t="shared" si="13"/>
        <v>1290</v>
      </c>
      <c r="BT24" s="41">
        <f t="shared" si="13"/>
        <v>10450.5</v>
      </c>
      <c r="BU24" s="41">
        <f t="shared" si="13"/>
        <v>1446.5</v>
      </c>
      <c r="BV24" s="41">
        <f t="shared" si="13"/>
        <v>5935</v>
      </c>
      <c r="BW24" s="41">
        <f t="shared" si="13"/>
        <v>41775</v>
      </c>
      <c r="BX24" s="41">
        <f t="shared" si="13"/>
        <v>17730</v>
      </c>
      <c r="BY24" s="41">
        <f t="shared" si="13"/>
        <v>30084</v>
      </c>
      <c r="BZ24" s="41">
        <f t="shared" si="13"/>
        <v>39514</v>
      </c>
      <c r="CA24" s="41">
        <f t="shared" si="13"/>
        <v>45663</v>
      </c>
      <c r="CB24" s="41">
        <f t="shared" si="13"/>
        <v>44767.5</v>
      </c>
      <c r="CC24" s="41">
        <f t="shared" si="13"/>
        <v>42218</v>
      </c>
      <c r="CD24" s="41">
        <f t="shared" si="13"/>
        <v>163398.5</v>
      </c>
      <c r="CE24" s="41">
        <f t="shared" si="13"/>
        <v>59265.5</v>
      </c>
      <c r="CF24" s="41">
        <f t="shared" si="13"/>
        <v>45049</v>
      </c>
      <c r="CG24" s="41">
        <f t="shared" si="13"/>
        <v>342034</v>
      </c>
      <c r="CH24" s="41">
        <f t="shared" si="13"/>
        <v>229276</v>
      </c>
      <c r="CI24" s="41">
        <f t="shared" si="13"/>
        <v>301704</v>
      </c>
      <c r="CJ24" s="41">
        <f t="shared" si="13"/>
        <v>313</v>
      </c>
      <c r="CK24" s="41">
        <f t="shared" si="13"/>
        <v>492.5</v>
      </c>
      <c r="CL24" s="41">
        <f t="shared" si="13"/>
        <v>1857.5</v>
      </c>
      <c r="CM24" s="41">
        <f t="shared" si="13"/>
        <v>3194</v>
      </c>
      <c r="CN24" s="41">
        <f t="shared" si="13"/>
        <v>1857.5</v>
      </c>
      <c r="CO24" s="41">
        <f t="shared" si="13"/>
        <v>1640.5</v>
      </c>
      <c r="CP24" s="41">
        <f t="shared" si="13"/>
        <v>601</v>
      </c>
    </row>
    <row r="25" spans="1:9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</row>
    <row r="26" spans="1:95">
      <c r="A26" s="43" t="s">
        <v>100</v>
      </c>
      <c r="B26" s="39" t="s">
        <v>111</v>
      </c>
      <c r="C26" s="44">
        <f t="shared" ref="C26:AI26" si="14">_xlfn.T.TEST(C6:C11,C16:C21,2,3)</f>
        <v>0.85257568734381506</v>
      </c>
      <c r="D26" s="44">
        <f t="shared" si="14"/>
        <v>0.45040767957923211</v>
      </c>
      <c r="E26" s="4">
        <f t="shared" si="14"/>
        <v>1.4196543958396302E-3</v>
      </c>
      <c r="F26" s="4">
        <f t="shared" si="14"/>
        <v>9.1057365948338017E-3</v>
      </c>
      <c r="G26" s="44">
        <f t="shared" si="14"/>
        <v>0.35288819872698485</v>
      </c>
      <c r="H26" s="4">
        <f t="shared" si="14"/>
        <v>4.1705687320475271E-3</v>
      </c>
      <c r="I26" s="44">
        <f t="shared" si="14"/>
        <v>0.45680935081612117</v>
      </c>
      <c r="J26" s="44">
        <f t="shared" si="14"/>
        <v>0.19413678933646752</v>
      </c>
      <c r="K26" s="44">
        <f t="shared" si="14"/>
        <v>0.80621652588067727</v>
      </c>
      <c r="L26" s="44">
        <f t="shared" si="14"/>
        <v>0.56347308276149</v>
      </c>
      <c r="M26" s="44">
        <f t="shared" si="14"/>
        <v>0.57558845671960901</v>
      </c>
      <c r="N26" s="44">
        <f t="shared" si="14"/>
        <v>0.44438430394036565</v>
      </c>
      <c r="O26" s="44">
        <f t="shared" si="14"/>
        <v>0.18537364625873276</v>
      </c>
      <c r="P26" s="44">
        <f t="shared" si="14"/>
        <v>0.83850217432239438</v>
      </c>
      <c r="Q26" s="44">
        <f t="shared" si="14"/>
        <v>9.2591588447106798E-2</v>
      </c>
      <c r="R26" s="4">
        <f t="shared" si="14"/>
        <v>1.3574931392294263E-2</v>
      </c>
      <c r="S26" s="4">
        <f t="shared" si="14"/>
        <v>9.5715657488584741E-3</v>
      </c>
      <c r="T26" s="4">
        <f t="shared" si="14"/>
        <v>7.9197271104578908E-3</v>
      </c>
      <c r="U26" s="44">
        <f t="shared" si="14"/>
        <v>0.15884013539912961</v>
      </c>
      <c r="V26" s="44">
        <f t="shared" si="14"/>
        <v>8.8003061738683733E-2</v>
      </c>
      <c r="W26" s="4">
        <f t="shared" si="14"/>
        <v>5.9601413702440674E-2</v>
      </c>
      <c r="X26" s="4">
        <f t="shared" si="14"/>
        <v>1.0111486100032834E-2</v>
      </c>
      <c r="Y26" s="44">
        <f t="shared" si="14"/>
        <v>0.44811700044730929</v>
      </c>
      <c r="Z26" s="44">
        <f t="shared" si="14"/>
        <v>0.70337524306415999</v>
      </c>
      <c r="AA26" s="4">
        <f t="shared" si="14"/>
        <v>1.6214541489810667E-2</v>
      </c>
      <c r="AB26" s="4"/>
      <c r="AC26" s="4">
        <f t="shared" si="14"/>
        <v>1.4070424282291921E-2</v>
      </c>
      <c r="AD26" s="4">
        <f t="shared" si="14"/>
        <v>1.0474803735621008E-2</v>
      </c>
      <c r="AE26" s="4">
        <f t="shared" si="14"/>
        <v>2.5515441209764157E-2</v>
      </c>
      <c r="AF26" s="4">
        <f t="shared" si="14"/>
        <v>2.843770554178978E-2</v>
      </c>
      <c r="AG26" s="44">
        <f t="shared" si="14"/>
        <v>0.80045724059842405</v>
      </c>
      <c r="AH26" s="4">
        <f t="shared" si="14"/>
        <v>4.7369331152345142E-3</v>
      </c>
      <c r="AI26" s="44">
        <f t="shared" si="14"/>
        <v>0.97371182233043752</v>
      </c>
      <c r="AJ26" s="44">
        <f t="shared" ref="AJ26:BO26" si="15">_xlfn.T.TEST(AJ6:AJ11,AJ16:AJ21,2,3)</f>
        <v>5.2034908139684824E-2</v>
      </c>
      <c r="AK26" s="44">
        <f t="shared" si="15"/>
        <v>0.16790874503921965</v>
      </c>
      <c r="AL26" s="44">
        <f t="shared" si="15"/>
        <v>0.10472166945072232</v>
      </c>
      <c r="AM26" s="44">
        <f t="shared" si="15"/>
        <v>7.90553730222055E-2</v>
      </c>
      <c r="AN26" s="4">
        <f t="shared" si="15"/>
        <v>5.0958790611706696E-2</v>
      </c>
      <c r="AO26" s="44">
        <f t="shared" si="15"/>
        <v>7.8411934652916876E-2</v>
      </c>
      <c r="AP26" s="4">
        <f t="shared" si="15"/>
        <v>4.5281856701757855E-2</v>
      </c>
      <c r="AQ26" s="44">
        <f t="shared" si="15"/>
        <v>0.44298221177919095</v>
      </c>
      <c r="AR26" s="44">
        <f t="shared" si="15"/>
        <v>3.3327059949153623E-2</v>
      </c>
      <c r="AS26" s="4">
        <f t="shared" si="15"/>
        <v>3.6433330890122489E-2</v>
      </c>
      <c r="AT26" s="4">
        <f t="shared" si="15"/>
        <v>2.9844098323640315E-2</v>
      </c>
      <c r="AU26" s="4">
        <f t="shared" si="15"/>
        <v>7.1056565061728805E-2</v>
      </c>
      <c r="AV26" s="4">
        <f t="shared" si="15"/>
        <v>1.3418813344893402E-2</v>
      </c>
      <c r="AW26" s="4">
        <f t="shared" si="15"/>
        <v>2.5908735436010032E-2</v>
      </c>
      <c r="AX26" s="44">
        <f t="shared" si="15"/>
        <v>0.54000300582337468</v>
      </c>
      <c r="AY26" s="44">
        <f t="shared" si="15"/>
        <v>0.21280870108174038</v>
      </c>
      <c r="AZ26" s="44">
        <f t="shared" si="15"/>
        <v>0.1591830223970877</v>
      </c>
      <c r="BA26" s="4">
        <f t="shared" si="15"/>
        <v>2.85479570823511E-2</v>
      </c>
      <c r="BB26" s="44">
        <f t="shared" si="15"/>
        <v>0.90364164976046035</v>
      </c>
      <c r="BC26" s="4">
        <f t="shared" si="15"/>
        <v>3.3883395748021204E-2</v>
      </c>
      <c r="BD26" s="4">
        <f t="shared" si="15"/>
        <v>2.031398191949178E-2</v>
      </c>
      <c r="BE26" s="44">
        <f t="shared" si="15"/>
        <v>0.25811492866606728</v>
      </c>
      <c r="BF26" s="44">
        <f t="shared" si="15"/>
        <v>0.50269018931999043</v>
      </c>
      <c r="BG26" s="4">
        <f t="shared" si="15"/>
        <v>2.6649526673689455E-2</v>
      </c>
      <c r="BH26" s="4">
        <f t="shared" si="15"/>
        <v>2.638786758176331E-2</v>
      </c>
      <c r="BI26" s="4">
        <f t="shared" si="15"/>
        <v>1.4260672289732206E-2</v>
      </c>
      <c r="BJ26" s="4">
        <f t="shared" si="15"/>
        <v>3.8521420025788275E-2</v>
      </c>
      <c r="BK26" s="4">
        <f t="shared" si="15"/>
        <v>7.3056951956224619E-3</v>
      </c>
      <c r="BL26" s="4">
        <f t="shared" si="15"/>
        <v>2.8494535660032955E-3</v>
      </c>
      <c r="BM26" s="44">
        <f t="shared" si="15"/>
        <v>0.10805027078957839</v>
      </c>
      <c r="BN26" s="44">
        <f t="shared" si="15"/>
        <v>5.2975894832332816E-2</v>
      </c>
      <c r="BO26" s="44">
        <f t="shared" si="15"/>
        <v>0.2669880090140862</v>
      </c>
      <c r="BP26" s="44">
        <f t="shared" ref="BP26:CP26" si="16">_xlfn.T.TEST(BP6:BP11,BP16:BP21,2,3)</f>
        <v>0.63471174628502691</v>
      </c>
      <c r="BQ26" s="4">
        <f t="shared" si="16"/>
        <v>9.7596992123436931E-4</v>
      </c>
      <c r="BR26" s="4">
        <f t="shared" si="16"/>
        <v>2.0494295756157566E-2</v>
      </c>
      <c r="BS26" s="44">
        <f t="shared" si="16"/>
        <v>0.28476791117641975</v>
      </c>
      <c r="BT26" s="44">
        <f t="shared" si="16"/>
        <v>8.4176741913271416E-2</v>
      </c>
      <c r="BU26" s="44">
        <f t="shared" si="16"/>
        <v>6.4571668991426287E-2</v>
      </c>
      <c r="BV26" s="4">
        <f t="shared" si="16"/>
        <v>2.6756556021448379E-4</v>
      </c>
      <c r="BW26" s="4">
        <f t="shared" si="16"/>
        <v>3.6400006140035893E-3</v>
      </c>
      <c r="BX26" s="44">
        <f t="shared" si="16"/>
        <v>0.33671515608434532</v>
      </c>
      <c r="BY26" s="44">
        <f t="shared" si="16"/>
        <v>0.53137732802353055</v>
      </c>
      <c r="BZ26" s="44">
        <f t="shared" si="16"/>
        <v>5.311208102165775E-2</v>
      </c>
      <c r="CA26" s="4">
        <f t="shared" si="16"/>
        <v>4.2213835165606809E-3</v>
      </c>
      <c r="CB26" s="44">
        <f t="shared" si="16"/>
        <v>0.94342083461915593</v>
      </c>
      <c r="CC26" s="44">
        <f t="shared" si="16"/>
        <v>0.97366639463533899</v>
      </c>
      <c r="CD26" s="4">
        <f t="shared" si="16"/>
        <v>4.9806570234620387E-2</v>
      </c>
      <c r="CE26" s="4">
        <f t="shared" si="16"/>
        <v>4.9258615221982494E-2</v>
      </c>
      <c r="CF26" s="4">
        <f t="shared" si="16"/>
        <v>4.87447046302959E-3</v>
      </c>
      <c r="CG26" s="44">
        <f t="shared" si="16"/>
        <v>0.10637721761418879</v>
      </c>
      <c r="CH26" s="44">
        <f t="shared" si="16"/>
        <v>0.1483133082289507</v>
      </c>
      <c r="CI26" s="44">
        <f t="shared" si="16"/>
        <v>8.5849212891529511E-2</v>
      </c>
      <c r="CJ26" s="4">
        <f t="shared" si="16"/>
        <v>8.0194283897727699E-3</v>
      </c>
      <c r="CK26" s="4">
        <f t="shared" si="16"/>
        <v>7.4896531213313518E-3</v>
      </c>
      <c r="CL26" s="44">
        <f t="shared" si="16"/>
        <v>0.46096684476822647</v>
      </c>
      <c r="CM26" s="4">
        <f t="shared" si="16"/>
        <v>2.038717865382616E-3</v>
      </c>
      <c r="CN26" s="44">
        <f t="shared" si="16"/>
        <v>0.46096684476822647</v>
      </c>
      <c r="CO26" s="4">
        <f t="shared" si="16"/>
        <v>1.4940118413557921E-2</v>
      </c>
      <c r="CP26" s="4">
        <f t="shared" si="16"/>
        <v>8.6071044827121836E-3</v>
      </c>
    </row>
    <row r="27" spans="1:95">
      <c r="A27" s="10"/>
      <c r="B27" s="3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</row>
    <row r="28" spans="1:95">
      <c r="B28" s="35"/>
    </row>
    <row r="29" spans="1:95" ht="20">
      <c r="B29" s="138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</row>
    <row r="30" spans="1:95">
      <c r="B30" s="10"/>
    </row>
    <row r="31" spans="1:95">
      <c r="B31" s="10"/>
    </row>
    <row r="32" spans="1:95">
      <c r="B32" s="10"/>
    </row>
    <row r="34" spans="1:95" ht="18">
      <c r="A34" s="29" t="s">
        <v>150</v>
      </c>
      <c r="B34" s="19"/>
    </row>
    <row r="35" spans="1:95" s="68" customFormat="1" ht="113">
      <c r="A35" s="64" t="s">
        <v>133</v>
      </c>
      <c r="B35" s="118" t="s">
        <v>132</v>
      </c>
      <c r="C35" s="66" t="s">
        <v>2</v>
      </c>
      <c r="D35" s="66" t="s">
        <v>3</v>
      </c>
      <c r="E35" s="66" t="s">
        <v>4</v>
      </c>
      <c r="F35" s="66" t="s">
        <v>5</v>
      </c>
      <c r="G35" s="66" t="s">
        <v>6</v>
      </c>
      <c r="H35" s="66" t="s">
        <v>7</v>
      </c>
      <c r="I35" s="66" t="s">
        <v>8</v>
      </c>
      <c r="J35" s="66" t="s">
        <v>9</v>
      </c>
      <c r="K35" s="66" t="s">
        <v>10</v>
      </c>
      <c r="L35" s="66" t="s">
        <v>11</v>
      </c>
      <c r="M35" s="66" t="s">
        <v>12</v>
      </c>
      <c r="N35" s="66" t="s">
        <v>13</v>
      </c>
      <c r="O35" s="66" t="s">
        <v>14</v>
      </c>
      <c r="P35" s="66" t="s">
        <v>15</v>
      </c>
      <c r="Q35" s="66" t="s">
        <v>16</v>
      </c>
      <c r="R35" s="66" t="s">
        <v>17</v>
      </c>
      <c r="S35" s="66" t="s">
        <v>18</v>
      </c>
      <c r="T35" s="66" t="s">
        <v>19</v>
      </c>
      <c r="U35" s="66" t="s">
        <v>20</v>
      </c>
      <c r="V35" s="66" t="s">
        <v>21</v>
      </c>
      <c r="W35" s="66" t="s">
        <v>22</v>
      </c>
      <c r="X35" s="66" t="s">
        <v>23</v>
      </c>
      <c r="Y35" s="66" t="s">
        <v>24</v>
      </c>
      <c r="Z35" s="66" t="s">
        <v>25</v>
      </c>
      <c r="AA35" s="66" t="s">
        <v>26</v>
      </c>
      <c r="AB35" s="127" t="s">
        <v>151</v>
      </c>
      <c r="AC35" s="66" t="s">
        <v>27</v>
      </c>
      <c r="AD35" s="66" t="s">
        <v>28</v>
      </c>
      <c r="AE35" s="66" t="s">
        <v>29</v>
      </c>
      <c r="AF35" s="66" t="s">
        <v>30</v>
      </c>
      <c r="AG35" s="66" t="s">
        <v>31</v>
      </c>
      <c r="AH35" s="66" t="s">
        <v>32</v>
      </c>
      <c r="AI35" s="66" t="s">
        <v>33</v>
      </c>
      <c r="AJ35" s="66" t="s">
        <v>34</v>
      </c>
      <c r="AK35" s="66" t="s">
        <v>35</v>
      </c>
      <c r="AL35" s="66" t="s">
        <v>36</v>
      </c>
      <c r="AM35" s="66" t="s">
        <v>37</v>
      </c>
      <c r="AN35" s="66" t="s">
        <v>38</v>
      </c>
      <c r="AO35" s="66" t="s">
        <v>39</v>
      </c>
      <c r="AP35" s="66" t="s">
        <v>40</v>
      </c>
      <c r="AQ35" s="66" t="s">
        <v>41</v>
      </c>
      <c r="AR35" s="66" t="s">
        <v>42</v>
      </c>
      <c r="AS35" s="66" t="s">
        <v>43</v>
      </c>
      <c r="AT35" s="66" t="s">
        <v>44</v>
      </c>
      <c r="AU35" s="66" t="s">
        <v>45</v>
      </c>
      <c r="AV35" s="66" t="s">
        <v>46</v>
      </c>
      <c r="AW35" s="66" t="s">
        <v>47</v>
      </c>
      <c r="AX35" s="66" t="s">
        <v>48</v>
      </c>
      <c r="AY35" s="66" t="s">
        <v>49</v>
      </c>
      <c r="AZ35" s="66" t="s">
        <v>50</v>
      </c>
      <c r="BA35" s="66" t="s">
        <v>51</v>
      </c>
      <c r="BB35" s="66" t="s">
        <v>52</v>
      </c>
      <c r="BC35" s="66" t="s">
        <v>53</v>
      </c>
      <c r="BD35" s="66" t="s">
        <v>54</v>
      </c>
      <c r="BE35" s="66" t="s">
        <v>55</v>
      </c>
      <c r="BF35" s="66" t="s">
        <v>56</v>
      </c>
      <c r="BG35" s="66" t="s">
        <v>57</v>
      </c>
      <c r="BH35" s="66" t="s">
        <v>58</v>
      </c>
      <c r="BI35" s="66" t="s">
        <v>59</v>
      </c>
      <c r="BJ35" s="66" t="s">
        <v>60</v>
      </c>
      <c r="BK35" s="66" t="s">
        <v>61</v>
      </c>
      <c r="BL35" s="66" t="s">
        <v>62</v>
      </c>
      <c r="BM35" s="66" t="s">
        <v>63</v>
      </c>
      <c r="BN35" s="66" t="s">
        <v>64</v>
      </c>
      <c r="BO35" s="66" t="s">
        <v>65</v>
      </c>
      <c r="BP35" s="66" t="s">
        <v>66</v>
      </c>
      <c r="BQ35" s="66" t="s">
        <v>67</v>
      </c>
      <c r="BR35" s="66" t="s">
        <v>68</v>
      </c>
      <c r="BS35" s="66" t="s">
        <v>69</v>
      </c>
      <c r="BT35" s="66" t="s">
        <v>70</v>
      </c>
      <c r="BU35" s="66" t="s">
        <v>71</v>
      </c>
      <c r="BV35" s="66" t="s">
        <v>72</v>
      </c>
      <c r="BW35" s="66" t="s">
        <v>73</v>
      </c>
      <c r="BX35" s="66" t="s">
        <v>74</v>
      </c>
      <c r="BY35" s="66" t="s">
        <v>75</v>
      </c>
      <c r="BZ35" s="66" t="s">
        <v>76</v>
      </c>
      <c r="CA35" s="66" t="s">
        <v>77</v>
      </c>
      <c r="CB35" s="66" t="s">
        <v>78</v>
      </c>
      <c r="CC35" s="66" t="s">
        <v>79</v>
      </c>
      <c r="CD35" s="66" t="s">
        <v>80</v>
      </c>
      <c r="CE35" s="66" t="s">
        <v>81</v>
      </c>
      <c r="CF35" s="66" t="s">
        <v>82</v>
      </c>
      <c r="CG35" s="66" t="s">
        <v>83</v>
      </c>
      <c r="CH35" s="66" t="s">
        <v>84</v>
      </c>
      <c r="CI35" s="66" t="s">
        <v>85</v>
      </c>
      <c r="CJ35" s="66" t="s">
        <v>86</v>
      </c>
      <c r="CK35" s="66" t="s">
        <v>87</v>
      </c>
      <c r="CL35" s="66" t="s">
        <v>88</v>
      </c>
      <c r="CM35" s="66" t="s">
        <v>89</v>
      </c>
      <c r="CN35" s="66" t="s">
        <v>90</v>
      </c>
      <c r="CO35" s="66" t="s">
        <v>91</v>
      </c>
      <c r="CP35" s="66" t="s">
        <v>92</v>
      </c>
      <c r="CQ35" s="128" t="s">
        <v>152</v>
      </c>
    </row>
    <row r="36" spans="1:95">
      <c r="A36" s="135" t="s">
        <v>102</v>
      </c>
    </row>
    <row r="37" spans="1:95">
      <c r="A37" s="39" t="s">
        <v>116</v>
      </c>
      <c r="B37" s="40" t="s">
        <v>127</v>
      </c>
      <c r="C37" s="83">
        <f>LOG(C6)</f>
        <v>2.6720978579357175</v>
      </c>
      <c r="D37" s="84">
        <f t="shared" ref="D37:BP37" si="17">LOG(D6)</f>
        <v>5.3534026177838561</v>
      </c>
      <c r="E37" s="84">
        <f t="shared" si="17"/>
        <v>6.0538479614590184</v>
      </c>
      <c r="F37" s="84">
        <f t="shared" si="17"/>
        <v>5.0738172922477807</v>
      </c>
      <c r="G37" s="84">
        <f t="shared" si="17"/>
        <v>3.1427022457376155</v>
      </c>
      <c r="H37" s="84">
        <f t="shared" si="17"/>
        <v>4.700115030997206</v>
      </c>
      <c r="I37" s="84">
        <f t="shared" si="17"/>
        <v>2.8356905714924254</v>
      </c>
      <c r="J37" s="84">
        <f t="shared" si="17"/>
        <v>4.722847727028114</v>
      </c>
      <c r="K37" s="84">
        <f t="shared" si="17"/>
        <v>4.1120685042681968</v>
      </c>
      <c r="L37" s="84">
        <f t="shared" si="17"/>
        <v>4.909871473452438</v>
      </c>
      <c r="M37" s="84">
        <f t="shared" si="17"/>
        <v>3.6123599479677742</v>
      </c>
      <c r="N37" s="84">
        <f t="shared" si="17"/>
        <v>3.6010817277840235</v>
      </c>
      <c r="O37" s="84">
        <f t="shared" si="17"/>
        <v>4.3367998313481104</v>
      </c>
      <c r="P37" s="84">
        <f t="shared" si="17"/>
        <v>4.8942385031732218</v>
      </c>
      <c r="Q37" s="84">
        <f t="shared" si="17"/>
        <v>3.5052856741441323</v>
      </c>
      <c r="R37" s="84">
        <f t="shared" si="17"/>
        <v>4.0073636543122779</v>
      </c>
      <c r="S37" s="84">
        <f t="shared" si="17"/>
        <v>4.126845440649185</v>
      </c>
      <c r="T37" s="84">
        <f t="shared" si="17"/>
        <v>4.6225248624035684</v>
      </c>
      <c r="U37" s="84">
        <f t="shared" si="17"/>
        <v>4.3260079677596055</v>
      </c>
      <c r="V37" s="84">
        <f t="shared" si="17"/>
        <v>5.4360799164029396</v>
      </c>
      <c r="W37" s="84">
        <f t="shared" si="17"/>
        <v>4.8628764377937701</v>
      </c>
      <c r="X37" s="84">
        <f t="shared" si="17"/>
        <v>5.2834844080514252</v>
      </c>
      <c r="Y37" s="84">
        <f t="shared" si="17"/>
        <v>5.3868893875085089</v>
      </c>
      <c r="Z37" s="84">
        <f t="shared" si="17"/>
        <v>2.012837224705172</v>
      </c>
      <c r="AA37" s="84">
        <f t="shared" si="17"/>
        <v>4.0739381906352525</v>
      </c>
      <c r="AB37" s="117">
        <f>MEDIAN(C37:AA37)</f>
        <v>4.3367998313481104</v>
      </c>
      <c r="AC37" s="84">
        <f t="shared" si="17"/>
        <v>4.5301868869674609</v>
      </c>
      <c r="AD37" s="84">
        <f t="shared" si="17"/>
        <v>4.4423543229393987</v>
      </c>
      <c r="AE37" s="84">
        <f t="shared" si="17"/>
        <v>4.8558945339499147</v>
      </c>
      <c r="AF37" s="84">
        <f t="shared" si="17"/>
        <v>4.4925369002881332</v>
      </c>
      <c r="AG37" s="84">
        <f t="shared" si="17"/>
        <v>4.4765852942817315</v>
      </c>
      <c r="AH37" s="84">
        <f t="shared" si="17"/>
        <v>5.0543525529456916</v>
      </c>
      <c r="AI37" s="84">
        <f t="shared" si="17"/>
        <v>4.9569460050475156</v>
      </c>
      <c r="AJ37" s="84">
        <f t="shared" si="17"/>
        <v>5.2622374497415825</v>
      </c>
      <c r="AK37" s="84">
        <f t="shared" si="17"/>
        <v>2.428134794028789</v>
      </c>
      <c r="AL37" s="84">
        <f t="shared" si="17"/>
        <v>4.074560467802895</v>
      </c>
      <c r="AM37" s="84">
        <f t="shared" si="17"/>
        <v>4.4489844265948015</v>
      </c>
      <c r="AN37" s="84">
        <f t="shared" si="17"/>
        <v>4.0467682196608381</v>
      </c>
      <c r="AO37" s="84">
        <f t="shared" si="17"/>
        <v>2.8182258936139557</v>
      </c>
      <c r="AP37" s="84">
        <f t="shared" si="17"/>
        <v>3.1687920203141817</v>
      </c>
      <c r="AQ37" s="84">
        <f t="shared" si="17"/>
        <v>4.4416323036843135</v>
      </c>
      <c r="AR37" s="84">
        <f t="shared" si="17"/>
        <v>4.0960405542954277</v>
      </c>
      <c r="AS37" s="84">
        <f t="shared" si="17"/>
        <v>4.4600404299616079</v>
      </c>
      <c r="AT37" s="84">
        <f t="shared" si="17"/>
        <v>4.4065231489438492</v>
      </c>
      <c r="AU37" s="84">
        <f t="shared" si="17"/>
        <v>3.8106357002755371</v>
      </c>
      <c r="AV37" s="84">
        <f t="shared" si="17"/>
        <v>3.9990434996031627</v>
      </c>
      <c r="AW37" s="84">
        <f t="shared" si="17"/>
        <v>3.2955670999624789</v>
      </c>
      <c r="AX37" s="84">
        <f t="shared" si="17"/>
        <v>2.9745116927373285</v>
      </c>
      <c r="AY37" s="84">
        <f t="shared" si="17"/>
        <v>3.3012470886362113</v>
      </c>
      <c r="AZ37" s="84">
        <f t="shared" si="17"/>
        <v>2.9858753573083936</v>
      </c>
      <c r="BA37" s="84">
        <f t="shared" si="17"/>
        <v>2.8819549713396007</v>
      </c>
      <c r="BB37" s="84">
        <f t="shared" si="17"/>
        <v>3.7295697263019698</v>
      </c>
      <c r="BC37" s="84">
        <f t="shared" si="17"/>
        <v>3.7647737169110402</v>
      </c>
      <c r="BD37" s="84">
        <f t="shared" si="17"/>
        <v>2.6127838567197355</v>
      </c>
      <c r="BE37" s="84">
        <f t="shared" si="17"/>
        <v>4.5474547105727252</v>
      </c>
      <c r="BF37" s="84">
        <f t="shared" si="17"/>
        <v>4.4492623553088864</v>
      </c>
      <c r="BG37" s="84">
        <f t="shared" si="17"/>
        <v>4.236486876375591</v>
      </c>
      <c r="BH37" s="84">
        <f t="shared" si="17"/>
        <v>3.7256666603141784</v>
      </c>
      <c r="BI37" s="84">
        <f t="shared" si="17"/>
        <v>4.3721384174464308</v>
      </c>
      <c r="BJ37" s="84">
        <f t="shared" si="17"/>
        <v>2.5965970956264601</v>
      </c>
      <c r="BK37" s="84">
        <f t="shared" si="17"/>
        <v>2.4885507165004443</v>
      </c>
      <c r="BL37" s="84">
        <f t="shared" si="17"/>
        <v>2.6532125137753435</v>
      </c>
      <c r="BM37" s="84">
        <f t="shared" si="17"/>
        <v>3.9696954111184732</v>
      </c>
      <c r="BN37" s="84">
        <f t="shared" si="17"/>
        <v>3.9772662124272928</v>
      </c>
      <c r="BO37" s="84">
        <f t="shared" si="17"/>
        <v>2.2278867046136734</v>
      </c>
      <c r="BP37" s="84">
        <f t="shared" si="17"/>
        <v>3.2070955404192181</v>
      </c>
      <c r="BQ37" s="84">
        <f t="shared" ref="BQ37:CP37" si="18">LOG(BQ6)</f>
        <v>3.8055688175485556</v>
      </c>
      <c r="BR37" s="84">
        <f t="shared" si="18"/>
        <v>3.7075701760979363</v>
      </c>
      <c r="BS37" s="84">
        <f t="shared" si="18"/>
        <v>3.3590762260592628</v>
      </c>
      <c r="BT37" s="84">
        <f t="shared" si="18"/>
        <v>4.1908917169221693</v>
      </c>
      <c r="BU37" s="84">
        <f t="shared" si="18"/>
        <v>3.1607685618611283</v>
      </c>
      <c r="BV37" s="84">
        <f t="shared" si="18"/>
        <v>4.0193655745724879</v>
      </c>
      <c r="BW37" s="84">
        <f t="shared" si="18"/>
        <v>4.8594385354550562</v>
      </c>
      <c r="BX37" s="84">
        <f t="shared" si="18"/>
        <v>4.248929133718768</v>
      </c>
      <c r="BY37" s="84">
        <f t="shared" si="18"/>
        <v>4.6159605671339845</v>
      </c>
      <c r="BZ37" s="84">
        <f t="shared" si="18"/>
        <v>4.7389944829965511</v>
      </c>
      <c r="CA37" s="84">
        <f t="shared" si="18"/>
        <v>4.854378924269616</v>
      </c>
      <c r="CB37" s="84">
        <f t="shared" si="18"/>
        <v>4.436846162461821</v>
      </c>
      <c r="CC37" s="84">
        <f t="shared" si="18"/>
        <v>4.7026114547909463</v>
      </c>
      <c r="CD37" s="84">
        <f t="shared" si="18"/>
        <v>5.0119001623137889</v>
      </c>
      <c r="CE37" s="84">
        <f t="shared" si="18"/>
        <v>4.6044960527710668</v>
      </c>
      <c r="CF37" s="84">
        <f t="shared" si="18"/>
        <v>4.8249064713021124</v>
      </c>
      <c r="CG37" s="84">
        <f t="shared" si="18"/>
        <v>5.5798315949333732</v>
      </c>
      <c r="CH37" s="84">
        <f t="shared" si="18"/>
        <v>5.2322538742163358</v>
      </c>
      <c r="CI37" s="84">
        <f t="shared" si="18"/>
        <v>5.2323912327088431</v>
      </c>
      <c r="CJ37" s="84">
        <f t="shared" si="18"/>
        <v>1.6434526764861874</v>
      </c>
      <c r="CK37" s="84">
        <f t="shared" si="18"/>
        <v>2.2227164711475833</v>
      </c>
      <c r="CL37" s="84">
        <f t="shared" si="18"/>
        <v>3.1176026916900841</v>
      </c>
      <c r="CM37" s="84">
        <f t="shared" si="18"/>
        <v>3.3142886609474975</v>
      </c>
      <c r="CN37" s="84">
        <f t="shared" si="18"/>
        <v>3.1176026916900841</v>
      </c>
      <c r="CO37" s="84">
        <f t="shared" si="18"/>
        <v>2.9800033715837464</v>
      </c>
      <c r="CP37" s="84">
        <f t="shared" si="18"/>
        <v>2.8819549713396007</v>
      </c>
      <c r="CQ37" s="117">
        <f>MEDIAN(AC37:CP37)</f>
        <v>4.0330668971166634</v>
      </c>
    </row>
    <row r="38" spans="1:95">
      <c r="A38" s="39" t="s">
        <v>117</v>
      </c>
      <c r="B38" s="40" t="s">
        <v>127</v>
      </c>
      <c r="C38" s="83">
        <f t="shared" ref="C38:BO38" si="19">LOG(C7)</f>
        <v>2.6693168805661123</v>
      </c>
      <c r="D38" s="84">
        <f t="shared" si="19"/>
        <v>5.339025882673317</v>
      </c>
      <c r="E38" s="84">
        <f t="shared" si="19"/>
        <v>5.8792106052917594</v>
      </c>
      <c r="F38" s="84">
        <f t="shared" si="19"/>
        <v>5.1259657135893262</v>
      </c>
      <c r="G38" s="84">
        <f t="shared" si="19"/>
        <v>3.635986111800833</v>
      </c>
      <c r="H38" s="84">
        <f t="shared" si="19"/>
        <v>4.5046339471684735</v>
      </c>
      <c r="I38" s="84">
        <f t="shared" si="19"/>
        <v>2.9429995933660407</v>
      </c>
      <c r="J38" s="84">
        <f t="shared" si="19"/>
        <v>4.6035881875105158</v>
      </c>
      <c r="K38" s="84">
        <f t="shared" si="19"/>
        <v>4.1654520728319291</v>
      </c>
      <c r="L38" s="84">
        <f t="shared" si="19"/>
        <v>4.9356835677016564</v>
      </c>
      <c r="M38" s="84">
        <f t="shared" si="19"/>
        <v>3.9593276459721709</v>
      </c>
      <c r="N38" s="84">
        <f t="shared" si="19"/>
        <v>3.6690378008851559</v>
      </c>
      <c r="O38" s="84">
        <f t="shared" si="19"/>
        <v>4.2468431222513194</v>
      </c>
      <c r="P38" s="84">
        <f t="shared" si="19"/>
        <v>4.7756978077656544</v>
      </c>
      <c r="Q38" s="84">
        <f t="shared" si="19"/>
        <v>3.4877038631637265</v>
      </c>
      <c r="R38" s="84">
        <f t="shared" si="19"/>
        <v>3.8873922189718471</v>
      </c>
      <c r="S38" s="84">
        <f t="shared" si="19"/>
        <v>4.0271048658793509</v>
      </c>
      <c r="T38" s="84">
        <f t="shared" si="19"/>
        <v>4.3823953086704091</v>
      </c>
      <c r="U38" s="84">
        <f t="shared" si="19"/>
        <v>4.2984382253107594</v>
      </c>
      <c r="V38" s="84">
        <f t="shared" si="19"/>
        <v>5.035481770351022</v>
      </c>
      <c r="W38" s="84">
        <f t="shared" si="19"/>
        <v>4.5351041538013934</v>
      </c>
      <c r="X38" s="84">
        <f t="shared" si="19"/>
        <v>5.192243981426401</v>
      </c>
      <c r="Y38" s="84">
        <f t="shared" si="19"/>
        <v>5.4436806482799041</v>
      </c>
      <c r="Z38" s="84">
        <f t="shared" si="19"/>
        <v>2.214843848047698</v>
      </c>
      <c r="AA38" s="84">
        <f t="shared" si="19"/>
        <v>4.1574869893848483</v>
      </c>
      <c r="AB38" s="117">
        <f t="shared" ref="AB38:AB42" si="20">MEDIAN(C38:AA38)</f>
        <v>4.2984382253107594</v>
      </c>
      <c r="AC38" s="84">
        <f t="shared" si="19"/>
        <v>4.4560622244549517</v>
      </c>
      <c r="AD38" s="84">
        <f t="shared" si="19"/>
        <v>4.4717316514800514</v>
      </c>
      <c r="AE38" s="84">
        <f t="shared" si="19"/>
        <v>4.8694370807219558</v>
      </c>
      <c r="AF38" s="84">
        <f t="shared" si="19"/>
        <v>4.3680636355062434</v>
      </c>
      <c r="AG38" s="84">
        <f t="shared" si="19"/>
        <v>4.3214741510305554</v>
      </c>
      <c r="AH38" s="84">
        <f t="shared" si="19"/>
        <v>5.0346204363392255</v>
      </c>
      <c r="AI38" s="84">
        <f t="shared" si="19"/>
        <v>4.9680390876639953</v>
      </c>
      <c r="AJ38" s="84">
        <f t="shared" si="19"/>
        <v>5.2444923587383032</v>
      </c>
      <c r="AK38" s="84">
        <f t="shared" si="19"/>
        <v>2.6053050461411096</v>
      </c>
      <c r="AL38" s="84">
        <f t="shared" si="19"/>
        <v>4.0203612826477082</v>
      </c>
      <c r="AM38" s="84">
        <f t="shared" si="19"/>
        <v>4.4481186202921474</v>
      </c>
      <c r="AN38" s="84">
        <f t="shared" si="19"/>
        <v>4.1062249048967985</v>
      </c>
      <c r="AO38" s="84">
        <f t="shared" si="19"/>
        <v>2.6937269489236471</v>
      </c>
      <c r="AP38" s="84">
        <f t="shared" si="19"/>
        <v>3.2695129442179165</v>
      </c>
      <c r="AQ38" s="84">
        <f t="shared" si="19"/>
        <v>4.4092735766694489</v>
      </c>
      <c r="AR38" s="84">
        <f t="shared" si="19"/>
        <v>4.1200471943530408</v>
      </c>
      <c r="AS38" s="84">
        <f t="shared" si="19"/>
        <v>4.4187154968655955</v>
      </c>
      <c r="AT38" s="84">
        <f t="shared" si="19"/>
        <v>4.425550522537713</v>
      </c>
      <c r="AU38" s="84">
        <f t="shared" si="19"/>
        <v>3.7782959910888336</v>
      </c>
      <c r="AV38" s="84">
        <f t="shared" si="19"/>
        <v>4.0241982322068681</v>
      </c>
      <c r="AW38" s="84">
        <f t="shared" si="19"/>
        <v>3.3047058982127653</v>
      </c>
      <c r="AX38" s="84">
        <f t="shared" si="19"/>
        <v>3.0856472882968564</v>
      </c>
      <c r="AY38" s="84">
        <f t="shared" si="19"/>
        <v>3.2327420627207371</v>
      </c>
      <c r="AZ38" s="84">
        <f t="shared" si="19"/>
        <v>2.7993405494535817</v>
      </c>
      <c r="BA38" s="84">
        <f t="shared" si="19"/>
        <v>2.9464522650130731</v>
      </c>
      <c r="BB38" s="84">
        <f t="shared" si="19"/>
        <v>3.6469915374771222</v>
      </c>
      <c r="BC38" s="84">
        <f t="shared" si="19"/>
        <v>3.8470788620657155</v>
      </c>
      <c r="BD38" s="84">
        <f t="shared" si="19"/>
        <v>2.720159303405957</v>
      </c>
      <c r="BE38" s="84">
        <f t="shared" si="19"/>
        <v>4.6283684921820329</v>
      </c>
      <c r="BF38" s="84">
        <f t="shared" si="19"/>
        <v>4.4607926375798588</v>
      </c>
      <c r="BG38" s="84">
        <f t="shared" si="19"/>
        <v>4.2081187407382767</v>
      </c>
      <c r="BH38" s="84">
        <f t="shared" si="19"/>
        <v>3.7623784293119642</v>
      </c>
      <c r="BI38" s="84">
        <f t="shared" si="19"/>
        <v>4.4647577316228855</v>
      </c>
      <c r="BJ38" s="84">
        <f t="shared" si="19"/>
        <v>2.4969296480732148</v>
      </c>
      <c r="BK38" s="84">
        <f t="shared" si="19"/>
        <v>2.7664128471123997</v>
      </c>
      <c r="BL38" s="84">
        <f t="shared" si="19"/>
        <v>2.6560982020128319</v>
      </c>
      <c r="BM38" s="84">
        <f t="shared" si="19"/>
        <v>3.9588981947107715</v>
      </c>
      <c r="BN38" s="84">
        <f t="shared" si="19"/>
        <v>3.9648722086377752</v>
      </c>
      <c r="BO38" s="84">
        <f t="shared" si="19"/>
        <v>1.9030899869919435</v>
      </c>
      <c r="BP38" s="84">
        <f t="shared" ref="BP38:CP38" si="21">LOG(BP7)</f>
        <v>3.184123354239671</v>
      </c>
      <c r="BQ38" s="84">
        <f t="shared" si="21"/>
        <v>3.7788744720027396</v>
      </c>
      <c r="BR38" s="84">
        <f t="shared" si="21"/>
        <v>3.6796095717797561</v>
      </c>
      <c r="BS38" s="84">
        <f t="shared" si="21"/>
        <v>3.2995072987004876</v>
      </c>
      <c r="BT38" s="84">
        <f t="shared" si="21"/>
        <v>4.1517681028951783</v>
      </c>
      <c r="BU38" s="84">
        <f t="shared" si="21"/>
        <v>3.0906107078284069</v>
      </c>
      <c r="BV38" s="84">
        <f t="shared" si="21"/>
        <v>3.9674075565974727</v>
      </c>
      <c r="BW38" s="84">
        <f t="shared" si="21"/>
        <v>4.7774920704148265</v>
      </c>
      <c r="BX38" s="84">
        <f t="shared" si="21"/>
        <v>4.2770358881721107</v>
      </c>
      <c r="BY38" s="84">
        <f t="shared" si="21"/>
        <v>4.5765256270652053</v>
      </c>
      <c r="BZ38" s="84">
        <f t="shared" si="21"/>
        <v>4.83027422061246</v>
      </c>
      <c r="CA38" s="84">
        <f t="shared" si="21"/>
        <v>4.8493579816612993</v>
      </c>
      <c r="CB38" s="84">
        <f t="shared" si="21"/>
        <v>4.6671259414859891</v>
      </c>
      <c r="CC38" s="84">
        <f t="shared" si="21"/>
        <v>4.5911536839382876</v>
      </c>
      <c r="CD38" s="84">
        <f t="shared" si="21"/>
        <v>5.0923100107563686</v>
      </c>
      <c r="CE38" s="84">
        <f t="shared" si="21"/>
        <v>4.6187591293929335</v>
      </c>
      <c r="CF38" s="84">
        <f t="shared" si="21"/>
        <v>4.7784768491607865</v>
      </c>
      <c r="CG38" s="84">
        <f t="shared" si="21"/>
        <v>5.5506330981215903</v>
      </c>
      <c r="CH38" s="84">
        <f t="shared" si="21"/>
        <v>5.1656181986757455</v>
      </c>
      <c r="CI38" s="84">
        <f t="shared" si="21"/>
        <v>5.2976073323822401</v>
      </c>
      <c r="CJ38" s="84">
        <f t="shared" si="21"/>
        <v>1.9444826721501687</v>
      </c>
      <c r="CK38" s="84">
        <f t="shared" si="21"/>
        <v>1.9912260756924949</v>
      </c>
      <c r="CL38" s="84">
        <f t="shared" si="21"/>
        <v>3.1248301494138593</v>
      </c>
      <c r="CM38" s="84">
        <f t="shared" si="21"/>
        <v>3.3027637084729817</v>
      </c>
      <c r="CN38" s="84">
        <f t="shared" si="21"/>
        <v>3.1248301494138593</v>
      </c>
      <c r="CO38" s="84">
        <f t="shared" si="21"/>
        <v>2.7450747915820575</v>
      </c>
      <c r="CP38" s="84">
        <f t="shared" si="21"/>
        <v>2.9623693356700209</v>
      </c>
      <c r="CQ38" s="117">
        <f t="shared" ref="CQ38:CQ42" si="22">MEDIAN(AC38:CP38)</f>
        <v>4.0222797574272882</v>
      </c>
    </row>
    <row r="39" spans="1:95">
      <c r="A39" s="39" t="s">
        <v>118</v>
      </c>
      <c r="B39" s="40" t="s">
        <v>127</v>
      </c>
      <c r="C39" s="83">
        <f t="shared" ref="C39:BO39" si="23">LOG(C8)</f>
        <v>2.1583624920952498</v>
      </c>
      <c r="D39" s="84">
        <f t="shared" si="23"/>
        <v>5.1777297973073084</v>
      </c>
      <c r="E39" s="84">
        <f t="shared" si="23"/>
        <v>5.8762005146683078</v>
      </c>
      <c r="F39" s="84">
        <f t="shared" si="23"/>
        <v>5.0505885386777463</v>
      </c>
      <c r="G39" s="84">
        <f t="shared" si="23"/>
        <v>3.0530784434834195</v>
      </c>
      <c r="H39" s="84">
        <f t="shared" si="23"/>
        <v>4.5062749712869747</v>
      </c>
      <c r="I39" s="84">
        <f t="shared" si="23"/>
        <v>2.9175055095525466</v>
      </c>
      <c r="J39" s="84">
        <f t="shared" si="23"/>
        <v>4.3738495080886493</v>
      </c>
      <c r="K39" s="84">
        <f t="shared" si="23"/>
        <v>3.8212514315459414</v>
      </c>
      <c r="L39" s="84">
        <f t="shared" si="23"/>
        <v>4.7616121464036523</v>
      </c>
      <c r="M39" s="84">
        <f t="shared" si="23"/>
        <v>3.5014700721004122</v>
      </c>
      <c r="N39" s="84">
        <f t="shared" si="23"/>
        <v>3.399673721481038</v>
      </c>
      <c r="O39" s="84">
        <f t="shared" si="23"/>
        <v>4.1900794539415145</v>
      </c>
      <c r="P39" s="84">
        <f t="shared" si="23"/>
        <v>4.8100778654920946</v>
      </c>
      <c r="Q39" s="84">
        <f t="shared" si="23"/>
        <v>3.8244512700366129</v>
      </c>
      <c r="R39" s="84">
        <f t="shared" si="23"/>
        <v>3.4089180208467798</v>
      </c>
      <c r="S39" s="84">
        <f t="shared" si="23"/>
        <v>3.8481891169913989</v>
      </c>
      <c r="T39" s="84">
        <f t="shared" si="23"/>
        <v>4.403600897518281</v>
      </c>
      <c r="U39" s="84">
        <f t="shared" si="23"/>
        <v>4.1616374807045906</v>
      </c>
      <c r="V39" s="84">
        <f t="shared" si="23"/>
        <v>5.1447391770442232</v>
      </c>
      <c r="W39" s="84">
        <f t="shared" si="23"/>
        <v>4.669372674988205</v>
      </c>
      <c r="X39" s="84">
        <f t="shared" si="23"/>
        <v>4.970142235334408</v>
      </c>
      <c r="Y39" s="84">
        <f t="shared" si="23"/>
        <v>5.3136584558624573</v>
      </c>
      <c r="Z39" s="84">
        <f t="shared" si="23"/>
        <v>2.167317334748176</v>
      </c>
      <c r="AA39" s="84">
        <f t="shared" si="23"/>
        <v>4.057628072955568</v>
      </c>
      <c r="AB39" s="117">
        <f t="shared" si="20"/>
        <v>4.1900794539415145</v>
      </c>
      <c r="AC39" s="84">
        <f t="shared" si="23"/>
        <v>4.0875684761617839</v>
      </c>
      <c r="AD39" s="84">
        <f t="shared" si="23"/>
        <v>4.0521165505499983</v>
      </c>
      <c r="AE39" s="84">
        <f t="shared" si="23"/>
        <v>4.5989655020236286</v>
      </c>
      <c r="AF39" s="84">
        <f t="shared" si="23"/>
        <v>4.1311051620937311</v>
      </c>
      <c r="AG39" s="84">
        <f t="shared" si="23"/>
        <v>4.2132520521963963</v>
      </c>
      <c r="AH39" s="84">
        <f t="shared" si="23"/>
        <v>4.8861183131314512</v>
      </c>
      <c r="AI39" s="84">
        <f t="shared" si="23"/>
        <v>4.8853499101321143</v>
      </c>
      <c r="AJ39" s="84">
        <f t="shared" si="23"/>
        <v>5.2070793652769636</v>
      </c>
      <c r="AK39" s="84">
        <f t="shared" si="23"/>
        <v>2.7581546219673898</v>
      </c>
      <c r="AL39" s="84">
        <f t="shared" si="23"/>
        <v>3.6710802327388494</v>
      </c>
      <c r="AM39" s="84">
        <f t="shared" si="23"/>
        <v>4.1743215272640404</v>
      </c>
      <c r="AN39" s="84">
        <f t="shared" si="23"/>
        <v>3.888797067456681</v>
      </c>
      <c r="AO39" s="84">
        <f t="shared" si="23"/>
        <v>2.667452952889954</v>
      </c>
      <c r="AP39" s="84">
        <f t="shared" si="23"/>
        <v>2.8615344108590377</v>
      </c>
      <c r="AQ39" s="84">
        <f t="shared" si="23"/>
        <v>4.1527774147972449</v>
      </c>
      <c r="AR39" s="84">
        <f t="shared" si="23"/>
        <v>3.8781769804915061</v>
      </c>
      <c r="AS39" s="84">
        <f t="shared" si="23"/>
        <v>4.2870175013221017</v>
      </c>
      <c r="AT39" s="84">
        <f t="shared" si="23"/>
        <v>4.2698397095768392</v>
      </c>
      <c r="AU39" s="84">
        <f t="shared" si="23"/>
        <v>3.7185847200274358</v>
      </c>
      <c r="AV39" s="84">
        <f t="shared" si="23"/>
        <v>3.9710437918360286</v>
      </c>
      <c r="AW39" s="84">
        <f t="shared" si="23"/>
        <v>3.3577443251803754</v>
      </c>
      <c r="AX39" s="84">
        <f t="shared" si="23"/>
        <v>2.7649229846498886</v>
      </c>
      <c r="AY39" s="84">
        <f t="shared" si="23"/>
        <v>3.0017337128090005</v>
      </c>
      <c r="AZ39" s="84">
        <f t="shared" si="23"/>
        <v>2.6384892569546374</v>
      </c>
      <c r="BA39" s="84">
        <f t="shared" si="23"/>
        <v>2.8530895298518657</v>
      </c>
      <c r="BB39" s="84">
        <f t="shared" si="23"/>
        <v>3.5164031484474032</v>
      </c>
      <c r="BC39" s="84">
        <f t="shared" si="23"/>
        <v>3.7442929831226763</v>
      </c>
      <c r="BD39" s="84">
        <f t="shared" si="23"/>
        <v>2.6839471307515121</v>
      </c>
      <c r="BE39" s="84">
        <f t="shared" si="23"/>
        <v>4.5998394221935666</v>
      </c>
      <c r="BF39" s="84">
        <f t="shared" si="23"/>
        <v>4.4598747692989686</v>
      </c>
      <c r="BG39" s="84">
        <f t="shared" si="23"/>
        <v>4.2937381177835237</v>
      </c>
      <c r="BH39" s="84">
        <f t="shared" si="23"/>
        <v>3.8940944273226989</v>
      </c>
      <c r="BI39" s="84">
        <f t="shared" si="23"/>
        <v>4.6421478347978429</v>
      </c>
      <c r="BJ39" s="84">
        <f t="shared" si="23"/>
        <v>2.959994838328416</v>
      </c>
      <c r="BK39" s="84">
        <f t="shared" si="23"/>
        <v>2.9840770339028309</v>
      </c>
      <c r="BL39" s="84">
        <f t="shared" si="23"/>
        <v>2.3117538610557542</v>
      </c>
      <c r="BM39" s="84">
        <f t="shared" si="23"/>
        <v>4.1130069400009353</v>
      </c>
      <c r="BN39" s="84">
        <f t="shared" si="23"/>
        <v>4.1653630506973744</v>
      </c>
      <c r="BO39" s="84">
        <f t="shared" si="23"/>
        <v>2.5263392773898441</v>
      </c>
      <c r="BP39" s="84">
        <f t="shared" ref="BP39:CP39" si="24">LOG(BP8)</f>
        <v>2.9537596917332287</v>
      </c>
      <c r="BQ39" s="84">
        <f t="shared" si="24"/>
        <v>3.7074850119674734</v>
      </c>
      <c r="BR39" s="84">
        <f t="shared" si="24"/>
        <v>3.3921691494897361</v>
      </c>
      <c r="BS39" s="84">
        <f t="shared" si="24"/>
        <v>3.0480531731156089</v>
      </c>
      <c r="BT39" s="84">
        <f t="shared" si="24"/>
        <v>3.910090545594068</v>
      </c>
      <c r="BU39" s="84">
        <f t="shared" si="24"/>
        <v>2.9552065375419416</v>
      </c>
      <c r="BV39" s="84">
        <f t="shared" si="24"/>
        <v>3.9341953493478843</v>
      </c>
      <c r="BW39" s="84">
        <f t="shared" si="24"/>
        <v>4.6749437681907793</v>
      </c>
      <c r="BX39" s="84">
        <f t="shared" si="24"/>
        <v>4.2440295890300215</v>
      </c>
      <c r="BY39" s="84">
        <f t="shared" si="24"/>
        <v>4.3842996393083844</v>
      </c>
      <c r="BZ39" s="84">
        <f t="shared" si="24"/>
        <v>4.6028193424327002</v>
      </c>
      <c r="CA39" s="84">
        <f t="shared" si="24"/>
        <v>4.714891129020681</v>
      </c>
      <c r="CB39" s="84">
        <f t="shared" si="24"/>
        <v>4.4206157706257647</v>
      </c>
      <c r="CC39" s="84">
        <f t="shared" si="24"/>
        <v>4.5417289748502894</v>
      </c>
      <c r="CD39" s="84">
        <f t="shared" si="24"/>
        <v>5.0750649555952334</v>
      </c>
      <c r="CE39" s="84">
        <f t="shared" si="24"/>
        <v>4.5486105018978176</v>
      </c>
      <c r="CF39" s="84">
        <f t="shared" si="24"/>
        <v>4.6745764146770261</v>
      </c>
      <c r="CG39" s="84">
        <f t="shared" si="24"/>
        <v>5.5283020858106298</v>
      </c>
      <c r="CH39" s="84">
        <f t="shared" si="24"/>
        <v>5.3520763442606754</v>
      </c>
      <c r="CI39" s="84">
        <f t="shared" si="24"/>
        <v>5.4866018956970883</v>
      </c>
      <c r="CJ39" s="84">
        <f t="shared" si="24"/>
        <v>2.2227164711475833</v>
      </c>
      <c r="CK39" s="84">
        <f t="shared" si="24"/>
        <v>2.6063813651106051</v>
      </c>
      <c r="CL39" s="84">
        <f t="shared" si="24"/>
        <v>3.1360860973840974</v>
      </c>
      <c r="CM39" s="84">
        <f t="shared" si="24"/>
        <v>3.4129642719966626</v>
      </c>
      <c r="CN39" s="84">
        <f t="shared" si="24"/>
        <v>3.1360860973840974</v>
      </c>
      <c r="CO39" s="84">
        <f t="shared" si="24"/>
        <v>3.1420764610732848</v>
      </c>
      <c r="CP39" s="84">
        <f t="shared" si="24"/>
        <v>2.9385197251764921</v>
      </c>
      <c r="CQ39" s="117">
        <f t="shared" si="22"/>
        <v>3.9221429474709764</v>
      </c>
    </row>
    <row r="40" spans="1:95">
      <c r="A40" s="39" t="s">
        <v>119</v>
      </c>
      <c r="B40" s="40" t="s">
        <v>128</v>
      </c>
      <c r="C40" s="83">
        <f t="shared" ref="C40:BO40" si="25">LOG(C9)</f>
        <v>2.5158738437116792</v>
      </c>
      <c r="D40" s="84">
        <f t="shared" si="25"/>
        <v>5.297486939762905</v>
      </c>
      <c r="E40" s="84">
        <f t="shared" si="25"/>
        <v>5.8906266591284639</v>
      </c>
      <c r="F40" s="84">
        <f t="shared" si="25"/>
        <v>5.0684938417661423</v>
      </c>
      <c r="G40" s="84">
        <f t="shared" si="25"/>
        <v>3.0644579892269186</v>
      </c>
      <c r="H40" s="84">
        <f t="shared" si="25"/>
        <v>4.5060041550265835</v>
      </c>
      <c r="I40" s="84">
        <f t="shared" si="25"/>
        <v>3.0762762554042178</v>
      </c>
      <c r="J40" s="84">
        <f t="shared" si="25"/>
        <v>4.61014892761954</v>
      </c>
      <c r="K40" s="84">
        <f t="shared" si="25"/>
        <v>4.1086664825539723</v>
      </c>
      <c r="L40" s="84">
        <f t="shared" si="25"/>
        <v>4.8283762882672976</v>
      </c>
      <c r="M40" s="84">
        <f t="shared" si="25"/>
        <v>3.5048784594102158</v>
      </c>
      <c r="N40" s="84">
        <f t="shared" si="25"/>
        <v>3.4895366294820955</v>
      </c>
      <c r="O40" s="84">
        <f t="shared" si="25"/>
        <v>4.2369904646531475</v>
      </c>
      <c r="P40" s="84">
        <f t="shared" si="25"/>
        <v>4.6485551556626703</v>
      </c>
      <c r="Q40" s="84">
        <f t="shared" si="25"/>
        <v>3.5509617522981762</v>
      </c>
      <c r="R40" s="84">
        <f t="shared" si="25"/>
        <v>3.7965049515532963</v>
      </c>
      <c r="S40" s="84">
        <f t="shared" si="25"/>
        <v>4.0686681432858993</v>
      </c>
      <c r="T40" s="84">
        <f t="shared" si="25"/>
        <v>4.4374968861298205</v>
      </c>
      <c r="U40" s="84">
        <f t="shared" si="25"/>
        <v>4.2224823571389116</v>
      </c>
      <c r="V40" s="84">
        <f t="shared" si="25"/>
        <v>5.1715421684158205</v>
      </c>
      <c r="W40" s="84">
        <f t="shared" si="25"/>
        <v>4.7244151492683075</v>
      </c>
      <c r="X40" s="84">
        <f t="shared" si="25"/>
        <v>5.1728946977521764</v>
      </c>
      <c r="Y40" s="84">
        <f t="shared" si="25"/>
        <v>5.313135049240004</v>
      </c>
      <c r="Z40" s="84">
        <f t="shared" si="25"/>
        <v>2.3617278360175931</v>
      </c>
      <c r="AA40" s="84">
        <f t="shared" si="25"/>
        <v>4.2247143045303979</v>
      </c>
      <c r="AB40" s="117">
        <f t="shared" si="20"/>
        <v>4.2369904646531475</v>
      </c>
      <c r="AC40" s="84">
        <f t="shared" si="25"/>
        <v>4.2817830715064469</v>
      </c>
      <c r="AD40" s="84">
        <f t="shared" si="25"/>
        <v>4.320852219831754</v>
      </c>
      <c r="AE40" s="84">
        <f t="shared" si="25"/>
        <v>4.8117894193441675</v>
      </c>
      <c r="AF40" s="84">
        <f t="shared" si="25"/>
        <v>4.374363357525028</v>
      </c>
      <c r="AG40" s="84">
        <f t="shared" si="25"/>
        <v>4.3996910237053743</v>
      </c>
      <c r="AH40" s="84">
        <f t="shared" si="25"/>
        <v>5.0206719738367571</v>
      </c>
      <c r="AI40" s="84">
        <f t="shared" si="25"/>
        <v>4.966404577410148</v>
      </c>
      <c r="AJ40" s="84">
        <f t="shared" si="25"/>
        <v>5.2569365214171686</v>
      </c>
      <c r="AK40" s="84">
        <f t="shared" si="25"/>
        <v>2.8549130223078554</v>
      </c>
      <c r="AL40" s="84">
        <f t="shared" si="25"/>
        <v>3.931356150467928</v>
      </c>
      <c r="AM40" s="84">
        <f t="shared" si="25"/>
        <v>4.3335681749239878</v>
      </c>
      <c r="AN40" s="84">
        <f t="shared" si="25"/>
        <v>4.0045792939022116</v>
      </c>
      <c r="AO40" s="84">
        <f t="shared" si="25"/>
        <v>2.7347998295888472</v>
      </c>
      <c r="AP40" s="84">
        <f t="shared" si="25"/>
        <v>2.6937269489236471</v>
      </c>
      <c r="AQ40" s="84">
        <f t="shared" si="25"/>
        <v>4.2915908256580009</v>
      </c>
      <c r="AR40" s="84">
        <f t="shared" si="25"/>
        <v>3.9804578922761</v>
      </c>
      <c r="AS40" s="84">
        <f t="shared" si="25"/>
        <v>4.439490590389684</v>
      </c>
      <c r="AT40" s="84">
        <f t="shared" si="25"/>
        <v>4.305587802072341</v>
      </c>
      <c r="AU40" s="84">
        <f t="shared" si="25"/>
        <v>3.8149796837607566</v>
      </c>
      <c r="AV40" s="84">
        <f t="shared" si="25"/>
        <v>4.0308425028249166</v>
      </c>
      <c r="AW40" s="84">
        <f t="shared" si="25"/>
        <v>3.2260841159758238</v>
      </c>
      <c r="AX40" s="84">
        <f t="shared" si="25"/>
        <v>2.8825245379548803</v>
      </c>
      <c r="AY40" s="84">
        <f t="shared" si="25"/>
        <v>3.2538224387080734</v>
      </c>
      <c r="AZ40" s="84">
        <f t="shared" si="25"/>
        <v>3.1038037209559568</v>
      </c>
      <c r="BA40" s="84">
        <f t="shared" si="25"/>
        <v>2.7323937598229686</v>
      </c>
      <c r="BB40" s="84">
        <f t="shared" si="25"/>
        <v>3.6985354925620011</v>
      </c>
      <c r="BC40" s="84">
        <f t="shared" si="25"/>
        <v>3.666049738480516</v>
      </c>
      <c r="BD40" s="84">
        <f t="shared" si="25"/>
        <v>2.7481880270062002</v>
      </c>
      <c r="BE40" s="84">
        <f t="shared" si="25"/>
        <v>4.6488867005153063</v>
      </c>
      <c r="BF40" s="84">
        <f t="shared" si="25"/>
        <v>4.402278581895561</v>
      </c>
      <c r="BG40" s="84">
        <f t="shared" si="25"/>
        <v>4.2125338361866067</v>
      </c>
      <c r="BH40" s="84">
        <f t="shared" si="25"/>
        <v>3.7517408738109004</v>
      </c>
      <c r="BI40" s="84">
        <f t="shared" si="25"/>
        <v>4.4229179807676626</v>
      </c>
      <c r="BJ40" s="84">
        <f t="shared" si="25"/>
        <v>2.3242824552976926</v>
      </c>
      <c r="BK40" s="84">
        <f t="shared" si="25"/>
        <v>2.8115750058705933</v>
      </c>
      <c r="BL40" s="84">
        <f t="shared" si="25"/>
        <v>2.6766936096248664</v>
      </c>
      <c r="BM40" s="84">
        <f t="shared" si="25"/>
        <v>4.1606485744361619</v>
      </c>
      <c r="BN40" s="84">
        <f t="shared" si="25"/>
        <v>3.9928185200666797</v>
      </c>
      <c r="BO40" s="84">
        <f t="shared" si="25"/>
        <v>2.214843848047698</v>
      </c>
      <c r="BP40" s="84">
        <f t="shared" ref="BP40:CP40" si="26">LOG(BP9)</f>
        <v>3.1598678470925665</v>
      </c>
      <c r="BQ40" s="84">
        <f t="shared" si="26"/>
        <v>3.8464608251293324</v>
      </c>
      <c r="BR40" s="84">
        <f t="shared" si="26"/>
        <v>3.5861370252307934</v>
      </c>
      <c r="BS40" s="84">
        <f t="shared" si="26"/>
        <v>3.290479813330673</v>
      </c>
      <c r="BT40" s="84">
        <f t="shared" si="26"/>
        <v>4.0789278336807193</v>
      </c>
      <c r="BU40" s="84">
        <f t="shared" si="26"/>
        <v>3.0406023401140732</v>
      </c>
      <c r="BV40" s="84">
        <f t="shared" si="26"/>
        <v>3.9457639231111736</v>
      </c>
      <c r="BW40" s="84">
        <f t="shared" si="26"/>
        <v>4.7386537386610401</v>
      </c>
      <c r="BX40" s="84">
        <f t="shared" si="26"/>
        <v>4.2698397095768392</v>
      </c>
      <c r="BY40" s="84">
        <f t="shared" si="26"/>
        <v>4.4439041742213528</v>
      </c>
      <c r="BZ40" s="84">
        <f t="shared" si="26"/>
        <v>4.7653108408405931</v>
      </c>
      <c r="CA40" s="84">
        <f t="shared" si="26"/>
        <v>4.8549736737264171</v>
      </c>
      <c r="CB40" s="84">
        <f t="shared" si="26"/>
        <v>4.549395667276702</v>
      </c>
      <c r="CC40" s="84">
        <f t="shared" si="26"/>
        <v>4.5799549948227725</v>
      </c>
      <c r="CD40" s="84">
        <f t="shared" si="26"/>
        <v>5.1217436336451332</v>
      </c>
      <c r="CE40" s="84">
        <f t="shared" si="26"/>
        <v>4.5166411252768306</v>
      </c>
      <c r="CF40" s="84">
        <f t="shared" si="26"/>
        <v>4.7362052112082571</v>
      </c>
      <c r="CG40" s="84">
        <f t="shared" si="26"/>
        <v>5.5642813006555354</v>
      </c>
      <c r="CH40" s="84">
        <f t="shared" si="26"/>
        <v>5.2989207250549946</v>
      </c>
      <c r="CI40" s="84">
        <f t="shared" si="26"/>
        <v>5.3215984304653441</v>
      </c>
      <c r="CJ40" s="84">
        <f t="shared" si="26"/>
        <v>2.1492191126553797</v>
      </c>
      <c r="CK40" s="84">
        <f t="shared" si="26"/>
        <v>2.3201462861110542</v>
      </c>
      <c r="CL40" s="84">
        <f t="shared" si="26"/>
        <v>3.2008504980910772</v>
      </c>
      <c r="CM40" s="84">
        <f t="shared" si="26"/>
        <v>3.1085650237328344</v>
      </c>
      <c r="CN40" s="84">
        <f t="shared" si="26"/>
        <v>3.2008504980910772</v>
      </c>
      <c r="CO40" s="84">
        <f t="shared" si="26"/>
        <v>3.1568519010700111</v>
      </c>
      <c r="CP40" s="84">
        <f t="shared" si="26"/>
        <v>3.0884904701823963</v>
      </c>
      <c r="CQ40" s="117">
        <f t="shared" si="22"/>
        <v>3.9986989069844459</v>
      </c>
    </row>
    <row r="41" spans="1:95">
      <c r="A41" s="39" t="s">
        <v>120</v>
      </c>
      <c r="B41" s="40" t="s">
        <v>128</v>
      </c>
      <c r="C41" s="83">
        <f t="shared" ref="C41:BO41" si="27">LOG(C10)</f>
        <v>2.4623979978989561</v>
      </c>
      <c r="D41" s="84">
        <f t="shared" si="27"/>
        <v>5.1874925189804255</v>
      </c>
      <c r="E41" s="84">
        <f t="shared" si="27"/>
        <v>5.9259378085803691</v>
      </c>
      <c r="F41" s="84">
        <f t="shared" si="27"/>
        <v>5.0357698356841292</v>
      </c>
      <c r="G41" s="84">
        <f t="shared" si="27"/>
        <v>2.9344984512435679</v>
      </c>
      <c r="H41" s="84">
        <f t="shared" si="27"/>
        <v>4.6072941436121981</v>
      </c>
      <c r="I41" s="84">
        <f t="shared" si="27"/>
        <v>2.9273703630390235</v>
      </c>
      <c r="J41" s="84">
        <f t="shared" si="27"/>
        <v>4.3625955575488202</v>
      </c>
      <c r="K41" s="84">
        <f t="shared" si="27"/>
        <v>3.712397131406715</v>
      </c>
      <c r="L41" s="84">
        <f t="shared" si="27"/>
        <v>4.6575912163788606</v>
      </c>
      <c r="M41" s="84">
        <f t="shared" si="27"/>
        <v>3.5160062303860475</v>
      </c>
      <c r="N41" s="84">
        <f t="shared" si="27"/>
        <v>3.3830969299490943</v>
      </c>
      <c r="O41" s="84">
        <f t="shared" si="27"/>
        <v>4.2675706265693378</v>
      </c>
      <c r="P41" s="84">
        <f t="shared" si="27"/>
        <v>4.7072890710658539</v>
      </c>
      <c r="Q41" s="84">
        <f t="shared" si="27"/>
        <v>3.5897262562542371</v>
      </c>
      <c r="R41" s="84">
        <f t="shared" si="27"/>
        <v>3.7969903905456865</v>
      </c>
      <c r="S41" s="84">
        <f t="shared" si="27"/>
        <v>4.0380635269978589</v>
      </c>
      <c r="T41" s="84">
        <f t="shared" si="27"/>
        <v>4.5429374082326195</v>
      </c>
      <c r="U41" s="84">
        <f t="shared" si="27"/>
        <v>4.2619999486518267</v>
      </c>
      <c r="V41" s="84">
        <f t="shared" si="27"/>
        <v>5.3122725860162818</v>
      </c>
      <c r="W41" s="84">
        <f t="shared" si="27"/>
        <v>4.7842034817564949</v>
      </c>
      <c r="X41" s="84">
        <f t="shared" si="27"/>
        <v>5.1231195809843886</v>
      </c>
      <c r="Y41" s="84">
        <f t="shared" si="27"/>
        <v>5.3287973853777384</v>
      </c>
      <c r="Z41" s="84">
        <f t="shared" si="27"/>
        <v>2.3483048630481607</v>
      </c>
      <c r="AA41" s="84">
        <f t="shared" si="27"/>
        <v>4.0333031013725735</v>
      </c>
      <c r="AB41" s="117">
        <f t="shared" si="20"/>
        <v>4.2675706265693378</v>
      </c>
      <c r="AC41" s="84">
        <f t="shared" si="27"/>
        <v>4.4356532853264188</v>
      </c>
      <c r="AD41" s="84">
        <f t="shared" si="27"/>
        <v>4.4437009735746704</v>
      </c>
      <c r="AE41" s="84">
        <f t="shared" si="27"/>
        <v>4.7884653439835292</v>
      </c>
      <c r="AF41" s="84">
        <f t="shared" si="27"/>
        <v>4.5335305753695803</v>
      </c>
      <c r="AG41" s="84">
        <f t="shared" si="27"/>
        <v>4.3621807765925302</v>
      </c>
      <c r="AH41" s="84">
        <f t="shared" si="27"/>
        <v>5.081430125554629</v>
      </c>
      <c r="AI41" s="84">
        <f t="shared" si="27"/>
        <v>4.8474122366683901</v>
      </c>
      <c r="AJ41" s="84">
        <f t="shared" si="27"/>
        <v>5.3426259620198016</v>
      </c>
      <c r="AK41" s="84">
        <f t="shared" si="27"/>
        <v>2.9703468762300935</v>
      </c>
      <c r="AL41" s="84">
        <f t="shared" si="27"/>
        <v>4.1327078448554477</v>
      </c>
      <c r="AM41" s="84">
        <f t="shared" si="27"/>
        <v>4.4044745057398531</v>
      </c>
      <c r="AN41" s="84">
        <f t="shared" si="27"/>
        <v>3.9167696842831363</v>
      </c>
      <c r="AO41" s="84">
        <f t="shared" si="27"/>
        <v>2.6222140229662951</v>
      </c>
      <c r="AP41" s="84">
        <f t="shared" si="27"/>
        <v>3.0051805125037805</v>
      </c>
      <c r="AQ41" s="84">
        <f t="shared" si="27"/>
        <v>4.479474534102625</v>
      </c>
      <c r="AR41" s="84">
        <f t="shared" si="27"/>
        <v>4.1091734214254725</v>
      </c>
      <c r="AS41" s="84">
        <f t="shared" si="27"/>
        <v>4.4968328200386916</v>
      </c>
      <c r="AT41" s="84">
        <f t="shared" si="27"/>
        <v>4.3816384467261571</v>
      </c>
      <c r="AU41" s="84">
        <f t="shared" si="27"/>
        <v>3.7826159320316033</v>
      </c>
      <c r="AV41" s="84">
        <f t="shared" si="27"/>
        <v>3.9668922958671362</v>
      </c>
      <c r="AW41" s="84">
        <f t="shared" si="27"/>
        <v>3.2240148113728639</v>
      </c>
      <c r="AX41" s="84">
        <f t="shared" si="27"/>
        <v>2.8773713458697738</v>
      </c>
      <c r="AY41" s="84">
        <f t="shared" si="27"/>
        <v>3.0285712526925375</v>
      </c>
      <c r="AZ41" s="84">
        <f t="shared" si="27"/>
        <v>2.5877109650189114</v>
      </c>
      <c r="BA41" s="84">
        <f t="shared" si="27"/>
        <v>2.8567288903828825</v>
      </c>
      <c r="BB41" s="84">
        <f t="shared" si="27"/>
        <v>3.6602012013806817</v>
      </c>
      <c r="BC41" s="84">
        <f t="shared" si="27"/>
        <v>3.8349290964605758</v>
      </c>
      <c r="BD41" s="84">
        <f t="shared" si="27"/>
        <v>2.9196010237841108</v>
      </c>
      <c r="BE41" s="84">
        <f t="shared" si="27"/>
        <v>4.6403124565901308</v>
      </c>
      <c r="BF41" s="84">
        <f t="shared" si="27"/>
        <v>4.4611382160749313</v>
      </c>
      <c r="BG41" s="84">
        <f t="shared" si="27"/>
        <v>4.2536529484835643</v>
      </c>
      <c r="BH41" s="84">
        <f t="shared" si="27"/>
        <v>3.7690078709437738</v>
      </c>
      <c r="BI41" s="84">
        <f t="shared" si="27"/>
        <v>4.454875335744946</v>
      </c>
      <c r="BJ41" s="84">
        <f t="shared" si="27"/>
        <v>2.7715874808812555</v>
      </c>
      <c r="BK41" s="84">
        <f t="shared" si="27"/>
        <v>2.9684829485539352</v>
      </c>
      <c r="BL41" s="84">
        <f t="shared" si="27"/>
        <v>2.7874604745184151</v>
      </c>
      <c r="BM41" s="84">
        <f t="shared" si="27"/>
        <v>4.1270723871194548</v>
      </c>
      <c r="BN41" s="84">
        <f t="shared" si="27"/>
        <v>4.1047260441099747</v>
      </c>
      <c r="BO41" s="84">
        <f t="shared" si="27"/>
        <v>2.3159703454569178</v>
      </c>
      <c r="BP41" s="84">
        <f t="shared" ref="BP41:CP41" si="28">LOG(BP10)</f>
        <v>3.1789769472931693</v>
      </c>
      <c r="BQ41" s="84">
        <f t="shared" si="28"/>
        <v>3.8005796215691303</v>
      </c>
      <c r="BR41" s="84">
        <f t="shared" si="28"/>
        <v>3.4755259150392805</v>
      </c>
      <c r="BS41" s="84">
        <f t="shared" si="28"/>
        <v>3.5247854493212225</v>
      </c>
      <c r="BT41" s="84">
        <f t="shared" si="28"/>
        <v>4.1645015613095682</v>
      </c>
      <c r="BU41" s="84">
        <f t="shared" si="28"/>
        <v>3.1903316981702914</v>
      </c>
      <c r="BV41" s="84">
        <f t="shared" si="28"/>
        <v>3.9914918889101596</v>
      </c>
      <c r="BW41" s="84">
        <f t="shared" si="28"/>
        <v>4.8314538293365805</v>
      </c>
      <c r="BX41" s="84">
        <f t="shared" si="28"/>
        <v>4.277998644200288</v>
      </c>
      <c r="BY41" s="84">
        <f t="shared" si="28"/>
        <v>4.7079276831885455</v>
      </c>
      <c r="BZ41" s="84">
        <f t="shared" si="28"/>
        <v>4.6421379346557812</v>
      </c>
      <c r="CA41" s="84">
        <f t="shared" si="28"/>
        <v>4.8776131932161535</v>
      </c>
      <c r="CB41" s="84">
        <f t="shared" si="28"/>
        <v>4.7253234672307878</v>
      </c>
      <c r="CC41" s="84">
        <f t="shared" si="28"/>
        <v>4.8179287821024523</v>
      </c>
      <c r="CD41" s="84">
        <f t="shared" si="28"/>
        <v>5.0403887001252263</v>
      </c>
      <c r="CE41" s="84">
        <f t="shared" si="28"/>
        <v>4.6134612512527067</v>
      </c>
      <c r="CF41" s="84">
        <f t="shared" si="28"/>
        <v>4.8426279587968715</v>
      </c>
      <c r="CG41" s="84">
        <f t="shared" si="28"/>
        <v>5.6616262489833407</v>
      </c>
      <c r="CH41" s="84">
        <f t="shared" si="28"/>
        <v>5.3199467557356757</v>
      </c>
      <c r="CI41" s="84">
        <f t="shared" si="28"/>
        <v>5.4668335276402695</v>
      </c>
      <c r="CJ41" s="84">
        <f t="shared" si="28"/>
        <v>2.4082399653118496</v>
      </c>
      <c r="CK41" s="84">
        <f t="shared" si="28"/>
        <v>2.3010299956639813</v>
      </c>
      <c r="CL41" s="84">
        <f t="shared" si="28"/>
        <v>3.621384028481653</v>
      </c>
      <c r="CM41" s="84">
        <f t="shared" si="28"/>
        <v>3.1652443261253107</v>
      </c>
      <c r="CN41" s="84">
        <f t="shared" si="28"/>
        <v>3.621384028481653</v>
      </c>
      <c r="CO41" s="84">
        <f t="shared" si="28"/>
        <v>3.0038911662369103</v>
      </c>
      <c r="CP41" s="84">
        <f t="shared" si="28"/>
        <v>2.9047155452786808</v>
      </c>
      <c r="CQ41" s="117">
        <f t="shared" si="22"/>
        <v>4.106949732767724</v>
      </c>
    </row>
    <row r="42" spans="1:95">
      <c r="A42" s="39" t="s">
        <v>129</v>
      </c>
      <c r="B42" s="40" t="s">
        <v>128</v>
      </c>
      <c r="C42" s="114">
        <f t="shared" ref="C42:BO42" si="29">LOG(C11)</f>
        <v>2.7708520116421442</v>
      </c>
      <c r="D42" s="115">
        <f t="shared" si="29"/>
        <v>5.4928762785213641</v>
      </c>
      <c r="E42" s="115">
        <f t="shared" si="29"/>
        <v>5.9056777146147335</v>
      </c>
      <c r="F42" s="115">
        <f t="shared" si="29"/>
        <v>5.0820956945567639</v>
      </c>
      <c r="G42" s="115">
        <f t="shared" si="29"/>
        <v>3.8404197777364861</v>
      </c>
      <c r="H42" s="115">
        <f t="shared" si="29"/>
        <v>4.4279889243725457</v>
      </c>
      <c r="I42" s="115">
        <f t="shared" si="29"/>
        <v>3.0916669575956846</v>
      </c>
      <c r="J42" s="115">
        <f t="shared" si="29"/>
        <v>4.8045142500825921</v>
      </c>
      <c r="K42" s="115">
        <f t="shared" si="29"/>
        <v>4.6010055481796703</v>
      </c>
      <c r="L42" s="115">
        <f t="shared" si="29"/>
        <v>5.2786050011049648</v>
      </c>
      <c r="M42" s="115">
        <f t="shared" si="29"/>
        <v>4.0681116170273031</v>
      </c>
      <c r="N42" s="115">
        <f t="shared" si="29"/>
        <v>3.8251014115980033</v>
      </c>
      <c r="O42" s="115">
        <f t="shared" si="29"/>
        <v>4.3227773147032069</v>
      </c>
      <c r="P42" s="115">
        <f t="shared" si="29"/>
        <v>4.9827053105188872</v>
      </c>
      <c r="Q42" s="115">
        <f t="shared" si="29"/>
        <v>3.7190825739014861</v>
      </c>
      <c r="R42" s="115">
        <f t="shared" si="29"/>
        <v>3.8909237714890139</v>
      </c>
      <c r="S42" s="115">
        <f t="shared" si="29"/>
        <v>3.917872955198848</v>
      </c>
      <c r="T42" s="115">
        <f t="shared" si="29"/>
        <v>4.2553690042664414</v>
      </c>
      <c r="U42" s="115">
        <f t="shared" si="29"/>
        <v>4.2844532940108531</v>
      </c>
      <c r="V42" s="115">
        <f t="shared" si="29"/>
        <v>4.9355123040145363</v>
      </c>
      <c r="W42" s="115">
        <f t="shared" si="29"/>
        <v>4.463519723400486</v>
      </c>
      <c r="X42" s="115">
        <f t="shared" si="29"/>
        <v>5.2085569020982225</v>
      </c>
      <c r="Y42" s="115">
        <f t="shared" si="29"/>
        <v>5.5618190466189619</v>
      </c>
      <c r="Z42" s="115">
        <f t="shared" si="29"/>
        <v>2.4265112613645754</v>
      </c>
      <c r="AA42" s="115">
        <f t="shared" si="29"/>
        <v>4.2387985627139173</v>
      </c>
      <c r="AB42" s="117">
        <f t="shared" si="20"/>
        <v>4.3227773147032069</v>
      </c>
      <c r="AC42" s="115">
        <f t="shared" si="29"/>
        <v>4.3583917586490202</v>
      </c>
      <c r="AD42" s="115">
        <f t="shared" si="29"/>
        <v>4.447359621271918</v>
      </c>
      <c r="AE42" s="115">
        <f t="shared" si="29"/>
        <v>4.8188722339848375</v>
      </c>
      <c r="AF42" s="115">
        <f t="shared" si="29"/>
        <v>4.3589812256253495</v>
      </c>
      <c r="AG42" s="115">
        <f t="shared" si="29"/>
        <v>4.5348887582288091</v>
      </c>
      <c r="AH42" s="115">
        <f t="shared" si="29"/>
        <v>4.9412479933965718</v>
      </c>
      <c r="AI42" s="115">
        <f t="shared" si="29"/>
        <v>5.0031372760604151</v>
      </c>
      <c r="AJ42" s="115">
        <f t="shared" si="29"/>
        <v>5.251993296511726</v>
      </c>
      <c r="AK42" s="115">
        <f t="shared" si="29"/>
        <v>2.6253124509616739</v>
      </c>
      <c r="AL42" s="115">
        <f t="shared" si="29"/>
        <v>3.9337402994969355</v>
      </c>
      <c r="AM42" s="115">
        <f t="shared" si="29"/>
        <v>4.5049735103391466</v>
      </c>
      <c r="AN42" s="115">
        <f t="shared" si="29"/>
        <v>4.2355031964943377</v>
      </c>
      <c r="AO42" s="115">
        <f t="shared" si="29"/>
        <v>2.6989700043360187</v>
      </c>
      <c r="AP42" s="115">
        <f t="shared" si="29"/>
        <v>2.8709888137605755</v>
      </c>
      <c r="AQ42" s="115">
        <f t="shared" si="29"/>
        <v>4.4693801358499252</v>
      </c>
      <c r="AR42" s="115">
        <f t="shared" si="29"/>
        <v>4.1919537671529952</v>
      </c>
      <c r="AS42" s="115">
        <f t="shared" si="29"/>
        <v>4.5598468007393169</v>
      </c>
      <c r="AT42" s="115">
        <f t="shared" si="29"/>
        <v>4.5862158578414656</v>
      </c>
      <c r="AU42" s="115">
        <f t="shared" si="29"/>
        <v>3.8421722293856155</v>
      </c>
      <c r="AV42" s="115">
        <f t="shared" si="29"/>
        <v>4.1423581757638459</v>
      </c>
      <c r="AW42" s="115">
        <f t="shared" si="29"/>
        <v>3.4745076391169758</v>
      </c>
      <c r="AX42" s="115">
        <f t="shared" si="29"/>
        <v>3.0920184707527971</v>
      </c>
      <c r="AY42" s="115">
        <f t="shared" si="29"/>
        <v>3.4517864355242902</v>
      </c>
      <c r="AZ42" s="115">
        <f t="shared" si="29"/>
        <v>3.2886962605902559</v>
      </c>
      <c r="BA42" s="115">
        <f t="shared" si="29"/>
        <v>2.9003671286564705</v>
      </c>
      <c r="BB42" s="115">
        <f t="shared" si="29"/>
        <v>3.6795187436957892</v>
      </c>
      <c r="BC42" s="115">
        <f t="shared" si="29"/>
        <v>3.875697761980208</v>
      </c>
      <c r="BD42" s="115">
        <f t="shared" si="29"/>
        <v>2.8350561017201161</v>
      </c>
      <c r="BE42" s="115">
        <f t="shared" si="29"/>
        <v>4.8083797948823843</v>
      </c>
      <c r="BF42" s="115">
        <f t="shared" si="29"/>
        <v>4.410237191984046</v>
      </c>
      <c r="BG42" s="115">
        <f t="shared" si="29"/>
        <v>4.3681194586150287</v>
      </c>
      <c r="BH42" s="115">
        <f t="shared" si="29"/>
        <v>3.9249508889156108</v>
      </c>
      <c r="BI42" s="115">
        <f t="shared" si="29"/>
        <v>4.6988918242928612</v>
      </c>
      <c r="BJ42" s="115">
        <f t="shared" si="29"/>
        <v>2.7497363155690611</v>
      </c>
      <c r="BK42" s="115">
        <f t="shared" si="29"/>
        <v>2.6020599913279625</v>
      </c>
      <c r="BL42" s="115">
        <f t="shared" si="29"/>
        <v>2.9222062774390163</v>
      </c>
      <c r="BM42" s="115">
        <f t="shared" si="29"/>
        <v>4.0201954897531946</v>
      </c>
      <c r="BN42" s="115">
        <f t="shared" si="29"/>
        <v>3.9620376865650124</v>
      </c>
      <c r="BO42" s="115">
        <f t="shared" si="29"/>
        <v>2.2922560713564759</v>
      </c>
      <c r="BP42" s="115">
        <f t="shared" ref="BP42:CP42" si="30">LOG(BP11)</f>
        <v>3.1354506993455136</v>
      </c>
      <c r="BQ42" s="115">
        <f t="shared" si="30"/>
        <v>3.7449185424413529</v>
      </c>
      <c r="BR42" s="115">
        <f t="shared" si="30"/>
        <v>3.7657430414210444</v>
      </c>
      <c r="BS42" s="115">
        <f t="shared" si="30"/>
        <v>3.1492191126553797</v>
      </c>
      <c r="BT42" s="115">
        <f t="shared" si="30"/>
        <v>4.111900712865614</v>
      </c>
      <c r="BU42" s="115">
        <f t="shared" si="30"/>
        <v>3.0569048513364727</v>
      </c>
      <c r="BV42" s="115">
        <f t="shared" si="30"/>
        <v>3.8537590330747689</v>
      </c>
      <c r="BW42" s="115">
        <f t="shared" si="30"/>
        <v>4.6856790524006078</v>
      </c>
      <c r="BX42" s="115">
        <f t="shared" si="30"/>
        <v>4.2368646223173876</v>
      </c>
      <c r="BY42" s="115">
        <f t="shared" si="30"/>
        <v>4.5467770205509774</v>
      </c>
      <c r="BZ42" s="115">
        <f t="shared" si="30"/>
        <v>4.7705869375206511</v>
      </c>
      <c r="CA42" s="115">
        <f t="shared" si="30"/>
        <v>4.7804109310417058</v>
      </c>
      <c r="CB42" s="115">
        <f t="shared" si="30"/>
        <v>4.7836963828161112</v>
      </c>
      <c r="CC42" s="115">
        <f t="shared" si="30"/>
        <v>4.5810617398026832</v>
      </c>
      <c r="CD42" s="115">
        <f t="shared" si="30"/>
        <v>5.2371690981400008</v>
      </c>
      <c r="CE42" s="115">
        <f t="shared" si="30"/>
        <v>4.8101989025701748</v>
      </c>
      <c r="CF42" s="115">
        <f t="shared" si="30"/>
        <v>4.7132972936622783</v>
      </c>
      <c r="CG42" s="115">
        <f t="shared" si="30"/>
        <v>5.5748908985345524</v>
      </c>
      <c r="CH42" s="115">
        <f t="shared" si="30"/>
        <v>5.3731364531248191</v>
      </c>
      <c r="CI42" s="115">
        <f t="shared" si="30"/>
        <v>5.3742111012599736</v>
      </c>
      <c r="CJ42" s="115">
        <f t="shared" si="30"/>
        <v>1.7160033436347992</v>
      </c>
      <c r="CK42" s="115">
        <f t="shared" si="30"/>
        <v>2.3765769570565118</v>
      </c>
      <c r="CL42" s="115">
        <f t="shared" si="30"/>
        <v>3.0542299098633974</v>
      </c>
      <c r="CM42" s="115">
        <f t="shared" si="30"/>
        <v>3.2013971243204513</v>
      </c>
      <c r="CN42" s="115">
        <f t="shared" si="30"/>
        <v>3.0542299098633974</v>
      </c>
      <c r="CO42" s="115">
        <f t="shared" si="30"/>
        <v>2.9429995933660407</v>
      </c>
      <c r="CP42" s="115">
        <f t="shared" si="30"/>
        <v>2.8356905714924254</v>
      </c>
      <c r="CQ42" s="117">
        <f t="shared" si="22"/>
        <v>4.0660481013094039</v>
      </c>
    </row>
    <row r="43" spans="1:95">
      <c r="A43" s="10"/>
      <c r="B43" s="39" t="s">
        <v>97</v>
      </c>
      <c r="C43" s="8">
        <f>AVERAGE(C37:C42)</f>
        <v>2.5414835139749763</v>
      </c>
      <c r="D43" s="8">
        <f t="shared" ref="D43:BP43" si="31">AVERAGE(D37:D42)</f>
        <v>5.3080023391715292</v>
      </c>
      <c r="E43" s="8">
        <f t="shared" si="31"/>
        <v>5.9219168772904425</v>
      </c>
      <c r="F43" s="8">
        <f t="shared" si="31"/>
        <v>5.0727884860869805</v>
      </c>
      <c r="G43" s="8">
        <f t="shared" si="31"/>
        <v>3.2785238365381399</v>
      </c>
      <c r="H43" s="8">
        <f t="shared" si="31"/>
        <v>4.5420518620773302</v>
      </c>
      <c r="I43" s="8">
        <f t="shared" si="31"/>
        <v>2.9652515417416563</v>
      </c>
      <c r="J43" s="8">
        <f t="shared" si="31"/>
        <v>4.5795906929797043</v>
      </c>
      <c r="K43" s="8">
        <f t="shared" si="31"/>
        <v>4.0868068617977373</v>
      </c>
      <c r="L43" s="8">
        <f t="shared" si="31"/>
        <v>4.8952899488848116</v>
      </c>
      <c r="M43" s="8">
        <f t="shared" si="31"/>
        <v>3.6936923288106538</v>
      </c>
      <c r="N43" s="8">
        <f t="shared" si="31"/>
        <v>3.5612547035299014</v>
      </c>
      <c r="O43" s="8">
        <f t="shared" si="31"/>
        <v>4.2668434689111061</v>
      </c>
      <c r="P43" s="8">
        <f t="shared" si="31"/>
        <v>4.8030939522797302</v>
      </c>
      <c r="Q43" s="8">
        <f t="shared" si="31"/>
        <v>3.6128685649663947</v>
      </c>
      <c r="R43" s="8">
        <f t="shared" si="31"/>
        <v>3.7980155012864838</v>
      </c>
      <c r="S43" s="8">
        <f t="shared" si="31"/>
        <v>4.0044573415004239</v>
      </c>
      <c r="T43" s="8">
        <f t="shared" si="31"/>
        <v>4.4407207278701897</v>
      </c>
      <c r="U43" s="8">
        <f t="shared" si="31"/>
        <v>4.2591698789294243</v>
      </c>
      <c r="V43" s="8">
        <f t="shared" si="31"/>
        <v>5.172604653707471</v>
      </c>
      <c r="W43" s="8">
        <f t="shared" si="31"/>
        <v>4.6732486035014427</v>
      </c>
      <c r="X43" s="8">
        <f t="shared" si="31"/>
        <v>5.1584069676078377</v>
      </c>
      <c r="Y43" s="8">
        <f t="shared" si="31"/>
        <v>5.3913299954812635</v>
      </c>
      <c r="Z43" s="8">
        <f t="shared" si="31"/>
        <v>2.2552570613218959</v>
      </c>
      <c r="AA43" s="8">
        <f t="shared" si="31"/>
        <v>4.130978203598759</v>
      </c>
      <c r="AB43" s="8"/>
      <c r="AC43" s="8">
        <f t="shared" si="31"/>
        <v>4.3582742838443478</v>
      </c>
      <c r="AD43" s="8">
        <f t="shared" si="31"/>
        <v>4.3630192232746321</v>
      </c>
      <c r="AE43" s="8">
        <f t="shared" si="31"/>
        <v>4.7905706856680048</v>
      </c>
      <c r="AF43" s="8">
        <f t="shared" si="31"/>
        <v>4.3764301427346775</v>
      </c>
      <c r="AG43" s="8">
        <f t="shared" si="31"/>
        <v>4.3846786760059002</v>
      </c>
      <c r="AH43" s="8">
        <f t="shared" si="31"/>
        <v>5.0030735658673882</v>
      </c>
      <c r="AI43" s="8">
        <f t="shared" si="31"/>
        <v>4.9378815154970965</v>
      </c>
      <c r="AJ43" s="8">
        <f t="shared" si="31"/>
        <v>5.2608941589509248</v>
      </c>
      <c r="AK43" s="8">
        <f t="shared" si="31"/>
        <v>2.7070278019394851</v>
      </c>
      <c r="AL43" s="8">
        <f t="shared" si="31"/>
        <v>3.9606343796682939</v>
      </c>
      <c r="AM43" s="8">
        <f t="shared" si="31"/>
        <v>4.3857401275256622</v>
      </c>
      <c r="AN43" s="8">
        <f t="shared" si="31"/>
        <v>4.0331070611156674</v>
      </c>
      <c r="AO43" s="8">
        <f t="shared" si="31"/>
        <v>2.7058982753864527</v>
      </c>
      <c r="AP43" s="8">
        <f t="shared" si="31"/>
        <v>2.9782892750965231</v>
      </c>
      <c r="AQ43" s="8">
        <f t="shared" si="31"/>
        <v>4.3740214651269262</v>
      </c>
      <c r="AR43" s="8">
        <f t="shared" si="31"/>
        <v>4.0626416349990899</v>
      </c>
      <c r="AS43" s="8">
        <f t="shared" si="31"/>
        <v>4.4436572732194994</v>
      </c>
      <c r="AT43" s="8">
        <f t="shared" si="31"/>
        <v>4.3958925812830616</v>
      </c>
      <c r="AU43" s="8">
        <f t="shared" si="31"/>
        <v>3.7912140427616303</v>
      </c>
      <c r="AV43" s="8">
        <f t="shared" si="31"/>
        <v>4.0223964163503263</v>
      </c>
      <c r="AW43" s="8">
        <f t="shared" si="31"/>
        <v>3.3137706483035472</v>
      </c>
      <c r="AX43" s="8">
        <f t="shared" si="31"/>
        <v>2.9461660533769209</v>
      </c>
      <c r="AY43" s="8">
        <f t="shared" si="31"/>
        <v>3.2116504985151422</v>
      </c>
      <c r="AZ43" s="8">
        <f t="shared" si="31"/>
        <v>2.9006526850469565</v>
      </c>
      <c r="BA43" s="8">
        <f t="shared" si="31"/>
        <v>2.8618310908444768</v>
      </c>
      <c r="BB43" s="8">
        <f t="shared" si="31"/>
        <v>3.6552033083108277</v>
      </c>
      <c r="BC43" s="8">
        <f t="shared" si="31"/>
        <v>3.7888036931701223</v>
      </c>
      <c r="BD43" s="8">
        <f t="shared" si="31"/>
        <v>2.7532892405646052</v>
      </c>
      <c r="BE43" s="8">
        <f t="shared" si="31"/>
        <v>4.6455402628226912</v>
      </c>
      <c r="BF43" s="8">
        <f t="shared" si="31"/>
        <v>4.4405972920237087</v>
      </c>
      <c r="BG43" s="8">
        <f t="shared" si="31"/>
        <v>4.2621083296970985</v>
      </c>
      <c r="BH43" s="8">
        <f t="shared" si="31"/>
        <v>3.8046398584365213</v>
      </c>
      <c r="BI43" s="8">
        <f t="shared" si="31"/>
        <v>4.5092881874454376</v>
      </c>
      <c r="BJ43" s="8">
        <f t="shared" si="31"/>
        <v>2.6498546389626836</v>
      </c>
      <c r="BK43" s="8">
        <f t="shared" si="31"/>
        <v>2.7701930905446943</v>
      </c>
      <c r="BL43" s="8">
        <f t="shared" si="31"/>
        <v>2.6679041564043708</v>
      </c>
      <c r="BM43" s="8">
        <f t="shared" si="31"/>
        <v>4.0582528328564988</v>
      </c>
      <c r="BN43" s="8">
        <f t="shared" si="31"/>
        <v>4.0278472870840183</v>
      </c>
      <c r="BO43" s="8">
        <f t="shared" si="31"/>
        <v>2.2467310389760922</v>
      </c>
      <c r="BP43" s="8">
        <f t="shared" si="31"/>
        <v>3.1365456800205611</v>
      </c>
      <c r="BQ43" s="8">
        <f t="shared" ref="BQ43:CP43" si="32">AVERAGE(BQ37:BQ42)</f>
        <v>3.7806478817764311</v>
      </c>
      <c r="BR43" s="8">
        <f t="shared" si="32"/>
        <v>3.6011258131764241</v>
      </c>
      <c r="BS43" s="8">
        <f t="shared" si="32"/>
        <v>3.2785201788637726</v>
      </c>
      <c r="BT43" s="8">
        <f t="shared" si="32"/>
        <v>4.1013467455445527</v>
      </c>
      <c r="BU43" s="8">
        <f t="shared" si="32"/>
        <v>3.0824041161420523</v>
      </c>
      <c r="BV43" s="8">
        <f t="shared" si="32"/>
        <v>3.9519972209356578</v>
      </c>
      <c r="BW43" s="8">
        <f t="shared" si="32"/>
        <v>4.7612768324098154</v>
      </c>
      <c r="BX43" s="8">
        <f t="shared" si="32"/>
        <v>4.2591162645025689</v>
      </c>
      <c r="BY43" s="8">
        <f t="shared" si="32"/>
        <v>4.5458991185780748</v>
      </c>
      <c r="BZ43" s="8">
        <f t="shared" si="32"/>
        <v>4.7250206265097896</v>
      </c>
      <c r="CA43" s="8">
        <f t="shared" si="32"/>
        <v>4.8219376388226456</v>
      </c>
      <c r="CB43" s="8">
        <f t="shared" si="32"/>
        <v>4.5971672319828629</v>
      </c>
      <c r="CC43" s="8">
        <f t="shared" si="32"/>
        <v>4.6357399383845719</v>
      </c>
      <c r="CD43" s="8">
        <f t="shared" si="32"/>
        <v>5.0964294267626258</v>
      </c>
      <c r="CE43" s="8">
        <f t="shared" si="32"/>
        <v>4.6186944938602554</v>
      </c>
      <c r="CF43" s="8">
        <f t="shared" si="32"/>
        <v>4.7616816998012226</v>
      </c>
      <c r="CG43" s="8">
        <f t="shared" si="32"/>
        <v>5.5765942045065033</v>
      </c>
      <c r="CH43" s="8">
        <f t="shared" si="32"/>
        <v>5.2903253918447071</v>
      </c>
      <c r="CI43" s="8">
        <f t="shared" si="32"/>
        <v>5.3632072533589605</v>
      </c>
      <c r="CJ43" s="8">
        <f t="shared" si="32"/>
        <v>2.0140190402309948</v>
      </c>
      <c r="CK43" s="8">
        <f t="shared" si="32"/>
        <v>2.3030128584637053</v>
      </c>
      <c r="CL43" s="8">
        <f t="shared" si="32"/>
        <v>3.2091638958206947</v>
      </c>
      <c r="CM43" s="8">
        <f t="shared" si="32"/>
        <v>3.2508705192659559</v>
      </c>
      <c r="CN43" s="8">
        <f t="shared" si="32"/>
        <v>3.2091638958206947</v>
      </c>
      <c r="CO43" s="8">
        <f t="shared" si="32"/>
        <v>2.9951495474853416</v>
      </c>
      <c r="CP43" s="8">
        <f t="shared" si="32"/>
        <v>2.9352901031899363</v>
      </c>
    </row>
    <row r="44" spans="1:95">
      <c r="A44" s="10"/>
      <c r="B44" s="39" t="s">
        <v>98</v>
      </c>
      <c r="C44" s="8">
        <f>_xlfn.STDEV.S(C37:C42)</f>
        <v>0.21895363694379838</v>
      </c>
      <c r="D44" s="8">
        <f t="shared" ref="D44:BP44" si="33">_xlfn.STDEV.S(D37:D42)</f>
        <v>0.11730826445838403</v>
      </c>
      <c r="E44" s="8">
        <f t="shared" si="33"/>
        <v>6.7199075134692934E-2</v>
      </c>
      <c r="F44" s="8">
        <f t="shared" si="33"/>
        <v>3.0974706484215592E-2</v>
      </c>
      <c r="G44" s="8">
        <f t="shared" si="33"/>
        <v>0.3679557336040542</v>
      </c>
      <c r="H44" s="8">
        <f t="shared" si="33"/>
        <v>9.6156536835601172E-2</v>
      </c>
      <c r="I44" s="8">
        <f t="shared" si="33"/>
        <v>9.9300761243344068E-2</v>
      </c>
      <c r="J44" s="8">
        <f t="shared" si="33"/>
        <v>0.18002177299052791</v>
      </c>
      <c r="K44" s="8">
        <f t="shared" si="33"/>
        <v>0.31061348478233342</v>
      </c>
      <c r="L44" s="8">
        <f t="shared" si="33"/>
        <v>0.21336474631332089</v>
      </c>
      <c r="M44" s="8">
        <f t="shared" si="33"/>
        <v>0.25358994621705166</v>
      </c>
      <c r="N44" s="8">
        <f t="shared" si="33"/>
        <v>0.17076917841758021</v>
      </c>
      <c r="O44" s="8">
        <f t="shared" si="33"/>
        <v>5.5148791886606117E-2</v>
      </c>
      <c r="P44" s="8">
        <f t="shared" si="33"/>
        <v>0.12200631776128562</v>
      </c>
      <c r="Q44" s="8">
        <f t="shared" si="33"/>
        <v>0.13240616123216245</v>
      </c>
      <c r="R44" s="8">
        <f t="shared" si="33"/>
        <v>0.20583827409332794</v>
      </c>
      <c r="S44" s="8">
        <f t="shared" si="33"/>
        <v>0.10262628696955402</v>
      </c>
      <c r="T44" s="8">
        <f t="shared" si="33"/>
        <v>0.12856623507467105</v>
      </c>
      <c r="U44" s="8">
        <f t="shared" si="33"/>
        <v>5.9186377617533016E-2</v>
      </c>
      <c r="V44" s="8">
        <f t="shared" si="33"/>
        <v>0.18150450487821668</v>
      </c>
      <c r="W44" s="8">
        <f t="shared" si="33"/>
        <v>0.15097869446108952</v>
      </c>
      <c r="X44" s="8">
        <f t="shared" si="33"/>
        <v>0.10602172318812859</v>
      </c>
      <c r="Y44" s="8">
        <f t="shared" si="33"/>
        <v>9.7861607810451348E-2</v>
      </c>
      <c r="Z44" s="8">
        <f t="shared" si="33"/>
        <v>0.15326834037395706</v>
      </c>
      <c r="AA44" s="8">
        <f t="shared" si="33"/>
        <v>8.8643818194600363E-2</v>
      </c>
      <c r="AB44" s="8"/>
      <c r="AC44" s="8">
        <f t="shared" si="33"/>
        <v>0.15763025597271052</v>
      </c>
      <c r="AD44" s="8">
        <f t="shared" si="33"/>
        <v>0.16135292110007035</v>
      </c>
      <c r="AE44" s="8">
        <f t="shared" si="33"/>
        <v>9.8443186236648481E-2</v>
      </c>
      <c r="AF44" s="8">
        <f t="shared" si="33"/>
        <v>0.14051648014572934</v>
      </c>
      <c r="AG44" s="8">
        <f t="shared" si="33"/>
        <v>0.11412565064336816</v>
      </c>
      <c r="AH44" s="8">
        <f t="shared" si="33"/>
        <v>7.4263216352769487E-2</v>
      </c>
      <c r="AI44" s="8">
        <f t="shared" si="33"/>
        <v>5.8803185700132175E-2</v>
      </c>
      <c r="AJ44" s="8">
        <f t="shared" si="33"/>
        <v>4.4591100857533948E-2</v>
      </c>
      <c r="AK44" s="8">
        <f t="shared" si="33"/>
        <v>0.19423035422350882</v>
      </c>
      <c r="AL44" s="8">
        <f t="shared" si="33"/>
        <v>0.16222074107591228</v>
      </c>
      <c r="AM44" s="8">
        <f t="shared" si="33"/>
        <v>0.11821863761999565</v>
      </c>
      <c r="AN44" s="8">
        <f t="shared" si="33"/>
        <v>0.12780503508746077</v>
      </c>
      <c r="AO44" s="8">
        <f t="shared" si="33"/>
        <v>6.6528238672868112E-2</v>
      </c>
      <c r="AP44" s="8">
        <f t="shared" si="33"/>
        <v>0.2135164934351553</v>
      </c>
      <c r="AQ44" s="8">
        <f t="shared" si="33"/>
        <v>0.12788377756903249</v>
      </c>
      <c r="AR44" s="8">
        <f t="shared" si="33"/>
        <v>0.11320697598265193</v>
      </c>
      <c r="AS44" s="8">
        <f t="shared" si="33"/>
        <v>9.1401886745511168E-2</v>
      </c>
      <c r="AT44" s="8">
        <f t="shared" si="33"/>
        <v>0.11087200910403881</v>
      </c>
      <c r="AU44" s="8">
        <f t="shared" si="33"/>
        <v>4.2554824273321551E-2</v>
      </c>
      <c r="AV44" s="8">
        <f t="shared" si="33"/>
        <v>6.4387211143864878E-2</v>
      </c>
      <c r="AW44" s="8">
        <f t="shared" si="33"/>
        <v>9.3732215971912405E-2</v>
      </c>
      <c r="AX44" s="8">
        <f t="shared" si="33"/>
        <v>0.12896776500174517</v>
      </c>
      <c r="AY44" s="8">
        <f t="shared" si="33"/>
        <v>0.17058675856996125</v>
      </c>
      <c r="AZ44" s="8">
        <f t="shared" si="33"/>
        <v>0.27423982050768148</v>
      </c>
      <c r="BA44" s="8">
        <f t="shared" si="33"/>
        <v>7.1982233772245038E-2</v>
      </c>
      <c r="BB44" s="8">
        <f t="shared" si="33"/>
        <v>7.3969154663611411E-2</v>
      </c>
      <c r="BC44" s="8">
        <f t="shared" si="33"/>
        <v>7.8359815968092439E-2</v>
      </c>
      <c r="BD44" s="8">
        <f t="shared" si="33"/>
        <v>0.10956197791159678</v>
      </c>
      <c r="BE44" s="8">
        <f t="shared" si="33"/>
        <v>8.7817371750674028E-2</v>
      </c>
      <c r="BF44" s="8">
        <f t="shared" si="33"/>
        <v>2.7079679522284027E-2</v>
      </c>
      <c r="BG44" s="8">
        <f t="shared" si="33"/>
        <v>6.0562796192683968E-2</v>
      </c>
      <c r="BH44" s="8">
        <f t="shared" si="33"/>
        <v>8.3147579002612104E-2</v>
      </c>
      <c r="BI44" s="8">
        <f t="shared" si="33"/>
        <v>0.1302419417381829</v>
      </c>
      <c r="BJ44" s="8">
        <f t="shared" si="33"/>
        <v>0.22503414981865918</v>
      </c>
      <c r="BK44" s="8">
        <f t="shared" si="33"/>
        <v>0.19717156391412194</v>
      </c>
      <c r="BL44" s="8">
        <f t="shared" si="33"/>
        <v>0.20309544271143179</v>
      </c>
      <c r="BM44" s="8">
        <f t="shared" si="33"/>
        <v>8.6465199498784534E-2</v>
      </c>
      <c r="BN44" s="8">
        <f t="shared" si="33"/>
        <v>8.5910595600294043E-2</v>
      </c>
      <c r="BO44" s="8">
        <f t="shared" si="33"/>
        <v>0.20224166317337341</v>
      </c>
      <c r="BP44" s="8">
        <f t="shared" si="33"/>
        <v>9.2733133563488862E-2</v>
      </c>
      <c r="BQ44" s="8">
        <f t="shared" ref="BQ44:CP44" si="34">_xlfn.STDEV.S(BQ37:BQ42)</f>
        <v>4.8953461560799778E-2</v>
      </c>
      <c r="BR44" s="8">
        <f t="shared" si="34"/>
        <v>0.14439655125551001</v>
      </c>
      <c r="BS44" s="8">
        <f t="shared" si="34"/>
        <v>0.16586329231630298</v>
      </c>
      <c r="BT44" s="8">
        <f t="shared" si="34"/>
        <v>0.10172715840451149</v>
      </c>
      <c r="BU44" s="8">
        <f t="shared" si="34"/>
        <v>8.5362195905302918E-2</v>
      </c>
      <c r="BV44" s="8">
        <f t="shared" si="34"/>
        <v>5.717045478802936E-2</v>
      </c>
      <c r="BW44" s="8">
        <f t="shared" si="34"/>
        <v>7.5503233674452691E-2</v>
      </c>
      <c r="BX44" s="8">
        <f t="shared" si="34"/>
        <v>1.7995390743883812E-2</v>
      </c>
      <c r="BY44" s="8">
        <f t="shared" si="34"/>
        <v>0.11714774981367254</v>
      </c>
      <c r="BZ44" s="8">
        <f t="shared" si="34"/>
        <v>8.5762313688075104E-2</v>
      </c>
      <c r="CA44" s="8">
        <f t="shared" si="34"/>
        <v>6.1933644946724167E-2</v>
      </c>
      <c r="CB44" s="8">
        <f t="shared" si="34"/>
        <v>0.15183329806930335</v>
      </c>
      <c r="CC44" s="8">
        <f t="shared" si="34"/>
        <v>0.1044913730030311</v>
      </c>
      <c r="CD44" s="8">
        <f t="shared" si="34"/>
        <v>7.9003334076867882E-2</v>
      </c>
      <c r="CE44" s="8">
        <f t="shared" si="34"/>
        <v>0.10220526528438342</v>
      </c>
      <c r="CF44" s="8">
        <f t="shared" si="34"/>
        <v>6.5435737244649156E-2</v>
      </c>
      <c r="CG44" s="8">
        <f t="shared" si="34"/>
        <v>4.5610406509982361E-2</v>
      </c>
      <c r="CH44" s="8">
        <f t="shared" si="34"/>
        <v>7.8161809260172119E-2</v>
      </c>
      <c r="CI44" s="8">
        <f t="shared" si="34"/>
        <v>9.9230239525342726E-2</v>
      </c>
      <c r="CJ44" s="8">
        <f t="shared" si="34"/>
        <v>0.29940337568871211</v>
      </c>
      <c r="CK44" s="8">
        <f t="shared" si="34"/>
        <v>0.20069883967856633</v>
      </c>
      <c r="CL44" s="8">
        <f t="shared" si="34"/>
        <v>0.20728487154958733</v>
      </c>
      <c r="CM44" s="8">
        <f t="shared" si="34"/>
        <v>0.11226706041654425</v>
      </c>
      <c r="CN44" s="8">
        <f t="shared" si="34"/>
        <v>0.20728487154958733</v>
      </c>
      <c r="CO44" s="8">
        <f t="shared" si="34"/>
        <v>0.15053105519385199</v>
      </c>
      <c r="CP44" s="8">
        <f t="shared" si="34"/>
        <v>8.7078785397863498E-2</v>
      </c>
    </row>
    <row r="45" spans="1:95">
      <c r="A45" s="10"/>
    </row>
    <row r="46" spans="1:95">
      <c r="A46" s="133" t="s">
        <v>101</v>
      </c>
    </row>
    <row r="47" spans="1:95">
      <c r="A47" s="39" t="s">
        <v>121</v>
      </c>
      <c r="B47" s="42" t="s">
        <v>130</v>
      </c>
      <c r="C47" s="83">
        <f t="shared" ref="C47:AA47" si="35">LOG(C16)</f>
        <v>2.7242758696007892</v>
      </c>
      <c r="D47" s="84">
        <f t="shared" si="35"/>
        <v>5.2871228943714845</v>
      </c>
      <c r="E47" s="84">
        <f t="shared" si="35"/>
        <v>5.8062091521641968</v>
      </c>
      <c r="F47" s="84">
        <f t="shared" si="35"/>
        <v>5.0128119252606043</v>
      </c>
      <c r="G47" s="84">
        <f t="shared" si="35"/>
        <v>3.0561422620590522</v>
      </c>
      <c r="H47" s="84">
        <f t="shared" si="35"/>
        <v>4.4041834982126629</v>
      </c>
      <c r="I47" s="84">
        <f t="shared" si="35"/>
        <v>3.1436392352745433</v>
      </c>
      <c r="J47" s="84">
        <f t="shared" si="35"/>
        <v>4.5552758707693179</v>
      </c>
      <c r="K47" s="84">
        <f t="shared" si="35"/>
        <v>4.071882007306125</v>
      </c>
      <c r="L47" s="84">
        <f t="shared" si="35"/>
        <v>4.8417785438494745</v>
      </c>
      <c r="M47" s="84">
        <f t="shared" si="35"/>
        <v>3.7139103541289553</v>
      </c>
      <c r="N47" s="84">
        <f t="shared" si="35"/>
        <v>3.6255182289716377</v>
      </c>
      <c r="O47" s="84">
        <f t="shared" si="35"/>
        <v>4.2672656197625631</v>
      </c>
      <c r="P47" s="84">
        <f t="shared" si="35"/>
        <v>4.7637124381569889</v>
      </c>
      <c r="Q47" s="84">
        <f t="shared" si="35"/>
        <v>3.370883016777606</v>
      </c>
      <c r="R47" s="84">
        <f t="shared" si="35"/>
        <v>3.7092699609758308</v>
      </c>
      <c r="S47" s="84">
        <f t="shared" si="35"/>
        <v>3.9752019622578523</v>
      </c>
      <c r="T47" s="84">
        <f t="shared" si="35"/>
        <v>4.3426003104157722</v>
      </c>
      <c r="U47" s="84">
        <f t="shared" si="35"/>
        <v>4.3082014606510759</v>
      </c>
      <c r="V47" s="84">
        <f t="shared" si="35"/>
        <v>5.1063201121056396</v>
      </c>
      <c r="W47" s="84">
        <f t="shared" si="35"/>
        <v>4.5844443071651764</v>
      </c>
      <c r="X47" s="84">
        <f t="shared" si="35"/>
        <v>5.123247126608419</v>
      </c>
      <c r="Y47" s="84">
        <f t="shared" si="35"/>
        <v>5.3712877259422127</v>
      </c>
      <c r="Z47" s="84">
        <f t="shared" si="35"/>
        <v>2.3636119798921444</v>
      </c>
      <c r="AA47" s="84">
        <f t="shared" si="35"/>
        <v>4.4028457816557252</v>
      </c>
      <c r="AB47" s="117">
        <f>MEDIAN(C47:AA47)</f>
        <v>4.3426003104157722</v>
      </c>
      <c r="AC47" s="84">
        <f t="shared" ref="AC47:BH47" si="36">LOG(AC16)</f>
        <v>4.1083281942661838</v>
      </c>
      <c r="AD47" s="84">
        <f t="shared" si="36"/>
        <v>4.2593788283829639</v>
      </c>
      <c r="AE47" s="84">
        <f t="shared" si="36"/>
        <v>4.7793511393681305</v>
      </c>
      <c r="AF47" s="84">
        <f t="shared" si="36"/>
        <v>4.1897148423236805</v>
      </c>
      <c r="AG47" s="84">
        <f t="shared" si="36"/>
        <v>4.3467635993712568</v>
      </c>
      <c r="AH47" s="84">
        <f t="shared" si="36"/>
        <v>4.9124824488291043</v>
      </c>
      <c r="AI47" s="84">
        <f t="shared" si="36"/>
        <v>4.901016718623497</v>
      </c>
      <c r="AJ47" s="84">
        <f t="shared" si="36"/>
        <v>5.1922356125766864</v>
      </c>
      <c r="AK47" s="84">
        <f t="shared" si="36"/>
        <v>3.0429690733931802</v>
      </c>
      <c r="AL47" s="84">
        <f t="shared" si="36"/>
        <v>3.9214783803756901</v>
      </c>
      <c r="AM47" s="84">
        <f t="shared" si="36"/>
        <v>4.4327288399232216</v>
      </c>
      <c r="AN47" s="84">
        <f t="shared" si="36"/>
        <v>4.0541532403456939</v>
      </c>
      <c r="AO47" s="84">
        <f t="shared" si="36"/>
        <v>2.9003671286564705</v>
      </c>
      <c r="AP47" s="84">
        <f t="shared" si="36"/>
        <v>3.3087777736647213</v>
      </c>
      <c r="AQ47" s="84">
        <f t="shared" si="36"/>
        <v>4.3599492563828655</v>
      </c>
      <c r="AR47" s="84">
        <f t="shared" si="36"/>
        <v>4.0883133155880964</v>
      </c>
      <c r="AS47" s="84">
        <f t="shared" si="36"/>
        <v>4.506626780146239</v>
      </c>
      <c r="AT47" s="84">
        <f t="shared" si="36"/>
        <v>4.4151069564880698</v>
      </c>
      <c r="AU47" s="84">
        <f t="shared" si="36"/>
        <v>3.8294324336175984</v>
      </c>
      <c r="AV47" s="84">
        <f t="shared" si="36"/>
        <v>4.2107731804701745</v>
      </c>
      <c r="AW47" s="84">
        <f t="shared" si="36"/>
        <v>3.5384480517102173</v>
      </c>
      <c r="AX47" s="84">
        <f t="shared" si="36"/>
        <v>3.1238516409670858</v>
      </c>
      <c r="AY47" s="84">
        <f t="shared" si="36"/>
        <v>3.1781132523146316</v>
      </c>
      <c r="AZ47" s="84">
        <f t="shared" si="36"/>
        <v>3.153814864344529</v>
      </c>
      <c r="BA47" s="84">
        <f t="shared" si="36"/>
        <v>3.0842186867392387</v>
      </c>
      <c r="BB47" s="84">
        <f t="shared" si="36"/>
        <v>3.6514718521990424</v>
      </c>
      <c r="BC47" s="84">
        <f t="shared" si="36"/>
        <v>3.8846254632562345</v>
      </c>
      <c r="BD47" s="84">
        <f t="shared" si="36"/>
        <v>3.0390173219974121</v>
      </c>
      <c r="BE47" s="84">
        <f t="shared" si="36"/>
        <v>4.6987614929379653</v>
      </c>
      <c r="BF47" s="84">
        <f t="shared" si="36"/>
        <v>4.2760479932968636</v>
      </c>
      <c r="BG47" s="84">
        <f t="shared" si="36"/>
        <v>4.2457840170775247</v>
      </c>
      <c r="BH47" s="84">
        <f t="shared" si="36"/>
        <v>3.9363629195977445</v>
      </c>
      <c r="BI47" s="84">
        <f t="shared" ref="BI47:CP47" si="37">LOG(BI16)</f>
        <v>4.5575192320570945</v>
      </c>
      <c r="BJ47" s="84">
        <f t="shared" si="37"/>
        <v>2.8779469516291885</v>
      </c>
      <c r="BK47" s="84">
        <f t="shared" si="37"/>
        <v>3.1373541113707328</v>
      </c>
      <c r="BL47" s="84">
        <f t="shared" si="37"/>
        <v>3.0884904701823963</v>
      </c>
      <c r="BM47" s="84">
        <f t="shared" si="37"/>
        <v>3.990250032927817</v>
      </c>
      <c r="BN47" s="84">
        <f t="shared" si="37"/>
        <v>4.0130479961152314</v>
      </c>
      <c r="BO47" s="84">
        <f t="shared" si="37"/>
        <v>2.3159703454569178</v>
      </c>
      <c r="BP47" s="84">
        <f t="shared" si="37"/>
        <v>2.9380190974762104</v>
      </c>
      <c r="BQ47" s="84">
        <f t="shared" si="37"/>
        <v>3.7028611705729295</v>
      </c>
      <c r="BR47" s="84">
        <f t="shared" si="37"/>
        <v>3.3905818785504351</v>
      </c>
      <c r="BS47" s="84">
        <f t="shared" si="37"/>
        <v>3.0813473078041325</v>
      </c>
      <c r="BT47" s="84">
        <f t="shared" si="37"/>
        <v>4.096875268059688</v>
      </c>
      <c r="BU47" s="84">
        <f t="shared" si="37"/>
        <v>3.1309766916056172</v>
      </c>
      <c r="BV47" s="84">
        <f t="shared" si="37"/>
        <v>3.8031838885353419</v>
      </c>
      <c r="BW47" s="84">
        <f t="shared" si="37"/>
        <v>4.6571706291821089</v>
      </c>
      <c r="BX47" s="84">
        <f t="shared" si="37"/>
        <v>4.2540160608610362</v>
      </c>
      <c r="BY47" s="84">
        <f t="shared" si="37"/>
        <v>4.4229179807676626</v>
      </c>
      <c r="BZ47" s="84">
        <f t="shared" si="37"/>
        <v>4.7457694193912641</v>
      </c>
      <c r="CA47" s="84">
        <f t="shared" si="37"/>
        <v>4.767326580782921</v>
      </c>
      <c r="CB47" s="84">
        <f t="shared" si="37"/>
        <v>4.6299801277337655</v>
      </c>
      <c r="CC47" s="84">
        <f t="shared" si="37"/>
        <v>4.5149858104940366</v>
      </c>
      <c r="CD47" s="84">
        <f t="shared" si="37"/>
        <v>5.1819921369645403</v>
      </c>
      <c r="CE47" s="84">
        <f t="shared" si="37"/>
        <v>4.665665402907714</v>
      </c>
      <c r="CF47" s="84">
        <f t="shared" si="37"/>
        <v>4.6632107722565115</v>
      </c>
      <c r="CG47" s="84">
        <f t="shared" si="37"/>
        <v>5.5370644037974461</v>
      </c>
      <c r="CH47" s="84">
        <f t="shared" si="37"/>
        <v>5.3101174108446063</v>
      </c>
      <c r="CI47" s="84">
        <f t="shared" si="37"/>
        <v>5.3904652500528014</v>
      </c>
      <c r="CJ47" s="84">
        <f t="shared" si="37"/>
        <v>2.5263392773898441</v>
      </c>
      <c r="CK47" s="84">
        <f t="shared" si="37"/>
        <v>2.6117233080073419</v>
      </c>
      <c r="CL47" s="84">
        <f t="shared" si="37"/>
        <v>3.2593549273080344</v>
      </c>
      <c r="CM47" s="84">
        <f t="shared" si="37"/>
        <v>3.4592416648780819</v>
      </c>
      <c r="CN47" s="84">
        <f t="shared" si="37"/>
        <v>3.2593549273080344</v>
      </c>
      <c r="CO47" s="84">
        <f t="shared" si="37"/>
        <v>3.2837533833325265</v>
      </c>
      <c r="CP47" s="84">
        <f t="shared" si="37"/>
        <v>2.8102325179950842</v>
      </c>
      <c r="CQ47" s="117">
        <f>MEDIAN(AC47:CP47)</f>
        <v>4.0336006182304622</v>
      </c>
    </row>
    <row r="48" spans="1:95">
      <c r="A48" s="39" t="s">
        <v>122</v>
      </c>
      <c r="B48" s="42" t="s">
        <v>130</v>
      </c>
      <c r="C48" s="83">
        <f t="shared" ref="C48:BO48" si="38">LOG(C17)</f>
        <v>2.5611013836490559</v>
      </c>
      <c r="D48" s="84">
        <f t="shared" si="38"/>
        <v>5.3816131952642667</v>
      </c>
      <c r="E48" s="84">
        <f t="shared" si="38"/>
        <v>5.7538786155667099</v>
      </c>
      <c r="F48" s="84">
        <f t="shared" si="38"/>
        <v>5.0377212400272029</v>
      </c>
      <c r="G48" s="84">
        <f t="shared" si="38"/>
        <v>3.238297067875394</v>
      </c>
      <c r="H48" s="84">
        <f t="shared" si="38"/>
        <v>4.338237298881058</v>
      </c>
      <c r="I48" s="84">
        <f t="shared" si="38"/>
        <v>3.0849335749367159</v>
      </c>
      <c r="J48" s="84">
        <f t="shared" si="38"/>
        <v>4.560910443007641</v>
      </c>
      <c r="K48" s="84">
        <f t="shared" si="38"/>
        <v>4.296358004741391</v>
      </c>
      <c r="L48" s="84">
        <f t="shared" si="38"/>
        <v>5.0633408661380646</v>
      </c>
      <c r="M48" s="84">
        <f t="shared" si="38"/>
        <v>3.7102866477028908</v>
      </c>
      <c r="N48" s="84">
        <f t="shared" si="38"/>
        <v>3.7096091210726487</v>
      </c>
      <c r="O48" s="84">
        <f t="shared" si="38"/>
        <v>4.2540644529143377</v>
      </c>
      <c r="P48" s="84">
        <f t="shared" si="38"/>
        <v>4.7930356488132064</v>
      </c>
      <c r="Q48" s="84">
        <f t="shared" si="38"/>
        <v>3.3918169236132489</v>
      </c>
      <c r="R48" s="84">
        <f t="shared" si="38"/>
        <v>3.5011962420270888</v>
      </c>
      <c r="S48" s="84">
        <f t="shared" si="38"/>
        <v>3.7726883546821415</v>
      </c>
      <c r="T48" s="84">
        <f t="shared" si="38"/>
        <v>4.1523495083127262</v>
      </c>
      <c r="U48" s="84">
        <f t="shared" si="38"/>
        <v>4.229118455328952</v>
      </c>
      <c r="V48" s="84">
        <f t="shared" si="38"/>
        <v>4.8790040770409444</v>
      </c>
      <c r="W48" s="84">
        <f t="shared" si="38"/>
        <v>4.3137196194950933</v>
      </c>
      <c r="X48" s="84">
        <f t="shared" si="38"/>
        <v>4.9720407579584842</v>
      </c>
      <c r="Y48" s="84">
        <f t="shared" si="38"/>
        <v>5.4553322153486459</v>
      </c>
      <c r="Z48" s="84">
        <f t="shared" si="38"/>
        <v>2.1003705451175629</v>
      </c>
      <c r="AA48" s="84">
        <f t="shared" si="38"/>
        <v>4.323272731248478</v>
      </c>
      <c r="AB48" s="117">
        <f t="shared" ref="AB48:AB52" si="39">MEDIAN(C48:AA48)</f>
        <v>4.296358004741391</v>
      </c>
      <c r="AC48" s="84">
        <f t="shared" si="38"/>
        <v>4.1469338345627635</v>
      </c>
      <c r="AD48" s="84">
        <f t="shared" si="38"/>
        <v>4.2137036536801791</v>
      </c>
      <c r="AE48" s="84">
        <f t="shared" si="38"/>
        <v>4.7499758069776616</v>
      </c>
      <c r="AF48" s="84">
        <f t="shared" si="38"/>
        <v>4.1798676312704064</v>
      </c>
      <c r="AG48" s="84">
        <f t="shared" si="38"/>
        <v>4.230704313612569</v>
      </c>
      <c r="AH48" s="84">
        <f t="shared" si="38"/>
        <v>4.9483298158575506</v>
      </c>
      <c r="AI48" s="84">
        <f t="shared" si="38"/>
        <v>5.0087066034453089</v>
      </c>
      <c r="AJ48" s="84">
        <f t="shared" si="38"/>
        <v>5.2417730315752173</v>
      </c>
      <c r="AK48" s="84">
        <f t="shared" si="38"/>
        <v>2.989004615698537</v>
      </c>
      <c r="AL48" s="84">
        <f t="shared" si="38"/>
        <v>3.9069811532288541</v>
      </c>
      <c r="AM48" s="84">
        <f t="shared" si="38"/>
        <v>4.545616332913136</v>
      </c>
      <c r="AN48" s="84">
        <f t="shared" si="38"/>
        <v>4.2256710430811442</v>
      </c>
      <c r="AO48" s="84">
        <f t="shared" si="38"/>
        <v>2.959994838328416</v>
      </c>
      <c r="AP48" s="84">
        <f t="shared" si="38"/>
        <v>3.3096301674258988</v>
      </c>
      <c r="AQ48" s="84">
        <f t="shared" si="38"/>
        <v>4.4757438067481257</v>
      </c>
      <c r="AR48" s="84">
        <f t="shared" si="38"/>
        <v>4.2558993667304597</v>
      </c>
      <c r="AS48" s="84">
        <f t="shared" si="38"/>
        <v>4.6381596671426246</v>
      </c>
      <c r="AT48" s="84">
        <f t="shared" si="38"/>
        <v>4.681648197719503</v>
      </c>
      <c r="AU48" s="84">
        <f t="shared" si="38"/>
        <v>3.8416097121684354</v>
      </c>
      <c r="AV48" s="84">
        <f t="shared" si="38"/>
        <v>4.3467831432581221</v>
      </c>
      <c r="AW48" s="84">
        <f t="shared" si="38"/>
        <v>3.6707095952237969</v>
      </c>
      <c r="AX48" s="84">
        <f t="shared" si="38"/>
        <v>2.8686444383948255</v>
      </c>
      <c r="AY48" s="84">
        <f t="shared" si="38"/>
        <v>3.3872118003137306</v>
      </c>
      <c r="AZ48" s="84">
        <f t="shared" si="38"/>
        <v>3.3546845539547285</v>
      </c>
      <c r="BA48" s="84">
        <f t="shared" si="38"/>
        <v>2.9041743682841634</v>
      </c>
      <c r="BB48" s="84">
        <f t="shared" si="38"/>
        <v>3.7359181165312969</v>
      </c>
      <c r="BC48" s="84">
        <f t="shared" si="38"/>
        <v>3.890532791927745</v>
      </c>
      <c r="BD48" s="84">
        <f t="shared" si="38"/>
        <v>3.2027606873931997</v>
      </c>
      <c r="BE48" s="84">
        <f t="shared" si="38"/>
        <v>4.8277697766873615</v>
      </c>
      <c r="BF48" s="84">
        <f t="shared" si="38"/>
        <v>4.4879298522318685</v>
      </c>
      <c r="BG48" s="84">
        <f t="shared" si="38"/>
        <v>4.5149592741087234</v>
      </c>
      <c r="BH48" s="84">
        <f t="shared" si="38"/>
        <v>4.1360860973840978</v>
      </c>
      <c r="BI48" s="84">
        <f t="shared" si="38"/>
        <v>4.7333738369447076</v>
      </c>
      <c r="BJ48" s="84">
        <f t="shared" si="38"/>
        <v>2.8555191556678001</v>
      </c>
      <c r="BK48" s="84">
        <f t="shared" si="38"/>
        <v>3.2487087356009177</v>
      </c>
      <c r="BL48" s="84">
        <f t="shared" si="38"/>
        <v>3.2636360685881081</v>
      </c>
      <c r="BM48" s="84">
        <f t="shared" si="38"/>
        <v>4.0910687315000125</v>
      </c>
      <c r="BN48" s="84">
        <f t="shared" si="38"/>
        <v>4.0847906914079051</v>
      </c>
      <c r="BO48" s="84">
        <f t="shared" si="38"/>
        <v>2.4742162640762553</v>
      </c>
      <c r="BP48" s="84">
        <f t="shared" ref="BP48:CP48" si="40">LOG(BP17)</f>
        <v>3.0322157032979815</v>
      </c>
      <c r="BQ48" s="84">
        <f t="shared" si="40"/>
        <v>3.668665415454492</v>
      </c>
      <c r="BR48" s="84">
        <f t="shared" si="40"/>
        <v>3.3119656603683665</v>
      </c>
      <c r="BS48" s="84">
        <f t="shared" si="40"/>
        <v>3.0806264869218056</v>
      </c>
      <c r="BT48" s="84">
        <f t="shared" si="40"/>
        <v>4.0496056125949735</v>
      </c>
      <c r="BU48" s="84">
        <f t="shared" si="40"/>
        <v>3.1245042248342823</v>
      </c>
      <c r="BV48" s="84">
        <f t="shared" si="40"/>
        <v>3.8121777741587537</v>
      </c>
      <c r="BW48" s="84">
        <f t="shared" si="40"/>
        <v>4.6157291677920638</v>
      </c>
      <c r="BX48" s="84">
        <f t="shared" si="40"/>
        <v>4.2222741497965623</v>
      </c>
      <c r="BY48" s="84">
        <f t="shared" si="40"/>
        <v>4.4294615767572276</v>
      </c>
      <c r="BZ48" s="84">
        <f t="shared" si="40"/>
        <v>4.6931639354182479</v>
      </c>
      <c r="CA48" s="84">
        <f t="shared" si="40"/>
        <v>4.7649752162403765</v>
      </c>
      <c r="CB48" s="84">
        <f t="shared" si="40"/>
        <v>4.4313155065355252</v>
      </c>
      <c r="CC48" s="84">
        <f t="shared" si="40"/>
        <v>4.5089200718614011</v>
      </c>
      <c r="CD48" s="84">
        <f t="shared" si="40"/>
        <v>5.2329478527686915</v>
      </c>
      <c r="CE48" s="84">
        <f t="shared" si="40"/>
        <v>4.7301036651544202</v>
      </c>
      <c r="CF48" s="84">
        <f t="shared" si="40"/>
        <v>4.6670231155984263</v>
      </c>
      <c r="CG48" s="84">
        <f t="shared" si="40"/>
        <v>5.5532760461370998</v>
      </c>
      <c r="CH48" s="84">
        <f t="shared" si="40"/>
        <v>5.2512706785989627</v>
      </c>
      <c r="CI48" s="84">
        <f t="shared" si="40"/>
        <v>5.3658004895782527</v>
      </c>
      <c r="CJ48" s="84">
        <f t="shared" si="40"/>
        <v>2.5976951859255122</v>
      </c>
      <c r="CK48" s="84">
        <f t="shared" si="40"/>
        <v>2.840106094456758</v>
      </c>
      <c r="CL48" s="84">
        <f t="shared" si="40"/>
        <v>3.6118294794983736</v>
      </c>
      <c r="CM48" s="84">
        <f t="shared" si="40"/>
        <v>3.5844443071651764</v>
      </c>
      <c r="CN48" s="84">
        <f t="shared" si="40"/>
        <v>3.6118294794983736</v>
      </c>
      <c r="CO48" s="84">
        <f t="shared" si="40"/>
        <v>3.09377178149873</v>
      </c>
      <c r="CP48" s="84">
        <f t="shared" si="40"/>
        <v>2.7944880466591697</v>
      </c>
      <c r="CQ48" s="117">
        <f t="shared" ref="CQ48:CQ52" si="41">MEDIAN(AC48:CP48)</f>
        <v>4.1135774144420552</v>
      </c>
    </row>
    <row r="49" spans="1:95">
      <c r="A49" s="39" t="s">
        <v>123</v>
      </c>
      <c r="B49" s="42" t="s">
        <v>131</v>
      </c>
      <c r="C49" s="83">
        <f t="shared" ref="C49:BO49" si="42">LOG(C18)</f>
        <v>2.4742162640762553</v>
      </c>
      <c r="D49" s="84">
        <f t="shared" si="42"/>
        <v>5.3731695589037214</v>
      </c>
      <c r="E49" s="84">
        <f t="shared" si="42"/>
        <v>5.6963345423849834</v>
      </c>
      <c r="F49" s="84">
        <f t="shared" si="42"/>
        <v>4.8339690060789025</v>
      </c>
      <c r="G49" s="84">
        <f t="shared" si="42"/>
        <v>3.3756636139608855</v>
      </c>
      <c r="H49" s="84">
        <f t="shared" si="42"/>
        <v>4.1261638888058387</v>
      </c>
      <c r="I49" s="84">
        <f t="shared" si="42"/>
        <v>3.0086001717619175</v>
      </c>
      <c r="J49" s="84">
        <f t="shared" si="42"/>
        <v>4.5745405412044384</v>
      </c>
      <c r="K49" s="84">
        <f t="shared" si="42"/>
        <v>4.4437478744709065</v>
      </c>
      <c r="L49" s="84">
        <f t="shared" si="42"/>
        <v>5.2368545533550872</v>
      </c>
      <c r="M49" s="84">
        <f t="shared" si="42"/>
        <v>3.8029104894190398</v>
      </c>
      <c r="N49" s="84">
        <f t="shared" si="42"/>
        <v>3.8102325179950842</v>
      </c>
      <c r="O49" s="84">
        <f t="shared" si="42"/>
        <v>4.2534591643398381</v>
      </c>
      <c r="P49" s="84">
        <f t="shared" si="42"/>
        <v>4.9421221954280687</v>
      </c>
      <c r="Q49" s="84">
        <f t="shared" si="42"/>
        <v>3.5814945422908995</v>
      </c>
      <c r="R49" s="84">
        <f t="shared" si="42"/>
        <v>3.4061994236633129</v>
      </c>
      <c r="S49" s="84">
        <f t="shared" si="42"/>
        <v>3.611298362296429</v>
      </c>
      <c r="T49" s="84">
        <f t="shared" si="42"/>
        <v>3.9053640687668922</v>
      </c>
      <c r="U49" s="84">
        <f t="shared" si="42"/>
        <v>4.2142608667775416</v>
      </c>
      <c r="V49" s="84">
        <f t="shared" si="42"/>
        <v>4.8037847614443416</v>
      </c>
      <c r="W49" s="84">
        <f t="shared" si="42"/>
        <v>4.3263973133471127</v>
      </c>
      <c r="X49" s="84">
        <f t="shared" si="42"/>
        <v>4.9072393288920031</v>
      </c>
      <c r="Y49" s="84">
        <f t="shared" si="42"/>
        <v>5.5450298713983095</v>
      </c>
      <c r="Z49" s="84">
        <f t="shared" si="42"/>
        <v>2.3502480183341627</v>
      </c>
      <c r="AA49" s="84">
        <f t="shared" si="42"/>
        <v>4.4348402532975735</v>
      </c>
      <c r="AB49" s="117">
        <f t="shared" si="39"/>
        <v>4.2534591643398381</v>
      </c>
      <c r="AC49" s="84">
        <f t="shared" si="42"/>
        <v>3.9337908841434199</v>
      </c>
      <c r="AD49" s="84">
        <f t="shared" si="42"/>
        <v>4.1190578375232372</v>
      </c>
      <c r="AE49" s="84">
        <f t="shared" si="42"/>
        <v>4.6199068703249626</v>
      </c>
      <c r="AF49" s="84">
        <f t="shared" si="42"/>
        <v>4.1365303235313</v>
      </c>
      <c r="AG49" s="84">
        <f t="shared" si="42"/>
        <v>4.4625776687897085</v>
      </c>
      <c r="AH49" s="84">
        <f t="shared" si="42"/>
        <v>4.8020892578817325</v>
      </c>
      <c r="AI49" s="84">
        <f t="shared" si="42"/>
        <v>4.9990217364560605</v>
      </c>
      <c r="AJ49" s="84">
        <f t="shared" si="42"/>
        <v>5.2049931219986911</v>
      </c>
      <c r="AK49" s="84">
        <f t="shared" si="42"/>
        <v>2.9206450014067875</v>
      </c>
      <c r="AL49" s="84">
        <f t="shared" si="42"/>
        <v>3.7575478534692439</v>
      </c>
      <c r="AM49" s="84">
        <f t="shared" si="42"/>
        <v>4.5893127648284224</v>
      </c>
      <c r="AN49" s="84">
        <f t="shared" si="42"/>
        <v>4.4718049315750372</v>
      </c>
      <c r="AO49" s="84">
        <f t="shared" si="42"/>
        <v>2.6314437690131722</v>
      </c>
      <c r="AP49" s="84">
        <f t="shared" si="42"/>
        <v>3.1408221801093106</v>
      </c>
      <c r="AQ49" s="84">
        <f t="shared" si="42"/>
        <v>4.4316853446860121</v>
      </c>
      <c r="AR49" s="84">
        <f t="shared" si="42"/>
        <v>4.2219616515050413</v>
      </c>
      <c r="AS49" s="84">
        <f t="shared" si="42"/>
        <v>4.8085283039394433</v>
      </c>
      <c r="AT49" s="84">
        <f t="shared" si="42"/>
        <v>4.7737937562745651</v>
      </c>
      <c r="AU49" s="84">
        <f t="shared" si="42"/>
        <v>4.0890922558427194</v>
      </c>
      <c r="AV49" s="84">
        <f t="shared" si="42"/>
        <v>4.5124175486008395</v>
      </c>
      <c r="AW49" s="84">
        <f t="shared" si="42"/>
        <v>3.8900855267163252</v>
      </c>
      <c r="AX49" s="84">
        <f t="shared" si="42"/>
        <v>3.1728946977521764</v>
      </c>
      <c r="AY49" s="84">
        <f t="shared" si="42"/>
        <v>3.7256666603141784</v>
      </c>
      <c r="AZ49" s="84">
        <f t="shared" si="42"/>
        <v>3.2301933788690458</v>
      </c>
      <c r="BA49" s="84">
        <f t="shared" si="42"/>
        <v>2.9790929006383262</v>
      </c>
      <c r="BB49" s="84">
        <f t="shared" si="42"/>
        <v>3.7715874808812555</v>
      </c>
      <c r="BC49" s="84">
        <f t="shared" si="42"/>
        <v>3.9528408566757016</v>
      </c>
      <c r="BD49" s="84">
        <f t="shared" si="42"/>
        <v>2.9561684304753633</v>
      </c>
      <c r="BE49" s="84">
        <f t="shared" si="42"/>
        <v>4.8039348498638414</v>
      </c>
      <c r="BF49" s="84">
        <f t="shared" si="42"/>
        <v>4.551413398581146</v>
      </c>
      <c r="BG49" s="84">
        <f t="shared" si="42"/>
        <v>4.6421379346557812</v>
      </c>
      <c r="BH49" s="84">
        <f t="shared" si="42"/>
        <v>4.2984600694614521</v>
      </c>
      <c r="BI49" s="84">
        <f t="shared" si="42"/>
        <v>4.89330115464307</v>
      </c>
      <c r="BJ49" s="84">
        <f t="shared" si="42"/>
        <v>2.8876173003357359</v>
      </c>
      <c r="BK49" s="84">
        <f t="shared" si="42"/>
        <v>3.1328997699444829</v>
      </c>
      <c r="BL49" s="84">
        <f t="shared" si="42"/>
        <v>3.2232362731029975</v>
      </c>
      <c r="BM49" s="84">
        <f t="shared" si="42"/>
        <v>4.2120010575122899</v>
      </c>
      <c r="BN49" s="84">
        <f t="shared" si="42"/>
        <v>4.159597267987408</v>
      </c>
      <c r="BO49" s="84">
        <f t="shared" si="42"/>
        <v>2.3636119798921444</v>
      </c>
      <c r="BP49" s="84">
        <f t="shared" ref="BP49:CP49" si="43">LOG(BP18)</f>
        <v>3.0034605321095067</v>
      </c>
      <c r="BQ49" s="84">
        <f t="shared" si="43"/>
        <v>3.5469126431812423</v>
      </c>
      <c r="BR49" s="84">
        <f t="shared" si="43"/>
        <v>3.2968844755385471</v>
      </c>
      <c r="BS49" s="84">
        <f t="shared" si="43"/>
        <v>2.9489017609702137</v>
      </c>
      <c r="BT49" s="84">
        <f t="shared" si="43"/>
        <v>3.9812294874200007</v>
      </c>
      <c r="BU49" s="84">
        <f t="shared" si="43"/>
        <v>3.1878026387184195</v>
      </c>
      <c r="BV49" s="84">
        <f t="shared" si="43"/>
        <v>3.6701530451921802</v>
      </c>
      <c r="BW49" s="84">
        <f t="shared" si="43"/>
        <v>4.5058009319495014</v>
      </c>
      <c r="BX49" s="84">
        <f t="shared" si="43"/>
        <v>4.2433357485598755</v>
      </c>
      <c r="BY49" s="84">
        <f t="shared" si="43"/>
        <v>4.4467390453339339</v>
      </c>
      <c r="BZ49" s="84">
        <f t="shared" si="43"/>
        <v>4.5855622410293595</v>
      </c>
      <c r="CA49" s="84">
        <f t="shared" si="43"/>
        <v>4.6492764295152149</v>
      </c>
      <c r="CB49" s="84">
        <f t="shared" si="43"/>
        <v>4.6709783389504365</v>
      </c>
      <c r="CC49" s="84">
        <f t="shared" si="43"/>
        <v>4.6239002440274959</v>
      </c>
      <c r="CD49" s="84">
        <f t="shared" si="43"/>
        <v>5.2334961499739538</v>
      </c>
      <c r="CE49" s="84">
        <f t="shared" si="43"/>
        <v>4.811675525366911</v>
      </c>
      <c r="CF49" s="84">
        <f t="shared" si="43"/>
        <v>4.5895810203398648</v>
      </c>
      <c r="CG49" s="84">
        <f t="shared" si="43"/>
        <v>5.5310533554832988</v>
      </c>
      <c r="CH49" s="84">
        <f t="shared" si="43"/>
        <v>5.4769185366568802</v>
      </c>
      <c r="CI49" s="84">
        <f t="shared" si="43"/>
        <v>5.4910856189659158</v>
      </c>
      <c r="CJ49" s="84">
        <f t="shared" si="43"/>
        <v>2.4623979978989561</v>
      </c>
      <c r="CK49" s="84">
        <f t="shared" si="43"/>
        <v>2.7604224834232118</v>
      </c>
      <c r="CL49" s="84">
        <f t="shared" si="43"/>
        <v>3.1878026387184195</v>
      </c>
      <c r="CM49" s="84">
        <f t="shared" si="43"/>
        <v>3.4592416648780819</v>
      </c>
      <c r="CN49" s="84">
        <f t="shared" si="43"/>
        <v>3.1878026387184195</v>
      </c>
      <c r="CO49" s="84">
        <f t="shared" si="43"/>
        <v>3.0784568180532927</v>
      </c>
      <c r="CP49" s="84">
        <f t="shared" si="43"/>
        <v>2.5611013836490559</v>
      </c>
      <c r="CQ49" s="117">
        <f t="shared" si="41"/>
        <v>4.1277940805272682</v>
      </c>
    </row>
    <row r="50" spans="1:95">
      <c r="A50" s="39" t="s">
        <v>124</v>
      </c>
      <c r="B50" s="42" t="s">
        <v>131</v>
      </c>
      <c r="C50" s="83">
        <f t="shared" ref="C50:BO50" si="44">LOG(C19)</f>
        <v>2.5646660642520893</v>
      </c>
      <c r="D50" s="84">
        <f t="shared" si="44"/>
        <v>5.2316454135161514</v>
      </c>
      <c r="E50" s="84">
        <f t="shared" si="44"/>
        <v>5.6054418866132885</v>
      </c>
      <c r="F50" s="84">
        <f t="shared" si="44"/>
        <v>4.7331972651065692</v>
      </c>
      <c r="G50" s="84">
        <f t="shared" si="44"/>
        <v>3.2286569581089353</v>
      </c>
      <c r="H50" s="84">
        <f t="shared" si="44"/>
        <v>4.0489853025707108</v>
      </c>
      <c r="I50" s="84">
        <f t="shared" si="44"/>
        <v>2.9138138523837167</v>
      </c>
      <c r="J50" s="84">
        <f t="shared" si="44"/>
        <v>4.4458531896538753</v>
      </c>
      <c r="K50" s="84">
        <f t="shared" si="44"/>
        <v>4.1202447955463652</v>
      </c>
      <c r="L50" s="84">
        <f t="shared" si="44"/>
        <v>5.0778981838774468</v>
      </c>
      <c r="M50" s="84">
        <f t="shared" si="44"/>
        <v>3.6403820447095683</v>
      </c>
      <c r="N50" s="84">
        <f t="shared" si="44"/>
        <v>3.6495295659478191</v>
      </c>
      <c r="O50" s="84">
        <f t="shared" si="44"/>
        <v>4.1993986023596168</v>
      </c>
      <c r="P50" s="84">
        <f t="shared" si="44"/>
        <v>4.8113403698618509</v>
      </c>
      <c r="Q50" s="84">
        <f t="shared" si="44"/>
        <v>3.6567687792660166</v>
      </c>
      <c r="R50" s="84">
        <f t="shared" si="44"/>
        <v>3.2931414834509307</v>
      </c>
      <c r="S50" s="84">
        <f t="shared" si="44"/>
        <v>3.5590683340345368</v>
      </c>
      <c r="T50" s="84">
        <f t="shared" si="44"/>
        <v>3.9109977163106429</v>
      </c>
      <c r="U50" s="84">
        <f t="shared" si="44"/>
        <v>4.1639362092269794</v>
      </c>
      <c r="V50" s="84">
        <f t="shared" si="44"/>
        <v>4.7927417858347487</v>
      </c>
      <c r="W50" s="84">
        <f t="shared" si="44"/>
        <v>4.2043913319192994</v>
      </c>
      <c r="X50" s="84">
        <f t="shared" si="44"/>
        <v>4.8979238493976105</v>
      </c>
      <c r="Y50" s="84">
        <f t="shared" si="44"/>
        <v>5.4914205297462519</v>
      </c>
      <c r="Z50" s="84">
        <f t="shared" si="44"/>
        <v>2.3180633349627615</v>
      </c>
      <c r="AA50" s="84">
        <f t="shared" si="44"/>
        <v>4.5795206545846447</v>
      </c>
      <c r="AB50" s="117">
        <f t="shared" si="39"/>
        <v>4.1639362092269794</v>
      </c>
      <c r="AC50" s="84">
        <f t="shared" si="44"/>
        <v>4.1581814983514747</v>
      </c>
      <c r="AD50" s="84">
        <f t="shared" si="44"/>
        <v>3.9898501096031804</v>
      </c>
      <c r="AE50" s="84">
        <f t="shared" si="44"/>
        <v>4.6396159614414634</v>
      </c>
      <c r="AF50" s="84">
        <f t="shared" si="44"/>
        <v>4.288941933852878</v>
      </c>
      <c r="AG50" s="84">
        <f t="shared" si="44"/>
        <v>4.4762808060255406</v>
      </c>
      <c r="AH50" s="84">
        <f t="shared" si="44"/>
        <v>4.860517677461746</v>
      </c>
      <c r="AI50" s="84">
        <f t="shared" si="44"/>
        <v>5.0270191736215697</v>
      </c>
      <c r="AJ50" s="84">
        <f t="shared" si="44"/>
        <v>5.254700307255832</v>
      </c>
      <c r="AK50" s="84">
        <f t="shared" si="44"/>
        <v>2.8549130223078554</v>
      </c>
      <c r="AL50" s="84">
        <f t="shared" si="44"/>
        <v>3.9107310980433807</v>
      </c>
      <c r="AM50" s="84">
        <f t="shared" si="44"/>
        <v>4.6371894221487615</v>
      </c>
      <c r="AN50" s="84">
        <f t="shared" si="44"/>
        <v>4.4453083464235847</v>
      </c>
      <c r="AO50" s="84">
        <f t="shared" si="44"/>
        <v>2.847572659142112</v>
      </c>
      <c r="AP50" s="84">
        <f t="shared" si="44"/>
        <v>3.1351326513767748</v>
      </c>
      <c r="AQ50" s="84">
        <f t="shared" si="44"/>
        <v>4.5801034852379257</v>
      </c>
      <c r="AR50" s="84">
        <f t="shared" si="44"/>
        <v>4.2742502425162145</v>
      </c>
      <c r="AS50" s="84">
        <f t="shared" si="44"/>
        <v>4.7729594750302571</v>
      </c>
      <c r="AT50" s="84">
        <f t="shared" si="44"/>
        <v>4.7607164374741995</v>
      </c>
      <c r="AU50" s="84">
        <f t="shared" si="44"/>
        <v>4.0933866600013706</v>
      </c>
      <c r="AV50" s="84">
        <f t="shared" si="44"/>
        <v>4.4316371227844611</v>
      </c>
      <c r="AW50" s="84">
        <f t="shared" si="44"/>
        <v>3.7076553235311871</v>
      </c>
      <c r="AX50" s="84">
        <f t="shared" si="44"/>
        <v>2.8943160626844384</v>
      </c>
      <c r="AY50" s="84">
        <f t="shared" si="44"/>
        <v>3.4192947217534604</v>
      </c>
      <c r="AZ50" s="84">
        <f t="shared" si="44"/>
        <v>2.989004615698537</v>
      </c>
      <c r="BA50" s="84">
        <f t="shared" si="44"/>
        <v>2.8662873390841948</v>
      </c>
      <c r="BB50" s="84">
        <f t="shared" si="44"/>
        <v>3.6407794773448572</v>
      </c>
      <c r="BC50" s="84">
        <f t="shared" si="44"/>
        <v>3.9751559784066894</v>
      </c>
      <c r="BD50" s="84">
        <f t="shared" si="44"/>
        <v>3.1743505974793798</v>
      </c>
      <c r="BE50" s="84">
        <f t="shared" si="44"/>
        <v>4.8404323203562871</v>
      </c>
      <c r="BF50" s="84">
        <f t="shared" si="44"/>
        <v>4.7539811711278679</v>
      </c>
      <c r="BG50" s="84">
        <f t="shared" si="44"/>
        <v>4.528235171497264</v>
      </c>
      <c r="BH50" s="84">
        <f t="shared" si="44"/>
        <v>4.1356414163866679</v>
      </c>
      <c r="BI50" s="84">
        <f t="shared" si="44"/>
        <v>4.8322214168083386</v>
      </c>
      <c r="BJ50" s="84">
        <f t="shared" si="44"/>
        <v>2.993876914941211</v>
      </c>
      <c r="BK50" s="84">
        <f t="shared" si="44"/>
        <v>3.1786892397755899</v>
      </c>
      <c r="BL50" s="84">
        <f t="shared" si="44"/>
        <v>3.1947917577219247</v>
      </c>
      <c r="BM50" s="84">
        <f t="shared" si="44"/>
        <v>4.4038922955594204</v>
      </c>
      <c r="BN50" s="84">
        <f t="shared" si="44"/>
        <v>4.1753378287920198</v>
      </c>
      <c r="BO50" s="84">
        <f t="shared" si="44"/>
        <v>2.3031960574204891</v>
      </c>
      <c r="BP50" s="84">
        <f t="shared" ref="BP50:CP50" si="45">LOG(BP19)</f>
        <v>3.1525940779274699</v>
      </c>
      <c r="BQ50" s="84">
        <f t="shared" si="45"/>
        <v>3.6388884247050757</v>
      </c>
      <c r="BR50" s="84">
        <f t="shared" si="45"/>
        <v>3.4632956099620027</v>
      </c>
      <c r="BS50" s="84">
        <f t="shared" si="45"/>
        <v>3.3265406685165617</v>
      </c>
      <c r="BT50" s="84">
        <f t="shared" si="45"/>
        <v>4.0631456371066381</v>
      </c>
      <c r="BU50" s="84">
        <f t="shared" si="45"/>
        <v>3.2494429614425822</v>
      </c>
      <c r="BV50" s="84">
        <f t="shared" si="45"/>
        <v>3.8120438979302267</v>
      </c>
      <c r="BW50" s="84">
        <f t="shared" si="45"/>
        <v>4.6260425220032522</v>
      </c>
      <c r="BX50" s="84">
        <f t="shared" si="45"/>
        <v>4.2883163101662918</v>
      </c>
      <c r="BY50" s="84">
        <f t="shared" si="45"/>
        <v>4.5912316112515539</v>
      </c>
      <c r="BZ50" s="84">
        <f t="shared" si="45"/>
        <v>4.6076587185282971</v>
      </c>
      <c r="CA50" s="84">
        <f t="shared" si="45"/>
        <v>4.6696143680214659</v>
      </c>
      <c r="CB50" s="84">
        <f t="shared" si="45"/>
        <v>4.6831461397795797</v>
      </c>
      <c r="CC50" s="84">
        <f t="shared" si="45"/>
        <v>4.7587302678820889</v>
      </c>
      <c r="CD50" s="84">
        <f t="shared" si="45"/>
        <v>5.2352026038396913</v>
      </c>
      <c r="CE50" s="84">
        <f t="shared" si="45"/>
        <v>4.859810542743217</v>
      </c>
      <c r="CF50" s="84">
        <f t="shared" si="45"/>
        <v>4.654994286616696</v>
      </c>
      <c r="CG50" s="84">
        <f t="shared" si="45"/>
        <v>5.5819928696048251</v>
      </c>
      <c r="CH50" s="84">
        <f t="shared" si="45"/>
        <v>5.4407627190468135</v>
      </c>
      <c r="CI50" s="84">
        <f t="shared" si="45"/>
        <v>5.4702384445312315</v>
      </c>
      <c r="CJ50" s="84">
        <f t="shared" si="45"/>
        <v>2.6464037262230695</v>
      </c>
      <c r="CK50" s="84">
        <f t="shared" si="45"/>
        <v>2.8305886686851442</v>
      </c>
      <c r="CL50" s="84">
        <f t="shared" si="45"/>
        <v>3.4321672694425884</v>
      </c>
      <c r="CM50" s="84">
        <f t="shared" si="45"/>
        <v>3.6418705454763129</v>
      </c>
      <c r="CN50" s="84">
        <f t="shared" si="45"/>
        <v>3.4321672694425884</v>
      </c>
      <c r="CO50" s="84">
        <f t="shared" si="45"/>
        <v>3.237040791379191</v>
      </c>
      <c r="CP50" s="84">
        <f t="shared" si="45"/>
        <v>2.8115750058705933</v>
      </c>
      <c r="CQ50" s="117">
        <f t="shared" si="41"/>
        <v>4.1469114573690717</v>
      </c>
    </row>
    <row r="51" spans="1:95">
      <c r="A51" s="7" t="s">
        <v>125</v>
      </c>
      <c r="B51" s="58" t="s">
        <v>131</v>
      </c>
      <c r="C51" s="83">
        <f t="shared" ref="C51:BO51" si="46">LOG(C20)</f>
        <v>2.6483600109809315</v>
      </c>
      <c r="D51" s="84">
        <f t="shared" si="46"/>
        <v>5.062672217862791</v>
      </c>
      <c r="E51" s="84">
        <f t="shared" si="46"/>
        <v>5.7729243122137035</v>
      </c>
      <c r="F51" s="84">
        <f t="shared" si="46"/>
        <v>4.9221854973015979</v>
      </c>
      <c r="G51" s="84">
        <f t="shared" si="46"/>
        <v>2.92272545799326</v>
      </c>
      <c r="H51" s="84">
        <f t="shared" si="46"/>
        <v>4.4506031757612572</v>
      </c>
      <c r="I51" s="84">
        <f t="shared" si="46"/>
        <v>2.9355072658247128</v>
      </c>
      <c r="J51" s="84">
        <f t="shared" si="46"/>
        <v>4.2600713879850751</v>
      </c>
      <c r="K51" s="84">
        <f t="shared" si="46"/>
        <v>3.8048206787211623</v>
      </c>
      <c r="L51" s="84">
        <f t="shared" si="46"/>
        <v>4.6212905547613286</v>
      </c>
      <c r="M51" s="84">
        <f t="shared" si="46"/>
        <v>3.5062343596121259</v>
      </c>
      <c r="N51" s="84">
        <f t="shared" si="46"/>
        <v>3.3854275148051305</v>
      </c>
      <c r="O51" s="84">
        <f t="shared" si="46"/>
        <v>4.2195583315472245</v>
      </c>
      <c r="P51" s="84">
        <f t="shared" si="46"/>
        <v>4.6759340733734946</v>
      </c>
      <c r="Q51" s="84">
        <f t="shared" si="46"/>
        <v>3.2821687783046416</v>
      </c>
      <c r="R51" s="84">
        <f t="shared" si="46"/>
        <v>3.5132176000679389</v>
      </c>
      <c r="S51" s="84">
        <f t="shared" si="46"/>
        <v>3.9218944709291024</v>
      </c>
      <c r="T51" s="84">
        <f t="shared" si="46"/>
        <v>4.3461573022320081</v>
      </c>
      <c r="U51" s="84">
        <f t="shared" si="46"/>
        <v>4.1968391458331125</v>
      </c>
      <c r="V51" s="84">
        <f t="shared" si="46"/>
        <v>5.2523772301114446</v>
      </c>
      <c r="W51" s="84">
        <f t="shared" si="46"/>
        <v>4.7718005341969016</v>
      </c>
      <c r="X51" s="84">
        <f t="shared" si="46"/>
        <v>5.0212554722350671</v>
      </c>
      <c r="Y51" s="84">
        <f t="shared" si="46"/>
        <v>5.3234047469368244</v>
      </c>
      <c r="Z51" s="84">
        <f t="shared" si="46"/>
        <v>1.7634279935629373</v>
      </c>
      <c r="AA51" s="84">
        <f t="shared" si="46"/>
        <v>4.1546369595184203</v>
      </c>
      <c r="AB51" s="117">
        <f t="shared" si="39"/>
        <v>4.2195583315472245</v>
      </c>
      <c r="AC51" s="84">
        <f t="shared" si="46"/>
        <v>4.2548621442806027</v>
      </c>
      <c r="AD51" s="84">
        <f t="shared" si="46"/>
        <v>3.9091279419892606</v>
      </c>
      <c r="AE51" s="84">
        <f t="shared" si="46"/>
        <v>4.5216740803331721</v>
      </c>
      <c r="AF51" s="84">
        <f t="shared" si="46"/>
        <v>4.2671482523911211</v>
      </c>
      <c r="AG51" s="84">
        <f t="shared" si="46"/>
        <v>4.2437571410299304</v>
      </c>
      <c r="AH51" s="84">
        <f t="shared" si="46"/>
        <v>4.7328519400012921</v>
      </c>
      <c r="AI51" s="84">
        <f t="shared" si="46"/>
        <v>4.7473341096159052</v>
      </c>
      <c r="AJ51" s="84">
        <f t="shared" si="46"/>
        <v>5.1933416913266921</v>
      </c>
      <c r="AK51" s="84">
        <f t="shared" si="46"/>
        <v>2.7774268223893115</v>
      </c>
      <c r="AL51" s="84">
        <f t="shared" si="46"/>
        <v>3.7409150764812824</v>
      </c>
      <c r="AM51" s="84">
        <f t="shared" si="46"/>
        <v>4.2977167512641525</v>
      </c>
      <c r="AN51" s="84">
        <f t="shared" si="46"/>
        <v>4.0043213737826422</v>
      </c>
      <c r="AO51" s="84">
        <f t="shared" si="46"/>
        <v>2.7299742856995555</v>
      </c>
      <c r="AP51" s="84">
        <f t="shared" si="46"/>
        <v>3.0637085593914173</v>
      </c>
      <c r="AQ51" s="84">
        <f t="shared" si="46"/>
        <v>4.3136141595781323</v>
      </c>
      <c r="AR51" s="84">
        <f t="shared" si="46"/>
        <v>4.1352280902260556</v>
      </c>
      <c r="AS51" s="84">
        <f t="shared" si="46"/>
        <v>4.387158378272713</v>
      </c>
      <c r="AT51" s="84">
        <f t="shared" si="46"/>
        <v>4.4177207390756843</v>
      </c>
      <c r="AU51" s="84">
        <f t="shared" si="46"/>
        <v>3.7255032688593155</v>
      </c>
      <c r="AV51" s="84">
        <f t="shared" si="46"/>
        <v>4.0311255757315649</v>
      </c>
      <c r="AW51" s="84">
        <f t="shared" si="46"/>
        <v>3.2227164711475833</v>
      </c>
      <c r="AX51" s="84">
        <f t="shared" si="46"/>
        <v>3.035829825252828</v>
      </c>
      <c r="AY51" s="84">
        <f t="shared" si="46"/>
        <v>2.9329808219231981</v>
      </c>
      <c r="AZ51" s="84">
        <f t="shared" si="46"/>
        <v>2.7558748556724915</v>
      </c>
      <c r="BA51" s="84">
        <f t="shared" si="46"/>
        <v>2.9947569445876283</v>
      </c>
      <c r="BB51" s="84">
        <f t="shared" si="46"/>
        <v>3.4449811120879446</v>
      </c>
      <c r="BC51" s="84">
        <f t="shared" si="46"/>
        <v>3.7989267385772014</v>
      </c>
      <c r="BD51" s="84">
        <f t="shared" si="46"/>
        <v>2.7972675408307164</v>
      </c>
      <c r="BE51" s="84">
        <f t="shared" si="46"/>
        <v>4.3758829915452289</v>
      </c>
      <c r="BF51" s="84">
        <f t="shared" si="46"/>
        <v>4.2755877405175609</v>
      </c>
      <c r="BG51" s="84">
        <f t="shared" si="46"/>
        <v>4.3330036847556981</v>
      </c>
      <c r="BH51" s="84">
        <f t="shared" si="46"/>
        <v>3.8029104894190398</v>
      </c>
      <c r="BI51" s="84">
        <f t="shared" si="46"/>
        <v>4.6347492488076663</v>
      </c>
      <c r="BJ51" s="84">
        <f t="shared" si="46"/>
        <v>2.761927838420529</v>
      </c>
      <c r="BK51" s="84">
        <f t="shared" si="46"/>
        <v>2.8299466959416359</v>
      </c>
      <c r="BL51" s="84">
        <f t="shared" si="46"/>
        <v>2.7752462597402365</v>
      </c>
      <c r="BM51" s="84">
        <f t="shared" si="46"/>
        <v>4.3187935047932964</v>
      </c>
      <c r="BN51" s="84">
        <f t="shared" si="46"/>
        <v>4.2113608591551177</v>
      </c>
      <c r="BO51" s="84">
        <f t="shared" si="46"/>
        <v>2.2764618041732443</v>
      </c>
      <c r="BP51" s="84">
        <f t="shared" ref="BP51:CP51" si="47">LOG(BP20)</f>
        <v>3.3432115901797474</v>
      </c>
      <c r="BQ51" s="84">
        <f t="shared" si="47"/>
        <v>3.4650852875574327</v>
      </c>
      <c r="BR51" s="84">
        <f t="shared" si="47"/>
        <v>3.2479732663618068</v>
      </c>
      <c r="BS51" s="84">
        <f t="shared" si="47"/>
        <v>3.4032921451582543</v>
      </c>
      <c r="BT51" s="84">
        <f t="shared" si="47"/>
        <v>3.9863685935702731</v>
      </c>
      <c r="BU51" s="84">
        <f t="shared" si="47"/>
        <v>3.2084413564385672</v>
      </c>
      <c r="BV51" s="84">
        <f t="shared" si="47"/>
        <v>3.7414667617697548</v>
      </c>
      <c r="BW51" s="84">
        <f t="shared" si="47"/>
        <v>4.6287668572312901</v>
      </c>
      <c r="BX51" s="84">
        <f t="shared" si="47"/>
        <v>4.2582061260688278</v>
      </c>
      <c r="BY51" s="84">
        <f t="shared" si="47"/>
        <v>4.6551864735794091</v>
      </c>
      <c r="BZ51" s="84">
        <f t="shared" si="47"/>
        <v>4.4880145678240426</v>
      </c>
      <c r="CA51" s="84">
        <f t="shared" si="47"/>
        <v>4.6158448828747023</v>
      </c>
      <c r="CB51" s="84">
        <f t="shared" si="47"/>
        <v>4.5334034250929074</v>
      </c>
      <c r="CC51" s="84">
        <f t="shared" si="47"/>
        <v>4.7630009770554667</v>
      </c>
      <c r="CD51" s="84">
        <f t="shared" si="47"/>
        <v>5.0680225066073401</v>
      </c>
      <c r="CE51" s="84">
        <f t="shared" si="47"/>
        <v>4.6270584640009895</v>
      </c>
      <c r="CF51" s="84">
        <f t="shared" si="47"/>
        <v>4.6523720650812219</v>
      </c>
      <c r="CG51" s="84">
        <f t="shared" si="47"/>
        <v>5.5167944190542508</v>
      </c>
      <c r="CH51" s="84">
        <f t="shared" si="47"/>
        <v>5.3033969531711591</v>
      </c>
      <c r="CI51" s="84">
        <f t="shared" si="47"/>
        <v>5.5467042600497516</v>
      </c>
      <c r="CJ51" s="84">
        <f t="shared" si="47"/>
        <v>2.2900346113625178</v>
      </c>
      <c r="CK51" s="84">
        <f t="shared" si="47"/>
        <v>2.4727564493172123</v>
      </c>
      <c r="CL51" s="84">
        <f t="shared" si="47"/>
        <v>3.2782962080912736</v>
      </c>
      <c r="CM51" s="84">
        <f t="shared" si="47"/>
        <v>3.4000196350651586</v>
      </c>
      <c r="CN51" s="84">
        <f t="shared" si="47"/>
        <v>3.2782962080912736</v>
      </c>
      <c r="CO51" s="84">
        <f t="shared" si="47"/>
        <v>3.2464985807958011</v>
      </c>
      <c r="CP51" s="84">
        <f t="shared" si="47"/>
        <v>2.762678563727436</v>
      </c>
      <c r="CQ51" s="117">
        <f t="shared" si="41"/>
        <v>3.9953449836764579</v>
      </c>
    </row>
    <row r="52" spans="1:95">
      <c r="A52" s="39" t="s">
        <v>126</v>
      </c>
      <c r="B52" s="58" t="s">
        <v>131</v>
      </c>
      <c r="C52" s="114">
        <f t="shared" ref="C52:BO52" si="48">LOG(C21)</f>
        <v>2.5670263661590602</v>
      </c>
      <c r="D52" s="115">
        <f t="shared" si="48"/>
        <v>5.1883518527799799</v>
      </c>
      <c r="E52" s="115">
        <f t="shared" si="48"/>
        <v>5.6030555551908687</v>
      </c>
      <c r="F52" s="115">
        <f t="shared" si="48"/>
        <v>4.6808067256015695</v>
      </c>
      <c r="G52" s="115">
        <f t="shared" si="48"/>
        <v>3.2407987711173312</v>
      </c>
      <c r="H52" s="115">
        <f t="shared" si="48"/>
        <v>4.0091958535195209</v>
      </c>
      <c r="I52" s="115">
        <f t="shared" si="48"/>
        <v>2.9745116927373285</v>
      </c>
      <c r="J52" s="115">
        <f t="shared" si="48"/>
        <v>4.4145053942007184</v>
      </c>
      <c r="K52" s="115">
        <f t="shared" si="48"/>
        <v>4.3499376971477526</v>
      </c>
      <c r="L52" s="115">
        <f t="shared" si="48"/>
        <v>5.0405983847729114</v>
      </c>
      <c r="M52" s="115">
        <f t="shared" si="48"/>
        <v>3.6745856023029138</v>
      </c>
      <c r="N52" s="115">
        <f t="shared" si="48"/>
        <v>3.6754116937148633</v>
      </c>
      <c r="O52" s="115">
        <f t="shared" si="48"/>
        <v>4.1834406800379496</v>
      </c>
      <c r="P52" s="115">
        <f t="shared" si="48"/>
        <v>4.7960328621026056</v>
      </c>
      <c r="Q52" s="115">
        <f t="shared" si="48"/>
        <v>3.409087369447835</v>
      </c>
      <c r="R52" s="115">
        <f t="shared" si="48"/>
        <v>3.3967222785037734</v>
      </c>
      <c r="S52" s="115">
        <f t="shared" si="48"/>
        <v>3.620552444729435</v>
      </c>
      <c r="T52" s="115">
        <f t="shared" si="48"/>
        <v>3.7539658658651605</v>
      </c>
      <c r="U52" s="115">
        <f t="shared" si="48"/>
        <v>4.1095448008783464</v>
      </c>
      <c r="V52" s="115">
        <f t="shared" si="48"/>
        <v>4.7751150771667996</v>
      </c>
      <c r="W52" s="115">
        <f t="shared" si="48"/>
        <v>4.3035416269488893</v>
      </c>
      <c r="X52" s="115">
        <f t="shared" si="48"/>
        <v>4.8900463690858889</v>
      </c>
      <c r="Y52" s="115">
        <f t="shared" si="48"/>
        <v>5.4376015457200113</v>
      </c>
      <c r="Z52" s="115">
        <f t="shared" si="48"/>
        <v>2.2988530764097068</v>
      </c>
      <c r="AA52" s="115">
        <f t="shared" si="48"/>
        <v>4.3656938515772623</v>
      </c>
      <c r="AB52" s="117">
        <f t="shared" si="39"/>
        <v>4.1834406800379496</v>
      </c>
      <c r="AC52" s="115">
        <f t="shared" si="48"/>
        <v>3.9593276459721709</v>
      </c>
      <c r="AD52" s="115">
        <f t="shared" si="48"/>
        <v>4.1450409400370241</v>
      </c>
      <c r="AE52" s="115">
        <f t="shared" si="48"/>
        <v>4.5887197796000567</v>
      </c>
      <c r="AF52" s="115">
        <f t="shared" si="48"/>
        <v>4.1161094140633443</v>
      </c>
      <c r="AG52" s="115">
        <f t="shared" si="48"/>
        <v>4.4534100827115841</v>
      </c>
      <c r="AH52" s="115">
        <f t="shared" si="48"/>
        <v>4.6805802450939789</v>
      </c>
      <c r="AI52" s="115">
        <f t="shared" si="48"/>
        <v>4.9140097703303134</v>
      </c>
      <c r="AJ52" s="115">
        <f t="shared" si="48"/>
        <v>5.1398759393283706</v>
      </c>
      <c r="AK52" s="115">
        <f t="shared" si="48"/>
        <v>2.5843312243675309</v>
      </c>
      <c r="AL52" s="115">
        <f t="shared" si="48"/>
        <v>3.8144473785224875</v>
      </c>
      <c r="AM52" s="115">
        <f t="shared" si="48"/>
        <v>4.5619238548839443</v>
      </c>
      <c r="AN52" s="115">
        <f t="shared" si="48"/>
        <v>4.4887762654444403</v>
      </c>
      <c r="AO52" s="115">
        <f t="shared" si="48"/>
        <v>2.8267225201689921</v>
      </c>
      <c r="AP52" s="115">
        <f t="shared" si="48"/>
        <v>3.4289442900355742</v>
      </c>
      <c r="AQ52" s="115">
        <f t="shared" si="48"/>
        <v>4.4066423553507663</v>
      </c>
      <c r="AR52" s="115">
        <f t="shared" si="48"/>
        <v>4.1744668588860181</v>
      </c>
      <c r="AS52" s="115">
        <f t="shared" si="48"/>
        <v>4.7682680164515476</v>
      </c>
      <c r="AT52" s="115">
        <f t="shared" si="48"/>
        <v>4.6457267582611363</v>
      </c>
      <c r="AU52" s="115">
        <f t="shared" si="48"/>
        <v>4.1241454250616538</v>
      </c>
      <c r="AV52" s="115">
        <f t="shared" si="48"/>
        <v>4.4393958593429774</v>
      </c>
      <c r="AW52" s="115">
        <f t="shared" si="48"/>
        <v>3.8459038388987827</v>
      </c>
      <c r="AX52" s="115">
        <f t="shared" si="48"/>
        <v>2.8615344108590377</v>
      </c>
      <c r="AY52" s="115">
        <f t="shared" si="48"/>
        <v>3.5301996982030821</v>
      </c>
      <c r="AZ52" s="115">
        <f t="shared" si="48"/>
        <v>3.2812606870550129</v>
      </c>
      <c r="BA52" s="115">
        <f t="shared" si="48"/>
        <v>3.0670708560453703</v>
      </c>
      <c r="BB52" s="115">
        <f t="shared" si="48"/>
        <v>3.6062738531699883</v>
      </c>
      <c r="BC52" s="115">
        <f t="shared" si="48"/>
        <v>3.8406705613334089</v>
      </c>
      <c r="BD52" s="115">
        <f t="shared" si="48"/>
        <v>2.9258275746247424</v>
      </c>
      <c r="BE52" s="115">
        <f t="shared" si="48"/>
        <v>4.7385268817938018</v>
      </c>
      <c r="BF52" s="115">
        <f t="shared" si="48"/>
        <v>4.473297152848887</v>
      </c>
      <c r="BG52" s="115">
        <f t="shared" si="48"/>
        <v>4.5019488596712804</v>
      </c>
      <c r="BH52" s="115">
        <f t="shared" si="48"/>
        <v>4.0796153235269434</v>
      </c>
      <c r="BI52" s="115">
        <f t="shared" si="48"/>
        <v>4.8506584859124482</v>
      </c>
      <c r="BJ52" s="115">
        <f t="shared" si="48"/>
        <v>2.9675479762188619</v>
      </c>
      <c r="BK52" s="115">
        <f t="shared" si="48"/>
        <v>3.0285712526925375</v>
      </c>
      <c r="BL52" s="115">
        <f t="shared" si="48"/>
        <v>3.1580607939366052</v>
      </c>
      <c r="BM52" s="115">
        <f t="shared" si="48"/>
        <v>4.1328677883190847</v>
      </c>
      <c r="BN52" s="115">
        <f t="shared" si="48"/>
        <v>4.1380815464957461</v>
      </c>
      <c r="BO52" s="115">
        <f t="shared" si="48"/>
        <v>2.4969296480732148</v>
      </c>
      <c r="BP52" s="115">
        <f t="shared" ref="BP52:CP52" si="49">LOG(BP21)</f>
        <v>3.0472748673841794</v>
      </c>
      <c r="BQ52" s="115">
        <f t="shared" si="49"/>
        <v>3.4893959217271293</v>
      </c>
      <c r="BR52" s="115">
        <f t="shared" si="49"/>
        <v>3.53567380342575</v>
      </c>
      <c r="BS52" s="115">
        <f t="shared" si="49"/>
        <v>3.1379867327235318</v>
      </c>
      <c r="BT52" s="115">
        <f t="shared" si="49"/>
        <v>3.8900295861634171</v>
      </c>
      <c r="BU52" s="115">
        <f t="shared" si="49"/>
        <v>3.1162755875805441</v>
      </c>
      <c r="BV52" s="115">
        <f t="shared" si="49"/>
        <v>3.6473829701146196</v>
      </c>
      <c r="BW52" s="115">
        <f t="shared" si="49"/>
        <v>4.4695864025277059</v>
      </c>
      <c r="BX52" s="115">
        <f t="shared" si="49"/>
        <v>4.1907797709280192</v>
      </c>
      <c r="BY52" s="115">
        <f t="shared" si="49"/>
        <v>4.5077884294281434</v>
      </c>
      <c r="BZ52" s="115">
        <f t="shared" si="49"/>
        <v>4.5291222348209628</v>
      </c>
      <c r="CA52" s="115">
        <f t="shared" si="49"/>
        <v>4.5431612841947988</v>
      </c>
      <c r="CB52" s="115">
        <f t="shared" si="49"/>
        <v>4.7296911336964813</v>
      </c>
      <c r="CC52" s="115">
        <f t="shared" si="49"/>
        <v>4.6270892130527406</v>
      </c>
      <c r="CD52" s="115">
        <f t="shared" si="49"/>
        <v>5.1926120512501095</v>
      </c>
      <c r="CE52" s="115">
        <f t="shared" si="49"/>
        <v>4.9072178201144485</v>
      </c>
      <c r="CF52" s="115">
        <f t="shared" si="49"/>
        <v>4.5096594339796692</v>
      </c>
      <c r="CG52" s="115">
        <f t="shared" si="49"/>
        <v>5.477944186419907</v>
      </c>
      <c r="CH52" s="115">
        <f t="shared" si="49"/>
        <v>5.4053856378847023</v>
      </c>
      <c r="CI52" s="115">
        <f t="shared" si="49"/>
        <v>5.4887269366213056</v>
      </c>
      <c r="CJ52" s="115">
        <f t="shared" si="49"/>
        <v>2.2576785748691846</v>
      </c>
      <c r="CK52" s="115">
        <f t="shared" si="49"/>
        <v>2.5611013836490559</v>
      </c>
      <c r="CL52" s="115">
        <f t="shared" si="49"/>
        <v>3.2340108175871793</v>
      </c>
      <c r="CM52" s="115">
        <f t="shared" si="49"/>
        <v>3.5451833682154064</v>
      </c>
      <c r="CN52" s="115">
        <f t="shared" si="49"/>
        <v>3.2340108175871793</v>
      </c>
      <c r="CO52" s="115">
        <f t="shared" si="49"/>
        <v>3.1917303933628562</v>
      </c>
      <c r="CP52" s="115">
        <f t="shared" si="49"/>
        <v>2.7427251313046983</v>
      </c>
      <c r="CQ52" s="117">
        <f t="shared" si="41"/>
        <v>4.1201274195624986</v>
      </c>
    </row>
    <row r="53" spans="1:95">
      <c r="A53" s="10"/>
      <c r="B53" s="39" t="s">
        <v>109</v>
      </c>
      <c r="C53" s="8">
        <f t="shared" ref="C53:AA53" si="50">AVERAGE(C47:C52)</f>
        <v>2.5899409931196971</v>
      </c>
      <c r="D53" s="8">
        <f t="shared" si="50"/>
        <v>5.2540958554497328</v>
      </c>
      <c r="E53" s="8">
        <f t="shared" si="50"/>
        <v>5.7063073440222913</v>
      </c>
      <c r="F53" s="8">
        <f t="shared" si="50"/>
        <v>4.8701152765627409</v>
      </c>
      <c r="G53" s="8">
        <f t="shared" si="50"/>
        <v>3.1770473551858096</v>
      </c>
      <c r="H53" s="8">
        <f t="shared" si="50"/>
        <v>4.2295615029585081</v>
      </c>
      <c r="I53" s="8">
        <f t="shared" si="50"/>
        <v>3.0101676321531556</v>
      </c>
      <c r="J53" s="8">
        <f t="shared" si="50"/>
        <v>4.4685261378035115</v>
      </c>
      <c r="K53" s="8">
        <f t="shared" si="50"/>
        <v>4.1811651763222839</v>
      </c>
      <c r="L53" s="8">
        <f t="shared" si="50"/>
        <v>4.9802935144590528</v>
      </c>
      <c r="M53" s="8">
        <f t="shared" si="50"/>
        <v>3.6747182496459154</v>
      </c>
      <c r="N53" s="8">
        <f t="shared" si="50"/>
        <v>3.6426214404178641</v>
      </c>
      <c r="O53" s="8">
        <f t="shared" si="50"/>
        <v>4.2295311418269224</v>
      </c>
      <c r="P53" s="8">
        <f t="shared" si="50"/>
        <v>4.797029597956036</v>
      </c>
      <c r="Q53" s="8">
        <f t="shared" si="50"/>
        <v>3.4487032349500413</v>
      </c>
      <c r="R53" s="8">
        <f t="shared" si="50"/>
        <v>3.4699578314481463</v>
      </c>
      <c r="S53" s="8">
        <f t="shared" si="50"/>
        <v>3.7434506548215829</v>
      </c>
      <c r="T53" s="8">
        <f t="shared" si="50"/>
        <v>4.0685724619838668</v>
      </c>
      <c r="U53" s="8">
        <f t="shared" si="50"/>
        <v>4.2036501564493349</v>
      </c>
      <c r="V53" s="8">
        <f t="shared" si="50"/>
        <v>4.9348905072839866</v>
      </c>
      <c r="W53" s="8">
        <f t="shared" si="50"/>
        <v>4.4173824555120786</v>
      </c>
      <c r="X53" s="8">
        <f t="shared" si="50"/>
        <v>4.9686254840295794</v>
      </c>
      <c r="Y53" s="8">
        <f t="shared" si="50"/>
        <v>5.43734610584871</v>
      </c>
      <c r="Z53" s="8">
        <f t="shared" si="50"/>
        <v>2.1990958247132126</v>
      </c>
      <c r="AA53" s="8">
        <f t="shared" si="50"/>
        <v>4.3768017053136843</v>
      </c>
      <c r="AB53" s="8"/>
      <c r="AC53" s="8">
        <f t="shared" ref="AC53:BH53" si="51">AVERAGE(AC47:AC52)</f>
        <v>4.0935707002627693</v>
      </c>
      <c r="AD53" s="8">
        <f t="shared" si="51"/>
        <v>4.1060265518693075</v>
      </c>
      <c r="AE53" s="8">
        <f t="shared" si="51"/>
        <v>4.649873939674241</v>
      </c>
      <c r="AF53" s="8">
        <f t="shared" si="51"/>
        <v>4.1963853995721214</v>
      </c>
      <c r="AG53" s="8">
        <f t="shared" si="51"/>
        <v>4.3689156019234323</v>
      </c>
      <c r="AH53" s="8">
        <f t="shared" si="51"/>
        <v>4.8228085641875671</v>
      </c>
      <c r="AI53" s="8">
        <f t="shared" si="51"/>
        <v>4.9328513520154429</v>
      </c>
      <c r="AJ53" s="8">
        <f t="shared" si="51"/>
        <v>5.2044866173435809</v>
      </c>
      <c r="AK53" s="8">
        <f t="shared" si="51"/>
        <v>2.8615482932605336</v>
      </c>
      <c r="AL53" s="8">
        <f t="shared" si="51"/>
        <v>3.8420168233534899</v>
      </c>
      <c r="AM53" s="8">
        <f t="shared" si="51"/>
        <v>4.5107479943269402</v>
      </c>
      <c r="AN53" s="8">
        <f t="shared" si="51"/>
        <v>4.28167253344209</v>
      </c>
      <c r="AO53" s="8">
        <f t="shared" si="51"/>
        <v>2.816012533501453</v>
      </c>
      <c r="AP53" s="8">
        <f t="shared" si="51"/>
        <v>3.2311692703339499</v>
      </c>
      <c r="AQ53" s="8">
        <f t="shared" si="51"/>
        <v>4.4279564013306372</v>
      </c>
      <c r="AR53" s="8">
        <f t="shared" si="51"/>
        <v>4.1916865875753135</v>
      </c>
      <c r="AS53" s="8">
        <f t="shared" si="51"/>
        <v>4.6469501034971374</v>
      </c>
      <c r="AT53" s="8">
        <f t="shared" si="51"/>
        <v>4.6157854742155262</v>
      </c>
      <c r="AU53" s="8">
        <f t="shared" si="51"/>
        <v>3.9505282925918492</v>
      </c>
      <c r="AV53" s="8">
        <f t="shared" si="51"/>
        <v>4.3286887383646899</v>
      </c>
      <c r="AW53" s="8">
        <f t="shared" si="51"/>
        <v>3.6459198012046485</v>
      </c>
      <c r="AX53" s="8">
        <f t="shared" si="51"/>
        <v>2.9928451793183988</v>
      </c>
      <c r="AY53" s="8">
        <f t="shared" si="51"/>
        <v>3.36224449247038</v>
      </c>
      <c r="AZ53" s="8">
        <f t="shared" si="51"/>
        <v>3.1274721592657238</v>
      </c>
      <c r="BA53" s="8">
        <f t="shared" si="51"/>
        <v>2.9826001825631536</v>
      </c>
      <c r="BB53" s="8">
        <f t="shared" si="51"/>
        <v>3.6418353153690641</v>
      </c>
      <c r="BC53" s="8">
        <f t="shared" si="51"/>
        <v>3.8904587316961634</v>
      </c>
      <c r="BD53" s="8">
        <f t="shared" si="51"/>
        <v>3.0158986921334687</v>
      </c>
      <c r="BE53" s="8">
        <f t="shared" si="51"/>
        <v>4.7142180521974142</v>
      </c>
      <c r="BF53" s="8">
        <f t="shared" si="51"/>
        <v>4.4697095514340326</v>
      </c>
      <c r="BG53" s="8">
        <f t="shared" si="51"/>
        <v>4.4610114902943794</v>
      </c>
      <c r="BH53" s="8">
        <f t="shared" si="51"/>
        <v>4.0648460526293251</v>
      </c>
      <c r="BI53" s="8">
        <f t="shared" ref="BI53:CN53" si="52">AVERAGE(BI47:BI52)</f>
        <v>4.7503038958622206</v>
      </c>
      <c r="BJ53" s="8">
        <f t="shared" si="52"/>
        <v>2.8907393562022214</v>
      </c>
      <c r="BK53" s="8">
        <f t="shared" si="52"/>
        <v>3.0926949675543161</v>
      </c>
      <c r="BL53" s="8">
        <f t="shared" si="52"/>
        <v>3.1172436038787112</v>
      </c>
      <c r="BM53" s="8">
        <f t="shared" si="52"/>
        <v>4.1914789017686536</v>
      </c>
      <c r="BN53" s="8">
        <f t="shared" si="52"/>
        <v>4.1303693649922382</v>
      </c>
      <c r="BO53" s="8">
        <f t="shared" si="52"/>
        <v>2.3717310165153775</v>
      </c>
      <c r="BP53" s="8">
        <f t="shared" si="52"/>
        <v>3.0861293113958492</v>
      </c>
      <c r="BQ53" s="8">
        <f t="shared" si="52"/>
        <v>3.5853014771997174</v>
      </c>
      <c r="BR53" s="8">
        <f t="shared" si="52"/>
        <v>3.3743957823678179</v>
      </c>
      <c r="BS53" s="8">
        <f t="shared" si="52"/>
        <v>3.1631158503490835</v>
      </c>
      <c r="BT53" s="8">
        <f t="shared" si="52"/>
        <v>4.011209030819165</v>
      </c>
      <c r="BU53" s="8">
        <f t="shared" si="52"/>
        <v>3.169573910103336</v>
      </c>
      <c r="BV53" s="8">
        <f t="shared" si="52"/>
        <v>3.7477347229501459</v>
      </c>
      <c r="BW53" s="8">
        <f t="shared" si="52"/>
        <v>4.5838494184476541</v>
      </c>
      <c r="BX53" s="8">
        <f t="shared" si="52"/>
        <v>4.2428213610634353</v>
      </c>
      <c r="BY53" s="8">
        <f t="shared" si="52"/>
        <v>4.5088875195196554</v>
      </c>
      <c r="BZ53" s="8">
        <f t="shared" si="52"/>
        <v>4.608215186168696</v>
      </c>
      <c r="CA53" s="8">
        <f t="shared" si="52"/>
        <v>4.6683664602715798</v>
      </c>
      <c r="CB53" s="8">
        <f t="shared" si="52"/>
        <v>4.613085778631449</v>
      </c>
      <c r="CC53" s="8">
        <f t="shared" si="52"/>
        <v>4.6327710973955378</v>
      </c>
      <c r="CD53" s="8">
        <f t="shared" si="52"/>
        <v>5.1907122169007209</v>
      </c>
      <c r="CE53" s="8">
        <f t="shared" si="52"/>
        <v>4.7669219033812835</v>
      </c>
      <c r="CF53" s="8">
        <f t="shared" si="52"/>
        <v>4.6228067823120647</v>
      </c>
      <c r="CG53" s="8">
        <f t="shared" si="52"/>
        <v>5.5330208800828045</v>
      </c>
      <c r="CH53" s="8">
        <f t="shared" si="52"/>
        <v>5.3646419893671871</v>
      </c>
      <c r="CI53" s="8">
        <f t="shared" si="52"/>
        <v>5.458836833299876</v>
      </c>
      <c r="CJ53" s="8">
        <f t="shared" si="52"/>
        <v>2.4634248956115141</v>
      </c>
      <c r="CK53" s="8">
        <f t="shared" si="52"/>
        <v>2.6794497312564545</v>
      </c>
      <c r="CL53" s="8">
        <f t="shared" si="52"/>
        <v>3.3339102234409785</v>
      </c>
      <c r="CM53" s="8">
        <f t="shared" si="52"/>
        <v>3.5150001976130363</v>
      </c>
      <c r="CN53" s="8">
        <f t="shared" si="52"/>
        <v>3.3339102234409785</v>
      </c>
      <c r="CO53" s="8">
        <f t="shared" ref="CO53:CP53" si="53">AVERAGE(CO47:CO52)</f>
        <v>3.1885419580703993</v>
      </c>
      <c r="CP53" s="8">
        <f t="shared" si="53"/>
        <v>2.7471334415343396</v>
      </c>
    </row>
    <row r="54" spans="1:95">
      <c r="A54" s="10"/>
      <c r="B54" s="39" t="s">
        <v>110</v>
      </c>
      <c r="C54" s="8">
        <f t="shared" ref="C54:AA54" si="54">_xlfn.STDEV.S(C47:C52)</f>
        <v>8.5844602429816619E-2</v>
      </c>
      <c r="D54" s="8">
        <f t="shared" si="54"/>
        <v>0.12082988816069729</v>
      </c>
      <c r="E54" s="8">
        <f t="shared" si="54"/>
        <v>8.6735744379239241E-2</v>
      </c>
      <c r="F54" s="8">
        <f t="shared" si="54"/>
        <v>0.14632581633072606</v>
      </c>
      <c r="G54" s="8">
        <f t="shared" si="54"/>
        <v>0.16076405608041169</v>
      </c>
      <c r="H54" s="8">
        <f t="shared" si="54"/>
        <v>0.19132304679416129</v>
      </c>
      <c r="I54" s="8">
        <f t="shared" si="54"/>
        <v>8.8923156898488356E-2</v>
      </c>
      <c r="J54" s="8">
        <f t="shared" si="54"/>
        <v>0.12180731980074487</v>
      </c>
      <c r="K54" s="8">
        <f t="shared" si="54"/>
        <v>0.23151350266052548</v>
      </c>
      <c r="L54" s="8">
        <f t="shared" si="54"/>
        <v>0.21631148852099991</v>
      </c>
      <c r="M54" s="8">
        <f t="shared" si="54"/>
        <v>9.8792910775890877E-2</v>
      </c>
      <c r="N54" s="8">
        <f t="shared" si="54"/>
        <v>0.14152383602035806</v>
      </c>
      <c r="O54" s="8">
        <f t="shared" si="54"/>
        <v>3.3852863946526569E-2</v>
      </c>
      <c r="P54" s="8">
        <f t="shared" si="54"/>
        <v>8.6078759699283219E-2</v>
      </c>
      <c r="Q54" s="8">
        <f t="shared" si="54"/>
        <v>0.14108152455965073</v>
      </c>
      <c r="R54" s="8">
        <f t="shared" si="54"/>
        <v>0.1419930582197661</v>
      </c>
      <c r="S54" s="8">
        <f t="shared" si="54"/>
        <v>0.17491183252192821</v>
      </c>
      <c r="T54" s="8">
        <f t="shared" si="54"/>
        <v>0.24884022550835302</v>
      </c>
      <c r="U54" s="8">
        <f t="shared" si="54"/>
        <v>6.6590693116248781E-2</v>
      </c>
      <c r="V54" s="8">
        <f t="shared" si="54"/>
        <v>0.19810723628241972</v>
      </c>
      <c r="W54" s="8">
        <f t="shared" si="54"/>
        <v>0.21488186029515591</v>
      </c>
      <c r="X54" s="8">
        <f t="shared" si="54"/>
        <v>9.1248112962228844E-2</v>
      </c>
      <c r="Y54" s="8">
        <f t="shared" si="54"/>
        <v>8.02368305628057E-2</v>
      </c>
      <c r="Z54" s="8">
        <f t="shared" si="54"/>
        <v>0.23391043954587482</v>
      </c>
      <c r="AA54" s="8">
        <f t="shared" si="54"/>
        <v>0.13963355550259976</v>
      </c>
      <c r="AB54" s="8"/>
      <c r="AC54" s="8">
        <f t="shared" ref="AC54:BH54" si="55">_xlfn.STDEV.S(AC47:AC52)</f>
        <v>0.12394005013634538</v>
      </c>
      <c r="AD54" s="8">
        <f t="shared" si="55"/>
        <v>0.13346853124726815</v>
      </c>
      <c r="AE54" s="8">
        <f t="shared" si="55"/>
        <v>9.7941835464177812E-2</v>
      </c>
      <c r="AF54" s="8">
        <f t="shared" si="55"/>
        <v>6.9163994040367646E-2</v>
      </c>
      <c r="AG54" s="8">
        <f t="shared" si="55"/>
        <v>0.11197937209331003</v>
      </c>
      <c r="AH54" s="8">
        <f t="shared" si="55"/>
        <v>0.10389354751128792</v>
      </c>
      <c r="AI54" s="8">
        <f t="shared" si="55"/>
        <v>0.10467589396195906</v>
      </c>
      <c r="AJ54" s="8">
        <f t="shared" si="55"/>
        <v>4.0892014122877622E-2</v>
      </c>
      <c r="AK54" s="8">
        <f t="shared" si="55"/>
        <v>0.16530020355393579</v>
      </c>
      <c r="AL54" s="8">
        <f t="shared" si="55"/>
        <v>8.16979793249656E-2</v>
      </c>
      <c r="AM54" s="8">
        <f t="shared" si="55"/>
        <v>0.12447001771336801</v>
      </c>
      <c r="AN54" s="8">
        <f t="shared" si="55"/>
        <v>0.21801092877989992</v>
      </c>
      <c r="AO54" s="8">
        <f t="shared" si="55"/>
        <v>0.11868071122257032</v>
      </c>
      <c r="AP54" s="8">
        <f t="shared" si="55"/>
        <v>0.139084772122513</v>
      </c>
      <c r="AQ54" s="8">
        <f t="shared" si="55"/>
        <v>9.3380602745476035E-2</v>
      </c>
      <c r="AR54" s="8">
        <f t="shared" si="55"/>
        <v>7.2148086544812973E-2</v>
      </c>
      <c r="AS54" s="8">
        <f t="shared" si="55"/>
        <v>0.16968415360226541</v>
      </c>
      <c r="AT54" s="8">
        <f t="shared" si="55"/>
        <v>0.16168332439141747</v>
      </c>
      <c r="AU54" s="8">
        <f t="shared" si="55"/>
        <v>0.17141477139717609</v>
      </c>
      <c r="AV54" s="8">
        <f t="shared" si="55"/>
        <v>0.17854189101663684</v>
      </c>
      <c r="AW54" s="8">
        <f t="shared" si="55"/>
        <v>0.24277049283729593</v>
      </c>
      <c r="AX54" s="8">
        <f t="shared" si="55"/>
        <v>0.136970457144651</v>
      </c>
      <c r="AY54" s="8">
        <f t="shared" si="55"/>
        <v>0.27652642940165062</v>
      </c>
      <c r="AZ54" s="8">
        <f t="shared" si="55"/>
        <v>0.22080751223944509</v>
      </c>
      <c r="BA54" s="8">
        <f t="shared" si="55"/>
        <v>8.637243641628696E-2</v>
      </c>
      <c r="BB54" s="8">
        <f t="shared" si="55"/>
        <v>0.11471475102080367</v>
      </c>
      <c r="BC54" s="8">
        <f t="shared" si="55"/>
        <v>6.6266361444275751E-2</v>
      </c>
      <c r="BD54" s="8">
        <f t="shared" si="55"/>
        <v>0.1549444889719972</v>
      </c>
      <c r="BE54" s="8">
        <f t="shared" si="55"/>
        <v>0.17445548262639635</v>
      </c>
      <c r="BF54" s="8">
        <f t="shared" si="55"/>
        <v>0.18056511247784129</v>
      </c>
      <c r="BG54" s="8">
        <f t="shared" si="55"/>
        <v>0.1446519320697735</v>
      </c>
      <c r="BH54" s="8">
        <f t="shared" si="55"/>
        <v>0.17320445864779885</v>
      </c>
      <c r="BI54" s="8">
        <f t="shared" ref="BI54:CP54" si="56">_xlfn.STDEV.S(BI47:BI52)</f>
        <v>0.13269149931344715</v>
      </c>
      <c r="BJ54" s="8">
        <f t="shared" si="56"/>
        <v>8.3118208135162422E-2</v>
      </c>
      <c r="BK54" s="8">
        <f t="shared" si="56"/>
        <v>0.14730558779607686</v>
      </c>
      <c r="BL54" s="8">
        <f t="shared" si="56"/>
        <v>0.17783918854786893</v>
      </c>
      <c r="BM54" s="8">
        <f t="shared" si="56"/>
        <v>0.1521579044608187</v>
      </c>
      <c r="BN54" s="8">
        <f t="shared" si="56"/>
        <v>7.1186026720372581E-2</v>
      </c>
      <c r="BO54" s="8">
        <f t="shared" si="56"/>
        <v>9.2872340276938373E-2</v>
      </c>
      <c r="BP54" s="8">
        <f t="shared" si="56"/>
        <v>0.14401109037044785</v>
      </c>
      <c r="BQ54" s="8">
        <f t="shared" si="56"/>
        <v>9.8757175992638627E-2</v>
      </c>
      <c r="BR54" s="8">
        <f t="shared" si="56"/>
        <v>0.10960286903617932</v>
      </c>
      <c r="BS54" s="8">
        <f t="shared" si="56"/>
        <v>0.16994237967673353</v>
      </c>
      <c r="BT54" s="8">
        <f t="shared" si="56"/>
        <v>7.4445538375230921E-2</v>
      </c>
      <c r="BU54" s="8">
        <f t="shared" si="56"/>
        <v>5.4006968593194211E-2</v>
      </c>
      <c r="BV54" s="8">
        <f t="shared" si="56"/>
        <v>7.4151015040996776E-2</v>
      </c>
      <c r="BW54" s="8">
        <f t="shared" si="56"/>
        <v>7.6599942177704675E-2</v>
      </c>
      <c r="BX54" s="8">
        <f t="shared" si="56"/>
        <v>3.3354406847868528E-2</v>
      </c>
      <c r="BY54" s="8">
        <f t="shared" si="56"/>
        <v>9.5652303915486139E-2</v>
      </c>
      <c r="BZ54" s="8">
        <f t="shared" si="56"/>
        <v>9.7318863803030939E-2</v>
      </c>
      <c r="CA54" s="8">
        <f t="shared" si="56"/>
        <v>8.7094426845996054E-2</v>
      </c>
      <c r="CB54" s="8">
        <f t="shared" si="56"/>
        <v>0.11093416055408237</v>
      </c>
      <c r="CC54" s="8">
        <f t="shared" si="56"/>
        <v>0.11148897736672281</v>
      </c>
      <c r="CD54" s="8">
        <f t="shared" si="56"/>
        <v>6.4383418009434992E-2</v>
      </c>
      <c r="CE54" s="8">
        <f t="shared" si="56"/>
        <v>0.1108912742148021</v>
      </c>
      <c r="CF54" s="8">
        <f t="shared" si="56"/>
        <v>6.2296037762586763E-2</v>
      </c>
      <c r="CG54" s="8">
        <f t="shared" si="56"/>
        <v>3.500139702657689E-2</v>
      </c>
      <c r="CH54" s="8">
        <f t="shared" si="56"/>
        <v>8.9036365244539784E-2</v>
      </c>
      <c r="CI54" s="8">
        <f t="shared" si="56"/>
        <v>6.7991938528939325E-2</v>
      </c>
      <c r="CJ54" s="8">
        <f t="shared" si="56"/>
        <v>0.15991546294051268</v>
      </c>
      <c r="CK54" s="8">
        <f t="shared" si="56"/>
        <v>0.15265997813678278</v>
      </c>
      <c r="CL54" s="8">
        <f t="shared" si="56"/>
        <v>0.15929362100514163</v>
      </c>
      <c r="CM54" s="8">
        <f t="shared" si="56"/>
        <v>9.0849492035329077E-2</v>
      </c>
      <c r="CN54" s="8">
        <f t="shared" si="56"/>
        <v>0.15929362100514163</v>
      </c>
      <c r="CO54" s="8">
        <f t="shared" si="56"/>
        <v>8.4719080483819792E-2</v>
      </c>
      <c r="CP54" s="8">
        <f t="shared" si="56"/>
        <v>9.5126944526715038E-2</v>
      </c>
    </row>
    <row r="55" spans="1:95">
      <c r="A55" s="10"/>
    </row>
    <row r="56" spans="1:95">
      <c r="B56" s="35"/>
    </row>
    <row r="57" spans="1:95">
      <c r="B57" s="35"/>
    </row>
    <row r="59" spans="1:95" ht="18">
      <c r="A59" s="29" t="s">
        <v>150</v>
      </c>
      <c r="B59" s="19"/>
    </row>
    <row r="60" spans="1:95" s="68" customFormat="1" ht="113">
      <c r="A60" s="64" t="s">
        <v>133</v>
      </c>
      <c r="B60" s="118" t="s">
        <v>132</v>
      </c>
      <c r="C60" s="66" t="s">
        <v>2</v>
      </c>
      <c r="D60" s="66" t="s">
        <v>3</v>
      </c>
      <c r="E60" s="66" t="s">
        <v>4</v>
      </c>
      <c r="F60" s="66" t="s">
        <v>5</v>
      </c>
      <c r="G60" s="66" t="s">
        <v>6</v>
      </c>
      <c r="H60" s="66" t="s">
        <v>7</v>
      </c>
      <c r="I60" s="66" t="s">
        <v>8</v>
      </c>
      <c r="J60" s="66" t="s">
        <v>9</v>
      </c>
      <c r="K60" s="66" t="s">
        <v>10</v>
      </c>
      <c r="L60" s="66" t="s">
        <v>11</v>
      </c>
      <c r="M60" s="66" t="s">
        <v>12</v>
      </c>
      <c r="N60" s="66" t="s">
        <v>13</v>
      </c>
      <c r="O60" s="66" t="s">
        <v>14</v>
      </c>
      <c r="P60" s="66" t="s">
        <v>15</v>
      </c>
      <c r="Q60" s="66" t="s">
        <v>16</v>
      </c>
      <c r="R60" s="66" t="s">
        <v>17</v>
      </c>
      <c r="S60" s="66" t="s">
        <v>18</v>
      </c>
      <c r="T60" s="66" t="s">
        <v>19</v>
      </c>
      <c r="U60" s="66" t="s">
        <v>20</v>
      </c>
      <c r="V60" s="66" t="s">
        <v>21</v>
      </c>
      <c r="W60" s="66" t="s">
        <v>22</v>
      </c>
      <c r="X60" s="66" t="s">
        <v>23</v>
      </c>
      <c r="Y60" s="66" t="s">
        <v>24</v>
      </c>
      <c r="Z60" s="66" t="s">
        <v>25</v>
      </c>
      <c r="AA60" s="65" t="s">
        <v>26</v>
      </c>
      <c r="AB60" s="121" t="s">
        <v>151</v>
      </c>
      <c r="AC60" s="65" t="s">
        <v>27</v>
      </c>
      <c r="AD60" s="66" t="s">
        <v>28</v>
      </c>
      <c r="AE60" s="66" t="s">
        <v>29</v>
      </c>
      <c r="AF60" s="66" t="s">
        <v>30</v>
      </c>
      <c r="AG60" s="66" t="s">
        <v>31</v>
      </c>
      <c r="AH60" s="66" t="s">
        <v>32</v>
      </c>
      <c r="AI60" s="66" t="s">
        <v>33</v>
      </c>
      <c r="AJ60" s="66" t="s">
        <v>34</v>
      </c>
      <c r="AK60" s="66" t="s">
        <v>35</v>
      </c>
      <c r="AL60" s="66" t="s">
        <v>36</v>
      </c>
      <c r="AM60" s="66" t="s">
        <v>37</v>
      </c>
      <c r="AN60" s="66" t="s">
        <v>38</v>
      </c>
      <c r="AO60" s="66" t="s">
        <v>39</v>
      </c>
      <c r="AP60" s="66" t="s">
        <v>40</v>
      </c>
      <c r="AQ60" s="66" t="s">
        <v>41</v>
      </c>
      <c r="AR60" s="66" t="s">
        <v>42</v>
      </c>
      <c r="AS60" s="66" t="s">
        <v>43</v>
      </c>
      <c r="AT60" s="66" t="s">
        <v>44</v>
      </c>
      <c r="AU60" s="66" t="s">
        <v>45</v>
      </c>
      <c r="AV60" s="66" t="s">
        <v>46</v>
      </c>
      <c r="AW60" s="66" t="s">
        <v>47</v>
      </c>
      <c r="AX60" s="66" t="s">
        <v>48</v>
      </c>
      <c r="AY60" s="66" t="s">
        <v>49</v>
      </c>
      <c r="AZ60" s="66" t="s">
        <v>50</v>
      </c>
      <c r="BA60" s="66" t="s">
        <v>51</v>
      </c>
      <c r="BB60" s="66" t="s">
        <v>52</v>
      </c>
      <c r="BC60" s="66" t="s">
        <v>53</v>
      </c>
      <c r="BD60" s="66" t="s">
        <v>54</v>
      </c>
      <c r="BE60" s="66" t="s">
        <v>55</v>
      </c>
      <c r="BF60" s="66" t="s">
        <v>56</v>
      </c>
      <c r="BG60" s="66" t="s">
        <v>57</v>
      </c>
      <c r="BH60" s="66" t="s">
        <v>58</v>
      </c>
      <c r="BI60" s="66" t="s">
        <v>59</v>
      </c>
      <c r="BJ60" s="66" t="s">
        <v>60</v>
      </c>
      <c r="BK60" s="66" t="s">
        <v>61</v>
      </c>
      <c r="BL60" s="66" t="s">
        <v>62</v>
      </c>
      <c r="BM60" s="66" t="s">
        <v>63</v>
      </c>
      <c r="BN60" s="66" t="s">
        <v>64</v>
      </c>
      <c r="BO60" s="66" t="s">
        <v>65</v>
      </c>
      <c r="BP60" s="66" t="s">
        <v>66</v>
      </c>
      <c r="BQ60" s="66" t="s">
        <v>67</v>
      </c>
      <c r="BR60" s="66" t="s">
        <v>68</v>
      </c>
      <c r="BS60" s="66" t="s">
        <v>69</v>
      </c>
      <c r="BT60" s="66" t="s">
        <v>70</v>
      </c>
      <c r="BU60" s="66" t="s">
        <v>71</v>
      </c>
      <c r="BV60" s="66" t="s">
        <v>72</v>
      </c>
      <c r="BW60" s="66" t="s">
        <v>73</v>
      </c>
      <c r="BX60" s="66" t="s">
        <v>74</v>
      </c>
      <c r="BY60" s="66" t="s">
        <v>75</v>
      </c>
      <c r="BZ60" s="66" t="s">
        <v>76</v>
      </c>
      <c r="CA60" s="66" t="s">
        <v>77</v>
      </c>
      <c r="CB60" s="66" t="s">
        <v>78</v>
      </c>
      <c r="CC60" s="66" t="s">
        <v>79</v>
      </c>
      <c r="CD60" s="66" t="s">
        <v>80</v>
      </c>
      <c r="CE60" s="66" t="s">
        <v>81</v>
      </c>
      <c r="CF60" s="66" t="s">
        <v>82</v>
      </c>
      <c r="CG60" s="66" t="s">
        <v>83</v>
      </c>
      <c r="CH60" s="66" t="s">
        <v>84</v>
      </c>
      <c r="CI60" s="66" t="s">
        <v>85</v>
      </c>
      <c r="CJ60" s="66" t="s">
        <v>86</v>
      </c>
      <c r="CK60" s="66" t="s">
        <v>87</v>
      </c>
      <c r="CL60" s="66" t="s">
        <v>88</v>
      </c>
      <c r="CM60" s="66" t="s">
        <v>89</v>
      </c>
      <c r="CN60" s="66" t="s">
        <v>90</v>
      </c>
      <c r="CO60" s="66" t="s">
        <v>91</v>
      </c>
      <c r="CP60" s="66" t="s">
        <v>92</v>
      </c>
      <c r="CQ60" s="119"/>
    </row>
    <row r="61" spans="1:95">
      <c r="A61" s="136" t="s">
        <v>102</v>
      </c>
    </row>
    <row r="62" spans="1:95">
      <c r="A62" s="39" t="s">
        <v>116</v>
      </c>
      <c r="B62" s="40" t="s">
        <v>127</v>
      </c>
      <c r="C62" s="83">
        <f>C37/$AB37</f>
        <v>0.61614507513598704</v>
      </c>
      <c r="D62" s="84">
        <f t="shared" ref="D62:AA62" si="57">D37/$AB37</f>
        <v>1.2344131216495946</v>
      </c>
      <c r="E62" s="84">
        <f t="shared" si="57"/>
        <v>1.3959251514675413</v>
      </c>
      <c r="F62" s="84">
        <f t="shared" si="57"/>
        <v>1.1699450031270098</v>
      </c>
      <c r="G62" s="84">
        <f t="shared" si="57"/>
        <v>0.72465928056464957</v>
      </c>
      <c r="H62" s="84">
        <f t="shared" si="57"/>
        <v>1.0837749524483258</v>
      </c>
      <c r="I62" s="84">
        <f t="shared" si="57"/>
        <v>0.65386706368021152</v>
      </c>
      <c r="J62" s="84">
        <f t="shared" si="57"/>
        <v>1.0890167659778753</v>
      </c>
      <c r="K62" s="84">
        <f t="shared" si="57"/>
        <v>0.94818037820065704</v>
      </c>
      <c r="L62" s="84">
        <f t="shared" si="57"/>
        <v>1.1321415938918689</v>
      </c>
      <c r="M62" s="84">
        <f t="shared" si="57"/>
        <v>0.83295519471666701</v>
      </c>
      <c r="N62" s="84">
        <f t="shared" si="57"/>
        <v>0.83035460888786605</v>
      </c>
      <c r="O62" s="84">
        <f t="shared" si="57"/>
        <v>1</v>
      </c>
      <c r="P62" s="84">
        <f t="shared" si="57"/>
        <v>1.1285368690055104</v>
      </c>
      <c r="Q62" s="84">
        <f t="shared" si="57"/>
        <v>0.80826549770790346</v>
      </c>
      <c r="R62" s="84">
        <f t="shared" si="57"/>
        <v>0.92403703425402828</v>
      </c>
      <c r="S62" s="84">
        <f t="shared" si="57"/>
        <v>0.95158771470583181</v>
      </c>
      <c r="T62" s="84">
        <f t="shared" si="57"/>
        <v>1.0658838411194642</v>
      </c>
      <c r="U62" s="84">
        <f t="shared" si="57"/>
        <v>0.99751156059578838</v>
      </c>
      <c r="V62" s="84">
        <f t="shared" si="57"/>
        <v>1.2534772476951315</v>
      </c>
      <c r="W62" s="84">
        <f t="shared" si="57"/>
        <v>1.1213052543128621</v>
      </c>
      <c r="X62" s="84">
        <f t="shared" si="57"/>
        <v>1.2182910472049697</v>
      </c>
      <c r="Y62" s="84">
        <f t="shared" si="57"/>
        <v>1.2421346608090911</v>
      </c>
      <c r="Z62" s="84">
        <f t="shared" si="57"/>
        <v>0.46412961238274952</v>
      </c>
      <c r="AA62" s="84">
        <f t="shared" si="57"/>
        <v>0.9393881085281387</v>
      </c>
      <c r="AC62" s="84">
        <f>AC37/$CQ37</f>
        <v>1.1232610324927168</v>
      </c>
      <c r="AD62" s="84">
        <f t="shared" ref="AD62:CO62" si="58">AD37/$CQ37</f>
        <v>1.1014829250948812</v>
      </c>
      <c r="AE62" s="84">
        <f t="shared" si="58"/>
        <v>1.2040203293978362</v>
      </c>
      <c r="AF62" s="84">
        <f t="shared" si="58"/>
        <v>1.1139257083734355</v>
      </c>
      <c r="AG62" s="84">
        <f t="shared" si="58"/>
        <v>1.1099705034603196</v>
      </c>
      <c r="AH62" s="84">
        <f t="shared" si="58"/>
        <v>1.2532280475087507</v>
      </c>
      <c r="AI62" s="84">
        <f t="shared" si="58"/>
        <v>1.2290760682872273</v>
      </c>
      <c r="AJ62" s="84">
        <f t="shared" si="58"/>
        <v>1.3047731624545287</v>
      </c>
      <c r="AK62" s="84">
        <f t="shared" si="58"/>
        <v>0.6020566620813359</v>
      </c>
      <c r="AL62" s="84">
        <f t="shared" si="58"/>
        <v>1.0102883417867172</v>
      </c>
      <c r="AM62" s="84">
        <f t="shared" si="58"/>
        <v>1.1031268610435119</v>
      </c>
      <c r="AN62" s="84">
        <f t="shared" si="58"/>
        <v>1.0033972465356253</v>
      </c>
      <c r="AO62" s="84">
        <f t="shared" si="58"/>
        <v>0.69877985302668133</v>
      </c>
      <c r="AP62" s="84">
        <f t="shared" si="58"/>
        <v>0.7857028165289367</v>
      </c>
      <c r="AQ62" s="84">
        <f t="shared" si="58"/>
        <v>1.1013039002303044</v>
      </c>
      <c r="AR62" s="84">
        <f t="shared" si="58"/>
        <v>1.0156143348933253</v>
      </c>
      <c r="AS62" s="84">
        <f t="shared" si="58"/>
        <v>1.1058681999919708</v>
      </c>
      <c r="AT62" s="84">
        <f t="shared" si="58"/>
        <v>1.0925985760598662</v>
      </c>
      <c r="AU62" s="84">
        <f t="shared" si="58"/>
        <v>0.94484812612452629</v>
      </c>
      <c r="AV62" s="84">
        <f t="shared" si="58"/>
        <v>0.99156388962012387</v>
      </c>
      <c r="AW62" s="84">
        <f t="shared" si="58"/>
        <v>0.81713673093757977</v>
      </c>
      <c r="AX62" s="84">
        <f t="shared" si="58"/>
        <v>0.73753095810631819</v>
      </c>
      <c r="AY62" s="84">
        <f t="shared" si="58"/>
        <v>0.8185450856261155</v>
      </c>
      <c r="AZ62" s="84">
        <f t="shared" si="58"/>
        <v>0.74034858173145301</v>
      </c>
      <c r="BA62" s="84">
        <f t="shared" si="58"/>
        <v>0.71458149464368659</v>
      </c>
      <c r="BB62" s="84">
        <f t="shared" si="58"/>
        <v>0.92474779651394545</v>
      </c>
      <c r="BC62" s="84">
        <f t="shared" si="58"/>
        <v>0.9334766352629974</v>
      </c>
      <c r="BD62" s="84">
        <f t="shared" si="58"/>
        <v>0.64784044583730493</v>
      </c>
      <c r="BE62" s="84">
        <f t="shared" si="58"/>
        <v>1.1275425939063421</v>
      </c>
      <c r="BF62" s="84">
        <f t="shared" si="58"/>
        <v>1.1031957735414135</v>
      </c>
      <c r="BG62" s="84">
        <f t="shared" si="58"/>
        <v>1.0504380374658198</v>
      </c>
      <c r="BH62" s="84">
        <f t="shared" si="58"/>
        <v>0.92378003027367261</v>
      </c>
      <c r="BI62" s="84">
        <f t="shared" si="58"/>
        <v>1.084072872823453</v>
      </c>
      <c r="BJ62" s="84">
        <f t="shared" si="58"/>
        <v>0.64382693415842662</v>
      </c>
      <c r="BK62" s="84">
        <f t="shared" si="58"/>
        <v>0.61703680597997745</v>
      </c>
      <c r="BL62" s="84">
        <f t="shared" si="58"/>
        <v>0.65786474200866563</v>
      </c>
      <c r="BM62" s="84">
        <f t="shared" si="58"/>
        <v>0.98428702334605556</v>
      </c>
      <c r="BN62" s="84">
        <f t="shared" si="58"/>
        <v>0.98616420552575912</v>
      </c>
      <c r="BO62" s="84">
        <f t="shared" si="58"/>
        <v>0.55240509553819783</v>
      </c>
      <c r="BP62" s="84">
        <f t="shared" si="58"/>
        <v>0.79520018443335216</v>
      </c>
      <c r="BQ62" s="84">
        <f t="shared" si="58"/>
        <v>0.94359179121706316</v>
      </c>
      <c r="BR62" s="84">
        <f t="shared" si="58"/>
        <v>0.91929300224317312</v>
      </c>
      <c r="BS62" s="84">
        <f t="shared" si="58"/>
        <v>0.8328838354902437</v>
      </c>
      <c r="BT62" s="84">
        <f t="shared" si="58"/>
        <v>1.0391327056633597</v>
      </c>
      <c r="BU62" s="84">
        <f t="shared" si="58"/>
        <v>0.78371339789102878</v>
      </c>
      <c r="BV62" s="84">
        <f t="shared" si="58"/>
        <v>0.99660275346437444</v>
      </c>
      <c r="BW62" s="84">
        <f t="shared" si="58"/>
        <v>1.2048990655050096</v>
      </c>
      <c r="BX62" s="84">
        <f t="shared" si="58"/>
        <v>1.0535230984530481</v>
      </c>
      <c r="BY62" s="84">
        <f t="shared" si="58"/>
        <v>1.1445286390944931</v>
      </c>
      <c r="BZ62" s="84">
        <f t="shared" si="58"/>
        <v>1.1750349309565316</v>
      </c>
      <c r="CA62" s="84">
        <f t="shared" si="58"/>
        <v>1.203644533578188</v>
      </c>
      <c r="CB62" s="84">
        <f t="shared" si="58"/>
        <v>1.1001171752528651</v>
      </c>
      <c r="CC62" s="84">
        <f t="shared" si="58"/>
        <v>1.1660137495246996</v>
      </c>
      <c r="CD62" s="84">
        <f t="shared" si="58"/>
        <v>1.2427019660638203</v>
      </c>
      <c r="CE62" s="84">
        <f t="shared" si="58"/>
        <v>1.1416860097368908</v>
      </c>
      <c r="CF62" s="84">
        <f t="shared" si="58"/>
        <v>1.1963368310978313</v>
      </c>
      <c r="CG62" s="84">
        <f t="shared" si="58"/>
        <v>1.3835207144524504</v>
      </c>
      <c r="CH62" s="84">
        <f t="shared" si="58"/>
        <v>1.2973387270012804</v>
      </c>
      <c r="CI62" s="84">
        <f t="shared" si="58"/>
        <v>1.2973727850756964</v>
      </c>
      <c r="CJ62" s="84">
        <f t="shared" si="58"/>
        <v>0.40749452424434895</v>
      </c>
      <c r="CK62" s="84">
        <f t="shared" si="58"/>
        <v>0.551123134787736</v>
      </c>
      <c r="CL62" s="84">
        <f t="shared" si="58"/>
        <v>0.77301040900634033</v>
      </c>
      <c r="CM62" s="84">
        <f t="shared" si="58"/>
        <v>0.82177874691762798</v>
      </c>
      <c r="CN62" s="84">
        <f t="shared" si="58"/>
        <v>0.77301040900634033</v>
      </c>
      <c r="CO62" s="84">
        <f t="shared" si="58"/>
        <v>0.73889262132354472</v>
      </c>
      <c r="CP62" s="84">
        <f t="shared" ref="CP62:CP67" si="59">CP37/$CQ37</f>
        <v>0.71458149464368659</v>
      </c>
    </row>
    <row r="63" spans="1:95">
      <c r="A63" s="39" t="s">
        <v>117</v>
      </c>
      <c r="B63" s="40" t="s">
        <v>127</v>
      </c>
      <c r="C63" s="83">
        <f t="shared" ref="C63:AA63" si="60">C38/$AB38</f>
        <v>0.62099691577471294</v>
      </c>
      <c r="D63" s="84">
        <f t="shared" si="60"/>
        <v>1.2420850557384311</v>
      </c>
      <c r="E63" s="84">
        <f t="shared" si="60"/>
        <v>1.3677550536082712</v>
      </c>
      <c r="F63" s="84">
        <f t="shared" si="60"/>
        <v>1.19251817634735</v>
      </c>
      <c r="G63" s="84">
        <f t="shared" si="60"/>
        <v>0.84588539399980933</v>
      </c>
      <c r="H63" s="84">
        <f t="shared" si="60"/>
        <v>1.04796991629275</v>
      </c>
      <c r="I63" s="84">
        <f t="shared" si="60"/>
        <v>0.6846671835450826</v>
      </c>
      <c r="J63" s="84">
        <f t="shared" si="60"/>
        <v>1.0709908916226649</v>
      </c>
      <c r="K63" s="84">
        <f t="shared" si="60"/>
        <v>0.96906175091786606</v>
      </c>
      <c r="L63" s="84">
        <f t="shared" si="60"/>
        <v>1.1482504363186066</v>
      </c>
      <c r="M63" s="84">
        <f t="shared" si="60"/>
        <v>0.92110842088138367</v>
      </c>
      <c r="N63" s="84">
        <f t="shared" si="60"/>
        <v>0.85357462607710255</v>
      </c>
      <c r="O63" s="84">
        <f t="shared" si="60"/>
        <v>0.98799677921259188</v>
      </c>
      <c r="P63" s="84">
        <f t="shared" si="60"/>
        <v>1.1110309273830243</v>
      </c>
      <c r="Q63" s="84">
        <f t="shared" si="60"/>
        <v>0.81138862078483864</v>
      </c>
      <c r="R63" s="84">
        <f t="shared" si="60"/>
        <v>0.90437317351252722</v>
      </c>
      <c r="S63" s="84">
        <f t="shared" si="60"/>
        <v>0.9368762919904956</v>
      </c>
      <c r="T63" s="84">
        <f t="shared" si="60"/>
        <v>1.0195319971949999</v>
      </c>
      <c r="U63" s="84">
        <f t="shared" si="60"/>
        <v>1</v>
      </c>
      <c r="V63" s="84">
        <f t="shared" si="60"/>
        <v>1.1714677532644959</v>
      </c>
      <c r="W63" s="84">
        <f t="shared" si="60"/>
        <v>1.0550585854874124</v>
      </c>
      <c r="X63" s="84">
        <f t="shared" si="60"/>
        <v>1.2079373272954326</v>
      </c>
      <c r="Y63" s="84">
        <f t="shared" si="60"/>
        <v>1.2664322162932442</v>
      </c>
      <c r="Z63" s="84">
        <f t="shared" si="60"/>
        <v>0.51526711143733461</v>
      </c>
      <c r="AA63" s="84">
        <f t="shared" si="60"/>
        <v>0.96720873290770137</v>
      </c>
      <c r="AC63" s="84">
        <f t="shared" ref="AC63:CN63" si="61">AC38/$CQ38</f>
        <v>1.1078449270532882</v>
      </c>
      <c r="AD63" s="84">
        <f t="shared" si="61"/>
        <v>1.1117405852297653</v>
      </c>
      <c r="AE63" s="84">
        <f t="shared" si="61"/>
        <v>1.210616211299167</v>
      </c>
      <c r="AF63" s="84">
        <f t="shared" si="61"/>
        <v>1.0859671377756488</v>
      </c>
      <c r="AG63" s="84">
        <f t="shared" si="61"/>
        <v>1.0743842824584227</v>
      </c>
      <c r="AH63" s="84">
        <f t="shared" si="61"/>
        <v>1.2516833089599531</v>
      </c>
      <c r="AI63" s="84">
        <f t="shared" si="61"/>
        <v>1.235130171761506</v>
      </c>
      <c r="AJ63" s="84">
        <f t="shared" si="61"/>
        <v>1.3038606648516067</v>
      </c>
      <c r="AK63" s="84">
        <f t="shared" si="61"/>
        <v>0.6477185087214079</v>
      </c>
      <c r="AL63" s="84">
        <f t="shared" si="61"/>
        <v>0.99952303795477249</v>
      </c>
      <c r="AM63" s="84">
        <f t="shared" si="61"/>
        <v>1.1058700260911818</v>
      </c>
      <c r="AN63" s="84">
        <f t="shared" si="61"/>
        <v>1.0208700419990684</v>
      </c>
      <c r="AO63" s="84">
        <f t="shared" si="61"/>
        <v>0.66970154026446838</v>
      </c>
      <c r="AP63" s="84">
        <f t="shared" si="61"/>
        <v>0.81285070691083583</v>
      </c>
      <c r="AQ63" s="84">
        <f t="shared" si="61"/>
        <v>1.0962125567043322</v>
      </c>
      <c r="AR63" s="84">
        <f t="shared" si="61"/>
        <v>1.0243064736472449</v>
      </c>
      <c r="AS63" s="84">
        <f t="shared" si="61"/>
        <v>1.0985599618490669</v>
      </c>
      <c r="AT63" s="84">
        <f t="shared" si="61"/>
        <v>1.1002592533166722</v>
      </c>
      <c r="AU63" s="84">
        <f t="shared" si="61"/>
        <v>0.93934192024114449</v>
      </c>
      <c r="AV63" s="84">
        <f t="shared" si="61"/>
        <v>1.0004769620452276</v>
      </c>
      <c r="AW63" s="84">
        <f t="shared" si="61"/>
        <v>0.82160021120124815</v>
      </c>
      <c r="AX63" s="84">
        <f t="shared" si="61"/>
        <v>0.76713890489568626</v>
      </c>
      <c r="AY63" s="84">
        <f t="shared" si="61"/>
        <v>0.80370890581426102</v>
      </c>
      <c r="AZ63" s="84">
        <f t="shared" si="61"/>
        <v>0.6959586896670964</v>
      </c>
      <c r="BA63" s="84">
        <f t="shared" si="61"/>
        <v>0.73253290240996793</v>
      </c>
      <c r="BB63" s="84">
        <f t="shared" si="61"/>
        <v>0.90669763353551369</v>
      </c>
      <c r="BC63" s="84">
        <f t="shared" si="61"/>
        <v>0.95644238940912607</v>
      </c>
      <c r="BD63" s="84">
        <f t="shared" si="61"/>
        <v>0.67627302610741646</v>
      </c>
      <c r="BE63" s="84">
        <f t="shared" si="61"/>
        <v>1.1506828891340986</v>
      </c>
      <c r="BF63" s="84">
        <f t="shared" si="61"/>
        <v>1.1090209797920794</v>
      </c>
      <c r="BG63" s="84">
        <f t="shared" si="61"/>
        <v>1.0462024012546194</v>
      </c>
      <c r="BH63" s="84">
        <f t="shared" si="61"/>
        <v>0.93538457198671809</v>
      </c>
      <c r="BI63" s="84">
        <f t="shared" si="61"/>
        <v>1.1100067625526409</v>
      </c>
      <c r="BJ63" s="84">
        <f t="shared" si="61"/>
        <v>0.62077473439348474</v>
      </c>
      <c r="BK63" s="84">
        <f t="shared" si="61"/>
        <v>0.68777236143361642</v>
      </c>
      <c r="BL63" s="84">
        <f t="shared" si="61"/>
        <v>0.6603464607622701</v>
      </c>
      <c r="BM63" s="84">
        <f t="shared" si="61"/>
        <v>0.98424237831804706</v>
      </c>
      <c r="BN63" s="84">
        <f t="shared" si="61"/>
        <v>0.98572760915411028</v>
      </c>
      <c r="BO63" s="84">
        <f t="shared" si="61"/>
        <v>0.47313715150663443</v>
      </c>
      <c r="BP63" s="84">
        <f t="shared" si="61"/>
        <v>0.7916215545077564</v>
      </c>
      <c r="BQ63" s="84">
        <f t="shared" si="61"/>
        <v>0.93948573940559665</v>
      </c>
      <c r="BR63" s="84">
        <f t="shared" si="61"/>
        <v>0.91480697357890661</v>
      </c>
      <c r="BS63" s="84">
        <f t="shared" si="61"/>
        <v>0.82030776019689466</v>
      </c>
      <c r="BT63" s="84">
        <f t="shared" si="61"/>
        <v>1.0321927745649182</v>
      </c>
      <c r="BU63" s="84">
        <f t="shared" si="61"/>
        <v>0.76837288657545011</v>
      </c>
      <c r="BV63" s="84">
        <f t="shared" si="61"/>
        <v>0.98635793526581739</v>
      </c>
      <c r="BW63" s="84">
        <f t="shared" si="61"/>
        <v>1.1877572815747117</v>
      </c>
      <c r="BX63" s="84">
        <f t="shared" si="61"/>
        <v>1.0633362535945954</v>
      </c>
      <c r="BY63" s="84">
        <f t="shared" si="61"/>
        <v>1.1377939633896628</v>
      </c>
      <c r="BZ63" s="84">
        <f t="shared" si="61"/>
        <v>1.200879727893909</v>
      </c>
      <c r="CA63" s="84">
        <f t="shared" si="61"/>
        <v>1.2056242415030383</v>
      </c>
      <c r="CB63" s="84">
        <f t="shared" si="61"/>
        <v>1.1603185812394001</v>
      </c>
      <c r="CC63" s="84">
        <f t="shared" si="61"/>
        <v>1.1414307210880976</v>
      </c>
      <c r="CD63" s="84">
        <f t="shared" si="61"/>
        <v>1.26602581567163</v>
      </c>
      <c r="CE63" s="84">
        <f t="shared" si="61"/>
        <v>1.1482938552108972</v>
      </c>
      <c r="CF63" s="84">
        <f t="shared" si="61"/>
        <v>1.1880021125674196</v>
      </c>
      <c r="CG63" s="84">
        <f t="shared" si="61"/>
        <v>1.3799719146516702</v>
      </c>
      <c r="CH63" s="84">
        <f t="shared" si="61"/>
        <v>1.2842513475441981</v>
      </c>
      <c r="CI63" s="84">
        <f t="shared" si="61"/>
        <v>1.3170658561478754</v>
      </c>
      <c r="CJ63" s="84">
        <f t="shared" si="61"/>
        <v>0.48342800337535191</v>
      </c>
      <c r="CK63" s="84">
        <f t="shared" si="61"/>
        <v>0.49504912531646322</v>
      </c>
      <c r="CL63" s="84">
        <f t="shared" si="61"/>
        <v>0.77688036085599088</v>
      </c>
      <c r="CM63" s="84">
        <f t="shared" si="61"/>
        <v>0.82111735325577651</v>
      </c>
      <c r="CN63" s="84">
        <f t="shared" si="61"/>
        <v>0.77688036085599088</v>
      </c>
      <c r="CO63" s="84">
        <f t="shared" ref="CO63" si="62">CO38/$CQ38</f>
        <v>0.68246739588741323</v>
      </c>
      <c r="CP63" s="84">
        <f t="shared" si="59"/>
        <v>0.73649012856450291</v>
      </c>
    </row>
    <row r="64" spans="1:95">
      <c r="A64" s="39" t="s">
        <v>118</v>
      </c>
      <c r="B64" s="40" t="s">
        <v>127</v>
      </c>
      <c r="C64" s="83">
        <f t="shared" ref="C64:AA64" si="63">C39/$AB39</f>
        <v>0.51511254519647021</v>
      </c>
      <c r="D64" s="84">
        <f t="shared" si="63"/>
        <v>1.2357116026610744</v>
      </c>
      <c r="E64" s="84">
        <f t="shared" si="63"/>
        <v>1.4024078968575875</v>
      </c>
      <c r="F64" s="84">
        <f t="shared" si="63"/>
        <v>1.2053682022489502</v>
      </c>
      <c r="G64" s="84">
        <f t="shared" si="63"/>
        <v>0.72864452262628499</v>
      </c>
      <c r="H64" s="84">
        <f t="shared" si="63"/>
        <v>1.0754628929644812</v>
      </c>
      <c r="I64" s="84">
        <f t="shared" si="63"/>
        <v>0.69628882736534126</v>
      </c>
      <c r="J64" s="84">
        <f t="shared" si="63"/>
        <v>1.0438583697915957</v>
      </c>
      <c r="K64" s="84">
        <f t="shared" si="63"/>
        <v>0.91197588817829578</v>
      </c>
      <c r="L64" s="84">
        <f t="shared" si="63"/>
        <v>1.1364013973349623</v>
      </c>
      <c r="M64" s="84">
        <f t="shared" si="63"/>
        <v>0.83565720187159154</v>
      </c>
      <c r="N64" s="84">
        <f t="shared" si="63"/>
        <v>0.8113625908174702</v>
      </c>
      <c r="O64" s="84">
        <f t="shared" si="63"/>
        <v>1</v>
      </c>
      <c r="P64" s="84">
        <f t="shared" si="63"/>
        <v>1.1479681753927986</v>
      </c>
      <c r="Q64" s="84">
        <f t="shared" si="63"/>
        <v>0.91273955830098563</v>
      </c>
      <c r="R64" s="84">
        <f t="shared" si="63"/>
        <v>0.81356882567944777</v>
      </c>
      <c r="S64" s="84">
        <f t="shared" si="63"/>
        <v>0.91840480814068881</v>
      </c>
      <c r="T64" s="84">
        <f t="shared" si="63"/>
        <v>1.0509588054173797</v>
      </c>
      <c r="U64" s="84">
        <f t="shared" si="63"/>
        <v>0.99321206827947639</v>
      </c>
      <c r="V64" s="84">
        <f t="shared" si="63"/>
        <v>1.2278380955770853</v>
      </c>
      <c r="W64" s="84">
        <f t="shared" si="63"/>
        <v>1.1143876211215589</v>
      </c>
      <c r="X64" s="84">
        <f t="shared" si="63"/>
        <v>1.1861689712492458</v>
      </c>
      <c r="Y64" s="84">
        <f t="shared" si="63"/>
        <v>1.268152194790487</v>
      </c>
      <c r="Z64" s="84">
        <f t="shared" si="63"/>
        <v>0.51724969862073356</v>
      </c>
      <c r="AA64" s="84">
        <f t="shared" si="63"/>
        <v>0.96838929131490514</v>
      </c>
      <c r="AC64" s="84">
        <f t="shared" ref="AC64:CN64" si="64">AC39/$CQ39</f>
        <v>1.042177332878057</v>
      </c>
      <c r="AD64" s="84">
        <f t="shared" si="64"/>
        <v>1.033138415610994</v>
      </c>
      <c r="AE64" s="84">
        <f t="shared" si="64"/>
        <v>1.1725644790659842</v>
      </c>
      <c r="AF64" s="84">
        <f t="shared" si="64"/>
        <v>1.0532775621443107</v>
      </c>
      <c r="AG64" s="84">
        <f t="shared" si="64"/>
        <v>1.0742219517810101</v>
      </c>
      <c r="AH64" s="84">
        <f t="shared" si="64"/>
        <v>1.2457777237012875</v>
      </c>
      <c r="AI64" s="84">
        <f t="shared" si="64"/>
        <v>1.245581809628387</v>
      </c>
      <c r="AJ64" s="84">
        <f t="shared" si="64"/>
        <v>1.3276108074119335</v>
      </c>
      <c r="AK64" s="84">
        <f t="shared" si="64"/>
        <v>0.70322643996080414</v>
      </c>
      <c r="AL64" s="84">
        <f t="shared" si="64"/>
        <v>0.93598838234745785</v>
      </c>
      <c r="AM64" s="84">
        <f t="shared" si="64"/>
        <v>1.0642961215770248</v>
      </c>
      <c r="AN64" s="84">
        <f t="shared" si="64"/>
        <v>0.99149804572120526</v>
      </c>
      <c r="AO64" s="84">
        <f t="shared" si="64"/>
        <v>0.68010090111834021</v>
      </c>
      <c r="AP64" s="84">
        <f t="shared" si="64"/>
        <v>0.72958442595881778</v>
      </c>
      <c r="AQ64" s="84">
        <f t="shared" si="64"/>
        <v>1.0588031773484909</v>
      </c>
      <c r="AR64" s="84">
        <f t="shared" si="64"/>
        <v>0.98879032009584966</v>
      </c>
      <c r="AS64" s="84">
        <f t="shared" si="64"/>
        <v>1.0930293869289998</v>
      </c>
      <c r="AT64" s="84">
        <f t="shared" si="64"/>
        <v>1.0886496914473911</v>
      </c>
      <c r="AU64" s="84">
        <f t="shared" si="64"/>
        <v>0.94810025280317833</v>
      </c>
      <c r="AV64" s="84">
        <f t="shared" si="64"/>
        <v>1.0124678893706778</v>
      </c>
      <c r="AW64" s="84">
        <f t="shared" si="64"/>
        <v>0.8560994257859651</v>
      </c>
      <c r="AX64" s="84">
        <f t="shared" si="64"/>
        <v>0.70495211971627125</v>
      </c>
      <c r="AY64" s="84">
        <f t="shared" si="64"/>
        <v>0.76533001295746705</v>
      </c>
      <c r="AZ64" s="84">
        <f t="shared" si="64"/>
        <v>0.67271624015028642</v>
      </c>
      <c r="BA64" s="84">
        <f t="shared" si="64"/>
        <v>0.72743129663123485</v>
      </c>
      <c r="BB64" s="84">
        <f t="shared" si="64"/>
        <v>0.89655150144764695</v>
      </c>
      <c r="BC64" s="84">
        <f t="shared" si="64"/>
        <v>0.95465489995386865</v>
      </c>
      <c r="BD64" s="84">
        <f t="shared" si="64"/>
        <v>0.68430630058553554</v>
      </c>
      <c r="BE64" s="84">
        <f t="shared" si="64"/>
        <v>1.1727872960774093</v>
      </c>
      <c r="BF64" s="84">
        <f t="shared" si="64"/>
        <v>1.1371015358261547</v>
      </c>
      <c r="BG64" s="84">
        <f t="shared" si="64"/>
        <v>1.0947428931809216</v>
      </c>
      <c r="BH64" s="84">
        <f t="shared" si="64"/>
        <v>0.99284867468526017</v>
      </c>
      <c r="BI64" s="84">
        <f t="shared" si="64"/>
        <v>1.1835743615084531</v>
      </c>
      <c r="BJ64" s="84">
        <f t="shared" si="64"/>
        <v>0.75468815848158732</v>
      </c>
      <c r="BK64" s="84">
        <f t="shared" si="64"/>
        <v>0.76082821913132548</v>
      </c>
      <c r="BL64" s="84">
        <f t="shared" si="64"/>
        <v>0.58941091439474136</v>
      </c>
      <c r="BM64" s="84">
        <f t="shared" si="64"/>
        <v>1.0486631912926654</v>
      </c>
      <c r="BN64" s="84">
        <f t="shared" si="64"/>
        <v>1.0620120445592702</v>
      </c>
      <c r="BO64" s="84">
        <f t="shared" si="64"/>
        <v>0.644122183006829</v>
      </c>
      <c r="BP64" s="84">
        <f t="shared" si="64"/>
        <v>0.75309842891826073</v>
      </c>
      <c r="BQ64" s="84">
        <f t="shared" si="64"/>
        <v>0.94527024170755536</v>
      </c>
      <c r="BR64" s="84">
        <f t="shared" si="64"/>
        <v>0.86487647057255501</v>
      </c>
      <c r="BS64" s="84">
        <f t="shared" si="64"/>
        <v>0.77713974578132439</v>
      </c>
      <c r="BT64" s="84">
        <f t="shared" si="64"/>
        <v>0.99692708755434833</v>
      </c>
      <c r="BU64" s="84">
        <f t="shared" si="64"/>
        <v>0.75346732057470733</v>
      </c>
      <c r="BV64" s="84">
        <f t="shared" si="64"/>
        <v>1.0030729124456514</v>
      </c>
      <c r="BW64" s="84">
        <f t="shared" si="64"/>
        <v>1.1919360999336381</v>
      </c>
      <c r="BX64" s="84">
        <f t="shared" si="64"/>
        <v>1.0820690744498744</v>
      </c>
      <c r="BY64" s="84">
        <f t="shared" si="64"/>
        <v>1.117832699630545</v>
      </c>
      <c r="BZ64" s="84">
        <f t="shared" si="64"/>
        <v>1.173547064469088</v>
      </c>
      <c r="CA64" s="84">
        <f t="shared" si="64"/>
        <v>1.2021211853231597</v>
      </c>
      <c r="CB64" s="84">
        <f t="shared" si="64"/>
        <v>1.1270919570833611</v>
      </c>
      <c r="CC64" s="84">
        <f t="shared" si="64"/>
        <v>1.157971301831012</v>
      </c>
      <c r="CD64" s="84">
        <f t="shared" si="64"/>
        <v>1.2939520623203367</v>
      </c>
      <c r="CE64" s="84">
        <f t="shared" si="64"/>
        <v>1.1597258342740393</v>
      </c>
      <c r="CF64" s="84">
        <f t="shared" si="64"/>
        <v>1.1918424385044977</v>
      </c>
      <c r="CG64" s="84">
        <f t="shared" si="64"/>
        <v>1.409510606790942</v>
      </c>
      <c r="CH64" s="84">
        <f t="shared" si="64"/>
        <v>1.3645796229104117</v>
      </c>
      <c r="CI64" s="84">
        <f t="shared" si="64"/>
        <v>1.3988786153841959</v>
      </c>
      <c r="CJ64" s="84">
        <f t="shared" si="64"/>
        <v>0.56670970459677039</v>
      </c>
      <c r="CK64" s="84">
        <f t="shared" si="64"/>
        <v>0.66452992662881327</v>
      </c>
      <c r="CL64" s="84">
        <f t="shared" si="64"/>
        <v>0.79958485434761284</v>
      </c>
      <c r="CM64" s="84">
        <f t="shared" si="64"/>
        <v>0.87017845032837582</v>
      </c>
      <c r="CN64" s="84">
        <f t="shared" si="64"/>
        <v>0.79958485434761284</v>
      </c>
      <c r="CO64" s="84">
        <f t="shared" ref="CO64" si="65">CO39/$CQ39</f>
        <v>0.80111217341002738</v>
      </c>
      <c r="CP64" s="84">
        <f t="shared" si="59"/>
        <v>0.74921280650193256</v>
      </c>
    </row>
    <row r="65" spans="1:94">
      <c r="A65" s="39" t="s">
        <v>119</v>
      </c>
      <c r="B65" s="40" t="s">
        <v>128</v>
      </c>
      <c r="C65" s="83">
        <f t="shared" ref="C65:AA65" si="66">C40/$AB40</f>
        <v>0.59378794092179676</v>
      </c>
      <c r="D65" s="84">
        <f t="shared" si="66"/>
        <v>1.2502947514177549</v>
      </c>
      <c r="E65" s="84">
        <f t="shared" si="66"/>
        <v>1.3902855595901578</v>
      </c>
      <c r="F65" s="84">
        <f t="shared" si="66"/>
        <v>1.1962485835287486</v>
      </c>
      <c r="G65" s="84">
        <f t="shared" si="66"/>
        <v>0.72326289492317375</v>
      </c>
      <c r="H65" s="84">
        <f t="shared" si="66"/>
        <v>1.0634916912411456</v>
      </c>
      <c r="I65" s="84">
        <f t="shared" si="66"/>
        <v>0.72605220169077034</v>
      </c>
      <c r="J65" s="84">
        <f t="shared" si="66"/>
        <v>1.088071584318975</v>
      </c>
      <c r="K65" s="84">
        <f t="shared" si="66"/>
        <v>0.96971341258147481</v>
      </c>
      <c r="L65" s="84">
        <f t="shared" si="66"/>
        <v>1.1395768596950484</v>
      </c>
      <c r="M65" s="84">
        <f t="shared" si="66"/>
        <v>0.82720942816592702</v>
      </c>
      <c r="N65" s="84">
        <f t="shared" si="66"/>
        <v>0.82358850193158484</v>
      </c>
      <c r="O65" s="84">
        <f t="shared" si="66"/>
        <v>1</v>
      </c>
      <c r="P65" s="84">
        <f t="shared" si="66"/>
        <v>1.0971360909218413</v>
      </c>
      <c r="Q65" s="84">
        <f t="shared" si="66"/>
        <v>0.8380858493597928</v>
      </c>
      <c r="R65" s="84">
        <f t="shared" si="66"/>
        <v>0.89603811555051238</v>
      </c>
      <c r="S65" s="84">
        <f t="shared" si="66"/>
        <v>0.96027314133192709</v>
      </c>
      <c r="T65" s="84">
        <f t="shared" si="66"/>
        <v>1.0473228399141765</v>
      </c>
      <c r="U65" s="84">
        <f t="shared" si="66"/>
        <v>0.99657584607865679</v>
      </c>
      <c r="V65" s="84">
        <f t="shared" si="66"/>
        <v>1.2205696971846214</v>
      </c>
      <c r="W65" s="84">
        <f t="shared" si="66"/>
        <v>1.1150403071900852</v>
      </c>
      <c r="X65" s="84">
        <f t="shared" si="66"/>
        <v>1.2208889165332697</v>
      </c>
      <c r="Y65" s="84">
        <f t="shared" si="66"/>
        <v>1.2539879647038461</v>
      </c>
      <c r="Z65" s="84">
        <f t="shared" si="66"/>
        <v>0.55740692732735031</v>
      </c>
      <c r="AA65" s="84">
        <f t="shared" si="66"/>
        <v>0.99710262266928307</v>
      </c>
      <c r="AC65" s="84">
        <f t="shared" ref="AC65:CN65" si="67">AC40/$CQ40</f>
        <v>1.0707940685475328</v>
      </c>
      <c r="AD65" s="84">
        <f t="shared" si="67"/>
        <v>1.0805645336998515</v>
      </c>
      <c r="AE65" s="84">
        <f t="shared" si="67"/>
        <v>1.2033387687528843</v>
      </c>
      <c r="AF65" s="84">
        <f t="shared" si="67"/>
        <v>1.0939466709745054</v>
      </c>
      <c r="AG65" s="84">
        <f t="shared" si="67"/>
        <v>1.1002806477928417</v>
      </c>
      <c r="AH65" s="84">
        <f t="shared" si="67"/>
        <v>1.2555763988799586</v>
      </c>
      <c r="AI65" s="84">
        <f t="shared" si="67"/>
        <v>1.2420051354042763</v>
      </c>
      <c r="AJ65" s="84">
        <f t="shared" si="67"/>
        <v>1.3146617546609936</v>
      </c>
      <c r="AK65" s="84">
        <f t="shared" si="67"/>
        <v>0.71396048782798749</v>
      </c>
      <c r="AL65" s="84">
        <f t="shared" si="67"/>
        <v>0.98315883288964523</v>
      </c>
      <c r="AM65" s="84">
        <f t="shared" si="67"/>
        <v>1.0837445568493873</v>
      </c>
      <c r="AN65" s="84">
        <f t="shared" si="67"/>
        <v>1.0014705750681789</v>
      </c>
      <c r="AO65" s="84">
        <f t="shared" si="67"/>
        <v>0.68392241906786932</v>
      </c>
      <c r="AP65" s="84">
        <f t="shared" si="67"/>
        <v>0.6736508578374254</v>
      </c>
      <c r="AQ65" s="84">
        <f t="shared" si="67"/>
        <v>1.0732468048949539</v>
      </c>
      <c r="AR65" s="84">
        <f t="shared" si="67"/>
        <v>0.9954382625117173</v>
      </c>
      <c r="AS65" s="84">
        <f t="shared" si="67"/>
        <v>1.1102337769506267</v>
      </c>
      <c r="AT65" s="84">
        <f t="shared" si="67"/>
        <v>1.0767471875794046</v>
      </c>
      <c r="AU65" s="84">
        <f t="shared" si="67"/>
        <v>0.9540552495956145</v>
      </c>
      <c r="AV65" s="84">
        <f t="shared" si="67"/>
        <v>1.0080385136736167</v>
      </c>
      <c r="AW65" s="84">
        <f t="shared" si="67"/>
        <v>0.80678345407324581</v>
      </c>
      <c r="AX65" s="84">
        <f t="shared" si="67"/>
        <v>0.7208656127922094</v>
      </c>
      <c r="AY65" s="84">
        <f t="shared" si="67"/>
        <v>0.81372029112386735</v>
      </c>
      <c r="AZ65" s="84">
        <f t="shared" si="67"/>
        <v>0.77620340844733426</v>
      </c>
      <c r="BA65" s="84">
        <f t="shared" si="67"/>
        <v>0.68332070590520133</v>
      </c>
      <c r="BB65" s="84">
        <f t="shared" si="67"/>
        <v>0.9249347296696544</v>
      </c>
      <c r="BC65" s="84">
        <f t="shared" si="67"/>
        <v>0.91681064860299977</v>
      </c>
      <c r="BD65" s="84">
        <f t="shared" si="67"/>
        <v>0.6872705574820841</v>
      </c>
      <c r="BE65" s="84">
        <f t="shared" si="67"/>
        <v>1.1625998377610254</v>
      </c>
      <c r="BF65" s="84">
        <f t="shared" si="67"/>
        <v>1.1009277478247215</v>
      </c>
      <c r="BG65" s="84">
        <f t="shared" si="67"/>
        <v>1.0534761266542625</v>
      </c>
      <c r="BH65" s="84">
        <f t="shared" si="67"/>
        <v>0.93824040296152611</v>
      </c>
      <c r="BI65" s="84">
        <f t="shared" si="67"/>
        <v>1.1060892764499577</v>
      </c>
      <c r="BJ65" s="84">
        <f t="shared" si="67"/>
        <v>0.58125968205255862</v>
      </c>
      <c r="BK65" s="84">
        <f t="shared" si="67"/>
        <v>0.70312245839757337</v>
      </c>
      <c r="BL65" s="84">
        <f t="shared" si="67"/>
        <v>0.66939113743961576</v>
      </c>
      <c r="BM65" s="84">
        <f t="shared" si="67"/>
        <v>1.040500590621825</v>
      </c>
      <c r="BN65" s="84">
        <f t="shared" si="67"/>
        <v>0.99852942493182095</v>
      </c>
      <c r="BO65" s="84">
        <f t="shared" si="67"/>
        <v>0.55389112798142304</v>
      </c>
      <c r="BP65" s="84">
        <f t="shared" si="67"/>
        <v>0.79022400050508679</v>
      </c>
      <c r="BQ65" s="84">
        <f t="shared" si="67"/>
        <v>0.96192809576404903</v>
      </c>
      <c r="BR65" s="84">
        <f t="shared" si="67"/>
        <v>0.89682596980906992</v>
      </c>
      <c r="BS65" s="84">
        <f t="shared" si="67"/>
        <v>0.82288761666532551</v>
      </c>
      <c r="BT65" s="84">
        <f t="shared" si="67"/>
        <v>1.0200637578778786</v>
      </c>
      <c r="BU65" s="84">
        <f t="shared" si="67"/>
        <v>0.76039792213490121</v>
      </c>
      <c r="BV65" s="84">
        <f t="shared" si="67"/>
        <v>0.98676194804744821</v>
      </c>
      <c r="BW65" s="84">
        <f t="shared" si="67"/>
        <v>1.1850488993767774</v>
      </c>
      <c r="BX65" s="84">
        <f t="shared" si="67"/>
        <v>1.0678072565350687</v>
      </c>
      <c r="BY65" s="84">
        <f t="shared" si="67"/>
        <v>1.1113375319305177</v>
      </c>
      <c r="BZ65" s="84">
        <f t="shared" si="67"/>
        <v>1.1917153433375847</v>
      </c>
      <c r="CA65" s="84">
        <f t="shared" si="67"/>
        <v>1.214138345161806</v>
      </c>
      <c r="CB65" s="84">
        <f t="shared" si="67"/>
        <v>1.1377189863758848</v>
      </c>
      <c r="CC65" s="84">
        <f t="shared" si="67"/>
        <v>1.145361304103957</v>
      </c>
      <c r="CD65" s="84">
        <f t="shared" si="67"/>
        <v>1.2808525354832514</v>
      </c>
      <c r="CE65" s="84">
        <f t="shared" si="67"/>
        <v>1.1295276864651413</v>
      </c>
      <c r="CF65" s="84">
        <f t="shared" si="67"/>
        <v>1.1844365683386724</v>
      </c>
      <c r="CG65" s="84">
        <f t="shared" si="67"/>
        <v>1.3915229503618085</v>
      </c>
      <c r="CH65" s="84">
        <f t="shared" si="67"/>
        <v>1.325161220765954</v>
      </c>
      <c r="CI65" s="84">
        <f t="shared" si="67"/>
        <v>1.3308324918313346</v>
      </c>
      <c r="CJ65" s="84">
        <f t="shared" si="67"/>
        <v>0.53747960590415611</v>
      </c>
      <c r="CK65" s="84">
        <f t="shared" si="67"/>
        <v>0.58022530330015643</v>
      </c>
      <c r="CL65" s="84">
        <f t="shared" si="67"/>
        <v>0.80047299697914664</v>
      </c>
      <c r="CM65" s="84">
        <f t="shared" si="67"/>
        <v>0.77739412144864606</v>
      </c>
      <c r="CN65" s="84">
        <f t="shared" si="67"/>
        <v>0.80047299697914664</v>
      </c>
      <c r="CO65" s="84">
        <f t="shared" ref="CO65" si="68">CO40/$CQ40</f>
        <v>0.789469768668004</v>
      </c>
      <c r="CP65" s="84">
        <f t="shared" si="59"/>
        <v>0.77237385010103987</v>
      </c>
    </row>
    <row r="66" spans="1:94">
      <c r="A66" s="39" t="s">
        <v>120</v>
      </c>
      <c r="B66" s="40" t="s">
        <v>128</v>
      </c>
      <c r="C66" s="83">
        <f t="shared" ref="C66:AA66" si="69">C41/$AB41</f>
        <v>0.57700228382124186</v>
      </c>
      <c r="D66" s="84">
        <f t="shared" si="69"/>
        <v>1.2155610235677821</v>
      </c>
      <c r="E66" s="84">
        <f t="shared" si="69"/>
        <v>1.3885974778451828</v>
      </c>
      <c r="F66" s="84">
        <f t="shared" si="69"/>
        <v>1.1800085520160073</v>
      </c>
      <c r="G66" s="84">
        <f t="shared" si="69"/>
        <v>0.68762738991916461</v>
      </c>
      <c r="H66" s="84">
        <f t="shared" si="69"/>
        <v>1.0796058335690535</v>
      </c>
      <c r="I66" s="84">
        <f t="shared" si="69"/>
        <v>0.68595709812360162</v>
      </c>
      <c r="J66" s="84">
        <f t="shared" si="69"/>
        <v>1.0222667506397831</v>
      </c>
      <c r="K66" s="84">
        <f t="shared" si="69"/>
        <v>0.86990877392721166</v>
      </c>
      <c r="L66" s="84">
        <f t="shared" si="69"/>
        <v>1.0913917129763022</v>
      </c>
      <c r="M66" s="84">
        <f t="shared" si="69"/>
        <v>0.82388940642150166</v>
      </c>
      <c r="N66" s="84">
        <f t="shared" si="69"/>
        <v>0.79274538747791878</v>
      </c>
      <c r="O66" s="84">
        <f t="shared" si="69"/>
        <v>1</v>
      </c>
      <c r="P66" s="84">
        <f t="shared" si="69"/>
        <v>1.1030371803945989</v>
      </c>
      <c r="Q66" s="84">
        <f t="shared" si="69"/>
        <v>0.84116387761811595</v>
      </c>
      <c r="R66" s="84">
        <f t="shared" si="69"/>
        <v>0.88973111936475513</v>
      </c>
      <c r="S66" s="84">
        <f t="shared" si="69"/>
        <v>0.94622066752859402</v>
      </c>
      <c r="T66" s="84">
        <f t="shared" si="69"/>
        <v>1.0645254187356348</v>
      </c>
      <c r="U66" s="84">
        <f t="shared" si="69"/>
        <v>0.99869464892207549</v>
      </c>
      <c r="V66" s="84">
        <f t="shared" si="69"/>
        <v>1.2448001570126961</v>
      </c>
      <c r="W66" s="84">
        <f t="shared" si="69"/>
        <v>1.1210601769471999</v>
      </c>
      <c r="X66" s="84">
        <f t="shared" si="69"/>
        <v>1.2004768120505176</v>
      </c>
      <c r="Y66" s="84">
        <f t="shared" si="69"/>
        <v>1.2486723364814025</v>
      </c>
      <c r="Z66" s="84">
        <f t="shared" si="69"/>
        <v>0.55026736954929834</v>
      </c>
      <c r="AA66" s="84">
        <f t="shared" si="69"/>
        <v>0.94510517910629399</v>
      </c>
      <c r="AC66" s="84">
        <f t="shared" ref="AC66:CN66" si="70">AC41/$CQ41</f>
        <v>1.080035932735212</v>
      </c>
      <c r="AD66" s="84">
        <f t="shared" si="70"/>
        <v>1.0819954620140932</v>
      </c>
      <c r="AE66" s="84">
        <f t="shared" si="70"/>
        <v>1.1659420386322876</v>
      </c>
      <c r="AF66" s="84">
        <f t="shared" si="70"/>
        <v>1.1038680457173207</v>
      </c>
      <c r="AG66" s="84">
        <f t="shared" si="70"/>
        <v>1.0621461328801809</v>
      </c>
      <c r="AH66" s="84">
        <f t="shared" si="70"/>
        <v>1.2372759483788935</v>
      </c>
      <c r="AI66" s="84">
        <f t="shared" si="70"/>
        <v>1.180295000445905</v>
      </c>
      <c r="AJ66" s="84">
        <f t="shared" si="70"/>
        <v>1.3008744468901352</v>
      </c>
      <c r="AK66" s="84">
        <f t="shared" si="70"/>
        <v>0.72324889991491081</v>
      </c>
      <c r="AL66" s="84">
        <f t="shared" si="70"/>
        <v>1.0062718352460489</v>
      </c>
      <c r="AM66" s="84">
        <f t="shared" si="70"/>
        <v>1.0724442207310931</v>
      </c>
      <c r="AN66" s="84">
        <f t="shared" si="70"/>
        <v>0.95369311511966737</v>
      </c>
      <c r="AO66" s="84">
        <f t="shared" si="70"/>
        <v>0.63848213238274842</v>
      </c>
      <c r="AP66" s="84">
        <f t="shared" si="70"/>
        <v>0.73173053191438808</v>
      </c>
      <c r="AQ66" s="84">
        <f t="shared" si="70"/>
        <v>1.0907059558977976</v>
      </c>
      <c r="AR66" s="84">
        <f t="shared" si="70"/>
        <v>1.0005414453067216</v>
      </c>
      <c r="AS66" s="84">
        <f t="shared" si="70"/>
        <v>1.094932519908935</v>
      </c>
      <c r="AT66" s="84">
        <f t="shared" si="70"/>
        <v>1.0668838753410592</v>
      </c>
      <c r="AU66" s="84">
        <f t="shared" si="70"/>
        <v>0.92102805686945965</v>
      </c>
      <c r="AV66" s="84">
        <f t="shared" si="70"/>
        <v>0.96589745528582316</v>
      </c>
      <c r="AW66" s="84">
        <f t="shared" si="70"/>
        <v>0.78501443191518216</v>
      </c>
      <c r="AX66" s="84">
        <f t="shared" si="70"/>
        <v>0.70061031497716375</v>
      </c>
      <c r="AY66" s="84">
        <f t="shared" si="70"/>
        <v>0.73742593646295884</v>
      </c>
      <c r="AZ66" s="84">
        <f t="shared" si="70"/>
        <v>0.63008099280412211</v>
      </c>
      <c r="BA66" s="84">
        <f t="shared" si="70"/>
        <v>0.69558408947403838</v>
      </c>
      <c r="BB66" s="84">
        <f t="shared" si="70"/>
        <v>0.8912213295861372</v>
      </c>
      <c r="BC66" s="84">
        <f t="shared" si="70"/>
        <v>0.93376577411288886</v>
      </c>
      <c r="BD66" s="84">
        <f t="shared" si="70"/>
        <v>0.71089280701192215</v>
      </c>
      <c r="BE66" s="84">
        <f t="shared" si="70"/>
        <v>1.1298683350241463</v>
      </c>
      <c r="BF66" s="84">
        <f t="shared" si="70"/>
        <v>1.0862412511361601</v>
      </c>
      <c r="BG66" s="84">
        <f t="shared" si="70"/>
        <v>1.0357207234715715</v>
      </c>
      <c r="BH66" s="84">
        <f t="shared" si="70"/>
        <v>0.91771463401958731</v>
      </c>
      <c r="BI66" s="84">
        <f t="shared" si="70"/>
        <v>1.084716304219957</v>
      </c>
      <c r="BJ66" s="84">
        <f t="shared" si="70"/>
        <v>0.674853032353393</v>
      </c>
      <c r="BK66" s="84">
        <f t="shared" si="70"/>
        <v>0.72279505270531719</v>
      </c>
      <c r="BL66" s="84">
        <f t="shared" si="70"/>
        <v>0.67871794297319321</v>
      </c>
      <c r="BM66" s="84">
        <f t="shared" si="70"/>
        <v>1.0048996592753936</v>
      </c>
      <c r="BN66" s="84">
        <f t="shared" si="70"/>
        <v>0.99945855469327827</v>
      </c>
      <c r="BO66" s="84">
        <f t="shared" si="70"/>
        <v>0.56391494811312359</v>
      </c>
      <c r="BP66" s="84">
        <f t="shared" si="70"/>
        <v>0.7740481754449956</v>
      </c>
      <c r="BQ66" s="84">
        <f t="shared" si="70"/>
        <v>0.9254020304280357</v>
      </c>
      <c r="BR66" s="84">
        <f t="shared" si="70"/>
        <v>0.84625479764445055</v>
      </c>
      <c r="BS66" s="84">
        <f t="shared" si="70"/>
        <v>0.85824898736849797</v>
      </c>
      <c r="BT66" s="84">
        <f t="shared" si="70"/>
        <v>1.0140132780498043</v>
      </c>
      <c r="BU66" s="84">
        <f t="shared" si="70"/>
        <v>0.77681294044480242</v>
      </c>
      <c r="BV66" s="84">
        <f t="shared" si="70"/>
        <v>0.97188720306548382</v>
      </c>
      <c r="BW66" s="84">
        <f t="shared" si="70"/>
        <v>1.1764092924703522</v>
      </c>
      <c r="BX66" s="84">
        <f t="shared" si="70"/>
        <v>1.0416486498648456</v>
      </c>
      <c r="BY66" s="84">
        <f t="shared" si="70"/>
        <v>1.1463319469497901</v>
      </c>
      <c r="BZ66" s="84">
        <f t="shared" si="70"/>
        <v>1.1303128201492223</v>
      </c>
      <c r="CA66" s="84">
        <f t="shared" si="70"/>
        <v>1.1876486226017355</v>
      </c>
      <c r="CB66" s="84">
        <f t="shared" si="70"/>
        <v>1.1505676413639312</v>
      </c>
      <c r="CC66" s="84">
        <f t="shared" si="70"/>
        <v>1.1731160826396554</v>
      </c>
      <c r="CD66" s="84">
        <f t="shared" si="70"/>
        <v>1.2272827835972675</v>
      </c>
      <c r="CE66" s="84">
        <f t="shared" si="70"/>
        <v>1.1233303428195696</v>
      </c>
      <c r="CF66" s="84">
        <f t="shared" si="70"/>
        <v>1.1791300780137295</v>
      </c>
      <c r="CG66" s="84">
        <f t="shared" si="70"/>
        <v>1.3785477342981505</v>
      </c>
      <c r="CH66" s="84">
        <f t="shared" si="70"/>
        <v>1.2953522935257593</v>
      </c>
      <c r="CI66" s="84">
        <f t="shared" si="70"/>
        <v>1.3311177110405252</v>
      </c>
      <c r="CJ66" s="84">
        <f t="shared" si="70"/>
        <v>0.5863816511065274</v>
      </c>
      <c r="CK66" s="84">
        <f t="shared" si="70"/>
        <v>0.56027712667261909</v>
      </c>
      <c r="CL66" s="84">
        <f t="shared" si="70"/>
        <v>0.88176974740841485</v>
      </c>
      <c r="CM66" s="84">
        <f t="shared" si="70"/>
        <v>0.77070442349734181</v>
      </c>
      <c r="CN66" s="84">
        <f t="shared" si="70"/>
        <v>0.88176974740841485</v>
      </c>
      <c r="CO66" s="84">
        <f t="shared" ref="CO66" si="71">CO41/$CQ41</f>
        <v>0.73141658936559495</v>
      </c>
      <c r="CP66" s="84">
        <f t="shared" si="59"/>
        <v>0.70726834616530776</v>
      </c>
    </row>
    <row r="67" spans="1:94">
      <c r="A67" s="39" t="s">
        <v>129</v>
      </c>
      <c r="B67" s="40" t="s">
        <v>128</v>
      </c>
      <c r="C67" s="114">
        <f t="shared" ref="C67:AA67" si="72">C42/$AB42</f>
        <v>0.64098883886929647</v>
      </c>
      <c r="D67" s="115">
        <f t="shared" si="72"/>
        <v>1.2706822208579334</v>
      </c>
      <c r="E67" s="115">
        <f t="shared" si="72"/>
        <v>1.3661767157256874</v>
      </c>
      <c r="F67" s="115">
        <f t="shared" si="72"/>
        <v>1.1756552152873714</v>
      </c>
      <c r="G67" s="115">
        <f t="shared" si="72"/>
        <v>0.88841490045622706</v>
      </c>
      <c r="H67" s="115">
        <f t="shared" si="72"/>
        <v>1.0243388918766365</v>
      </c>
      <c r="I67" s="115">
        <f t="shared" si="72"/>
        <v>0.71520384524085812</v>
      </c>
      <c r="J67" s="115">
        <f t="shared" si="72"/>
        <v>1.1114415340667301</v>
      </c>
      <c r="K67" s="115">
        <f t="shared" si="72"/>
        <v>1.0643633047046204</v>
      </c>
      <c r="L67" s="115">
        <f t="shared" si="72"/>
        <v>1.221114255215199</v>
      </c>
      <c r="M67" s="115">
        <f t="shared" si="72"/>
        <v>0.94108748169615375</v>
      </c>
      <c r="N67" s="115">
        <f t="shared" si="72"/>
        <v>0.88487126056379495</v>
      </c>
      <c r="O67" s="115">
        <f t="shared" si="72"/>
        <v>1</v>
      </c>
      <c r="P67" s="115">
        <f t="shared" si="72"/>
        <v>1.1526629635931154</v>
      </c>
      <c r="Q67" s="115">
        <f t="shared" si="72"/>
        <v>0.86034563040100309</v>
      </c>
      <c r="R67" s="115">
        <f t="shared" si="72"/>
        <v>0.90009812863935523</v>
      </c>
      <c r="S67" s="115">
        <f t="shared" si="72"/>
        <v>0.90633235764258679</v>
      </c>
      <c r="T67" s="115">
        <f t="shared" si="72"/>
        <v>0.98440624961006262</v>
      </c>
      <c r="U67" s="115">
        <f t="shared" si="72"/>
        <v>0.99113439858167085</v>
      </c>
      <c r="V67" s="115">
        <f t="shared" si="72"/>
        <v>1.1417456752230131</v>
      </c>
      <c r="W67" s="115">
        <f t="shared" si="72"/>
        <v>1.0325583296226173</v>
      </c>
      <c r="X67" s="115">
        <f t="shared" si="72"/>
        <v>1.2049098352538734</v>
      </c>
      <c r="Y67" s="115">
        <f t="shared" si="72"/>
        <v>1.2866309415711426</v>
      </c>
      <c r="Z67" s="115">
        <f t="shared" si="72"/>
        <v>0.56133154329074542</v>
      </c>
      <c r="AA67" s="115">
        <f t="shared" si="72"/>
        <v>0.98057296365842161</v>
      </c>
      <c r="AC67" s="115">
        <f t="shared" ref="AC67:CN67" si="73">AC42/$CQ42</f>
        <v>1.0718987208354647</v>
      </c>
      <c r="AD67" s="115">
        <f t="shared" si="73"/>
        <v>1.0937793922899532</v>
      </c>
      <c r="AE67" s="115">
        <f t="shared" si="73"/>
        <v>1.1851488506574723</v>
      </c>
      <c r="AF67" s="115">
        <f t="shared" si="73"/>
        <v>1.0720436937825726</v>
      </c>
      <c r="AG67" s="115">
        <f t="shared" si="73"/>
        <v>1.1153062249235131</v>
      </c>
      <c r="AH67" s="115">
        <f t="shared" si="73"/>
        <v>1.2152458284508056</v>
      </c>
      <c r="AI67" s="115">
        <f t="shared" si="73"/>
        <v>1.2304668197233666</v>
      </c>
      <c r="AJ67" s="115">
        <f t="shared" si="73"/>
        <v>1.291670232533749</v>
      </c>
      <c r="AK67" s="115">
        <f t="shared" si="73"/>
        <v>0.64566684543555575</v>
      </c>
      <c r="AL67" s="115">
        <f t="shared" si="73"/>
        <v>0.9674603451518784</v>
      </c>
      <c r="AM67" s="115">
        <f t="shared" si="73"/>
        <v>1.1079488973306524</v>
      </c>
      <c r="AN67" s="115">
        <f t="shared" si="73"/>
        <v>1.0416756248236128</v>
      </c>
      <c r="AO67" s="115">
        <f t="shared" si="73"/>
        <v>0.66378211400569997</v>
      </c>
      <c r="AP67" s="115">
        <f t="shared" si="73"/>
        <v>0.7060882562692804</v>
      </c>
      <c r="AQ67" s="115">
        <f t="shared" si="73"/>
        <v>1.0991950966862971</v>
      </c>
      <c r="AR67" s="115">
        <f t="shared" si="73"/>
        <v>1.030965119621444</v>
      </c>
      <c r="AS67" s="115">
        <f t="shared" si="73"/>
        <v>1.1214443821436577</v>
      </c>
      <c r="AT67" s="115">
        <f t="shared" si="73"/>
        <v>1.1279295629494768</v>
      </c>
      <c r="AU67" s="115">
        <f t="shared" si="73"/>
        <v>0.94494018114254652</v>
      </c>
      <c r="AV67" s="115">
        <f t="shared" si="73"/>
        <v>1.0187676270799324</v>
      </c>
      <c r="AW67" s="115">
        <f t="shared" si="73"/>
        <v>0.85451710175245288</v>
      </c>
      <c r="AX67" s="115">
        <f t="shared" si="73"/>
        <v>0.76044807973547179</v>
      </c>
      <c r="AY67" s="115">
        <f t="shared" si="73"/>
        <v>0.84892907056674982</v>
      </c>
      <c r="AZ67" s="115">
        <f t="shared" si="73"/>
        <v>0.80881882817155692</v>
      </c>
      <c r="BA67" s="115">
        <f t="shared" si="73"/>
        <v>0.71331353107270301</v>
      </c>
      <c r="BB67" s="115">
        <f t="shared" si="73"/>
        <v>0.90493733768443629</v>
      </c>
      <c r="BC67" s="115">
        <f t="shared" si="73"/>
        <v>0.95318541871949403</v>
      </c>
      <c r="BD67" s="115">
        <f t="shared" si="73"/>
        <v>0.6972509992705529</v>
      </c>
      <c r="BE67" s="115">
        <f t="shared" si="73"/>
        <v>1.1825683501712447</v>
      </c>
      <c r="BF67" s="115">
        <f t="shared" si="73"/>
        <v>1.0846495373637615</v>
      </c>
      <c r="BG67" s="115">
        <f t="shared" si="73"/>
        <v>1.0742911421063484</v>
      </c>
      <c r="BH67" s="115">
        <f t="shared" si="73"/>
        <v>0.96529868587920664</v>
      </c>
      <c r="BI67" s="115">
        <f t="shared" si="73"/>
        <v>1.1556409828943393</v>
      </c>
      <c r="BJ67" s="115">
        <f t="shared" si="73"/>
        <v>0.67626753227133585</v>
      </c>
      <c r="BK67" s="115">
        <f t="shared" si="73"/>
        <v>0.63994815764476864</v>
      </c>
      <c r="BL67" s="115">
        <f t="shared" si="73"/>
        <v>0.71868463053793386</v>
      </c>
      <c r="BM67" s="115">
        <f t="shared" si="73"/>
        <v>0.98872305235605962</v>
      </c>
      <c r="BN67" s="115">
        <f t="shared" si="73"/>
        <v>0.97441977759414689</v>
      </c>
      <c r="BO67" s="115">
        <f t="shared" si="73"/>
        <v>0.56375527643617707</v>
      </c>
      <c r="BP67" s="115">
        <f t="shared" si="73"/>
        <v>0.77112976069707417</v>
      </c>
      <c r="BQ67" s="115">
        <f t="shared" si="73"/>
        <v>0.92102170194085098</v>
      </c>
      <c r="BR67" s="115">
        <f t="shared" si="73"/>
        <v>0.92614325939930442</v>
      </c>
      <c r="BS67" s="115">
        <f t="shared" si="73"/>
        <v>0.77451595116182359</v>
      </c>
      <c r="BT67" s="115">
        <f t="shared" si="73"/>
        <v>1.0112769476439405</v>
      </c>
      <c r="BU67" s="115">
        <f t="shared" si="73"/>
        <v>0.75181226959711733</v>
      </c>
      <c r="BV67" s="115">
        <f t="shared" si="73"/>
        <v>0.94778982861361849</v>
      </c>
      <c r="BW67" s="115">
        <f t="shared" si="73"/>
        <v>1.1523914463509819</v>
      </c>
      <c r="BX67" s="115">
        <f t="shared" si="73"/>
        <v>1.0420104525947382</v>
      </c>
      <c r="BY67" s="115">
        <f t="shared" si="73"/>
        <v>1.1182300128438625</v>
      </c>
      <c r="BZ67" s="115">
        <f t="shared" si="73"/>
        <v>1.1732736108026764</v>
      </c>
      <c r="CA67" s="115">
        <f t="shared" si="73"/>
        <v>1.1756897144188365</v>
      </c>
      <c r="CB67" s="115">
        <f t="shared" si="73"/>
        <v>1.1764977353011639</v>
      </c>
      <c r="CC67" s="115">
        <f t="shared" si="73"/>
        <v>1.126661964064672</v>
      </c>
      <c r="CD67" s="115">
        <f t="shared" si="73"/>
        <v>1.2880243832957747</v>
      </c>
      <c r="CE67" s="115">
        <f t="shared" si="73"/>
        <v>1.1830157397845662</v>
      </c>
      <c r="CF67" s="115">
        <f t="shared" si="73"/>
        <v>1.1591838503200291</v>
      </c>
      <c r="CG67" s="115">
        <f t="shared" si="73"/>
        <v>1.3710833614435722</v>
      </c>
      <c r="CH67" s="115">
        <f t="shared" si="73"/>
        <v>1.3214640651679672</v>
      </c>
      <c r="CI67" s="115">
        <f t="shared" si="73"/>
        <v>1.3217283631074845</v>
      </c>
      <c r="CJ67" s="115">
        <f t="shared" si="73"/>
        <v>0.42203222905360827</v>
      </c>
      <c r="CK67" s="115">
        <f t="shared" si="73"/>
        <v>0.58449307480921697</v>
      </c>
      <c r="CL67" s="115">
        <f t="shared" si="73"/>
        <v>0.75115439703721976</v>
      </c>
      <c r="CM67" s="115">
        <f t="shared" si="73"/>
        <v>0.78734856168806611</v>
      </c>
      <c r="CN67" s="115">
        <f t="shared" si="73"/>
        <v>0.75115439703721976</v>
      </c>
      <c r="CO67" s="115">
        <f t="shared" ref="CO67" si="74">CO42/$CQ42</f>
        <v>0.72379851886609414</v>
      </c>
      <c r="CP67" s="115">
        <f t="shared" si="59"/>
        <v>0.69740704016247079</v>
      </c>
    </row>
    <row r="68" spans="1:94">
      <c r="A68" s="10"/>
      <c r="B68" s="39" t="s">
        <v>97</v>
      </c>
      <c r="C68" s="120">
        <f>AVERAGE(C62:C67)</f>
        <v>0.59400559995325086</v>
      </c>
      <c r="D68" s="120">
        <f t="shared" ref="D68:AA68" si="75">AVERAGE(D62:D67)</f>
        <v>1.2414579626487618</v>
      </c>
      <c r="E68" s="120">
        <f t="shared" si="75"/>
        <v>1.3851913091824046</v>
      </c>
      <c r="F68" s="120">
        <f t="shared" si="75"/>
        <v>1.1866239554259062</v>
      </c>
      <c r="G68" s="120">
        <f t="shared" si="75"/>
        <v>0.76641573041488487</v>
      </c>
      <c r="H68" s="120">
        <f t="shared" si="75"/>
        <v>1.0624406963987323</v>
      </c>
      <c r="I68" s="120">
        <f t="shared" si="75"/>
        <v>0.69367270327431096</v>
      </c>
      <c r="J68" s="120">
        <f t="shared" si="75"/>
        <v>1.0709409827362706</v>
      </c>
      <c r="K68" s="120">
        <f t="shared" si="75"/>
        <v>0.95553391808502097</v>
      </c>
      <c r="L68" s="120">
        <f t="shared" si="75"/>
        <v>1.1448127092386646</v>
      </c>
      <c r="M68" s="120">
        <f t="shared" si="75"/>
        <v>0.86365118895887072</v>
      </c>
      <c r="N68" s="120">
        <f t="shared" si="75"/>
        <v>0.83274949595928949</v>
      </c>
      <c r="O68" s="120">
        <f t="shared" si="75"/>
        <v>0.99799946320209865</v>
      </c>
      <c r="P68" s="120">
        <f t="shared" si="75"/>
        <v>1.1233953677818149</v>
      </c>
      <c r="Q68" s="120">
        <f t="shared" si="75"/>
        <v>0.84533150569543991</v>
      </c>
      <c r="R68" s="120">
        <f t="shared" si="75"/>
        <v>0.88797439950010426</v>
      </c>
      <c r="S68" s="120">
        <f t="shared" si="75"/>
        <v>0.93661583022335393</v>
      </c>
      <c r="T68" s="120">
        <f t="shared" si="75"/>
        <v>1.0387715253319529</v>
      </c>
      <c r="U68" s="120">
        <f t="shared" si="75"/>
        <v>0.99618808707627793</v>
      </c>
      <c r="V68" s="120">
        <f t="shared" si="75"/>
        <v>1.2099831043261737</v>
      </c>
      <c r="W68" s="120">
        <f t="shared" si="75"/>
        <v>1.0932350457802893</v>
      </c>
      <c r="X68" s="120">
        <f t="shared" si="75"/>
        <v>1.2064454849312183</v>
      </c>
      <c r="Y68" s="120">
        <f t="shared" si="75"/>
        <v>1.2610017191082024</v>
      </c>
      <c r="Z68" s="120">
        <f t="shared" si="75"/>
        <v>0.52760871043470192</v>
      </c>
      <c r="AA68" s="120">
        <f t="shared" si="75"/>
        <v>0.9662944830307908</v>
      </c>
      <c r="AC68" s="116">
        <f>AVERAGE(AC62:AC67)</f>
        <v>1.0826686690903786</v>
      </c>
      <c r="AD68" s="116">
        <f t="shared" ref="AD68:CO68" si="76">AVERAGE(AD62:AD67)</f>
        <v>1.0837835523232562</v>
      </c>
      <c r="AE68" s="116">
        <f t="shared" si="76"/>
        <v>1.1902717796342721</v>
      </c>
      <c r="AF68" s="116">
        <f t="shared" si="76"/>
        <v>1.0871714697946324</v>
      </c>
      <c r="AG68" s="116">
        <f t="shared" si="76"/>
        <v>1.0893849572160481</v>
      </c>
      <c r="AH68" s="116">
        <f t="shared" si="76"/>
        <v>1.2431312093132749</v>
      </c>
      <c r="AI68" s="116">
        <f t="shared" si="76"/>
        <v>1.2270925008751112</v>
      </c>
      <c r="AJ68" s="116">
        <f t="shared" si="76"/>
        <v>1.307241844800491</v>
      </c>
      <c r="AK68" s="116">
        <f t="shared" si="76"/>
        <v>0.67264630732366715</v>
      </c>
      <c r="AL68" s="116">
        <f t="shared" si="76"/>
        <v>0.98378179589608672</v>
      </c>
      <c r="AM68" s="116">
        <f t="shared" si="76"/>
        <v>1.0895717806038085</v>
      </c>
      <c r="AN68" s="116">
        <f t="shared" si="76"/>
        <v>1.0021007748778932</v>
      </c>
      <c r="AO68" s="116">
        <f t="shared" si="76"/>
        <v>0.67246149331096794</v>
      </c>
      <c r="AP68" s="116">
        <f t="shared" si="76"/>
        <v>0.73993459923661409</v>
      </c>
      <c r="AQ68" s="116">
        <f t="shared" si="76"/>
        <v>1.0865779152936963</v>
      </c>
      <c r="AR68" s="116">
        <f t="shared" si="76"/>
        <v>1.0092759926793837</v>
      </c>
      <c r="AS68" s="116">
        <f t="shared" si="76"/>
        <v>1.1040113712955426</v>
      </c>
      <c r="AT68" s="116">
        <f t="shared" si="76"/>
        <v>1.0921780244489783</v>
      </c>
      <c r="AU68" s="116">
        <f t="shared" si="76"/>
        <v>0.94205229779607835</v>
      </c>
      <c r="AV68" s="116">
        <f t="shared" si="76"/>
        <v>0.99953538951256693</v>
      </c>
      <c r="AW68" s="116">
        <f t="shared" si="76"/>
        <v>0.82352522594427902</v>
      </c>
      <c r="AX68" s="116">
        <f t="shared" si="76"/>
        <v>0.7319243317038534</v>
      </c>
      <c r="AY68" s="116">
        <f t="shared" si="76"/>
        <v>0.7979432170919033</v>
      </c>
      <c r="AZ68" s="116">
        <f t="shared" si="76"/>
        <v>0.72068779016197482</v>
      </c>
      <c r="BA68" s="116">
        <f t="shared" si="76"/>
        <v>0.71112733668947181</v>
      </c>
      <c r="BB68" s="116">
        <f t="shared" si="76"/>
        <v>0.90818172140622233</v>
      </c>
      <c r="BC68" s="116">
        <f t="shared" si="76"/>
        <v>0.94138929434356244</v>
      </c>
      <c r="BD68" s="116">
        <f t="shared" si="76"/>
        <v>0.68397235604913609</v>
      </c>
      <c r="BE68" s="116">
        <f t="shared" si="76"/>
        <v>1.1543415503457111</v>
      </c>
      <c r="BF68" s="116">
        <f t="shared" si="76"/>
        <v>1.1035228042473817</v>
      </c>
      <c r="BG68" s="116">
        <f t="shared" si="76"/>
        <v>1.059145220688924</v>
      </c>
      <c r="BH68" s="116">
        <f t="shared" si="76"/>
        <v>0.94554449996766177</v>
      </c>
      <c r="BI68" s="116">
        <f t="shared" si="76"/>
        <v>1.1206834267414669</v>
      </c>
      <c r="BJ68" s="116">
        <f t="shared" si="76"/>
        <v>0.65861167895179762</v>
      </c>
      <c r="BK68" s="116">
        <f t="shared" si="76"/>
        <v>0.68858384254876304</v>
      </c>
      <c r="BL68" s="116">
        <f t="shared" si="76"/>
        <v>0.66240263801940336</v>
      </c>
      <c r="BM68" s="116">
        <f t="shared" si="76"/>
        <v>1.0085526492016743</v>
      </c>
      <c r="BN68" s="116">
        <f t="shared" si="76"/>
        <v>1.0010519360763976</v>
      </c>
      <c r="BO68" s="116">
        <f t="shared" si="76"/>
        <v>0.5585376304303975</v>
      </c>
      <c r="BP68" s="116">
        <f t="shared" si="76"/>
        <v>0.77922035075108764</v>
      </c>
      <c r="BQ68" s="116">
        <f t="shared" si="76"/>
        <v>0.93944993341052507</v>
      </c>
      <c r="BR68" s="116">
        <f t="shared" si="76"/>
        <v>0.89470007887457659</v>
      </c>
      <c r="BS68" s="116">
        <f t="shared" si="76"/>
        <v>0.81433064944401823</v>
      </c>
      <c r="BT68" s="116">
        <f t="shared" si="76"/>
        <v>1.0189344252257084</v>
      </c>
      <c r="BU68" s="116">
        <f t="shared" si="76"/>
        <v>0.76576278953633459</v>
      </c>
      <c r="BV68" s="116">
        <f t="shared" si="76"/>
        <v>0.98207876348373235</v>
      </c>
      <c r="BW68" s="116">
        <f t="shared" si="76"/>
        <v>1.1830736808685784</v>
      </c>
      <c r="BX68" s="116">
        <f t="shared" si="76"/>
        <v>1.0583991309153618</v>
      </c>
      <c r="BY68" s="116">
        <f t="shared" si="76"/>
        <v>1.1293424656398119</v>
      </c>
      <c r="BZ68" s="116">
        <f t="shared" si="76"/>
        <v>1.1741272496015018</v>
      </c>
      <c r="CA68" s="116">
        <f t="shared" si="76"/>
        <v>1.1981444404311274</v>
      </c>
      <c r="CB68" s="116">
        <f t="shared" si="76"/>
        <v>1.1420520127694342</v>
      </c>
      <c r="CC68" s="116">
        <f t="shared" si="76"/>
        <v>1.1517591872086823</v>
      </c>
      <c r="CD68" s="116">
        <f t="shared" si="76"/>
        <v>1.2664732577386801</v>
      </c>
      <c r="CE68" s="116">
        <f t="shared" si="76"/>
        <v>1.1475965780485173</v>
      </c>
      <c r="CF68" s="116">
        <f t="shared" si="76"/>
        <v>1.1831553131403632</v>
      </c>
      <c r="CG68" s="116">
        <f t="shared" si="76"/>
        <v>1.3856928803330992</v>
      </c>
      <c r="CH68" s="116">
        <f t="shared" si="76"/>
        <v>1.3146912128192618</v>
      </c>
      <c r="CI68" s="116">
        <f t="shared" si="76"/>
        <v>1.332832637097852</v>
      </c>
      <c r="CJ68" s="116">
        <f t="shared" si="76"/>
        <v>0.50058761971346055</v>
      </c>
      <c r="CK68" s="116">
        <f t="shared" si="76"/>
        <v>0.57261628191916758</v>
      </c>
      <c r="CL68" s="116">
        <f t="shared" si="76"/>
        <v>0.79714546093912075</v>
      </c>
      <c r="CM68" s="116">
        <f t="shared" si="76"/>
        <v>0.80808694285597238</v>
      </c>
      <c r="CN68" s="116">
        <f t="shared" si="76"/>
        <v>0.79714546093912075</v>
      </c>
      <c r="CO68" s="116">
        <f t="shared" si="76"/>
        <v>0.744526177920113</v>
      </c>
      <c r="CP68" s="116">
        <f t="shared" ref="CP68" si="77">AVERAGE(CP62:CP67)</f>
        <v>0.7295556110231568</v>
      </c>
    </row>
    <row r="69" spans="1:94">
      <c r="A69" s="10"/>
      <c r="B69" s="39" t="s">
        <v>98</v>
      </c>
      <c r="C69" s="120">
        <f>_xlfn.STDEV.S(C62:C67)</f>
        <v>4.4585617532963528E-2</v>
      </c>
      <c r="D69" s="120">
        <f t="shared" ref="D69:AA69" si="78">_xlfn.STDEV.S(D62:D67)</f>
        <v>1.836214171028458E-2</v>
      </c>
      <c r="E69" s="120">
        <f t="shared" si="78"/>
        <v>1.4931559907299448E-2</v>
      </c>
      <c r="F69" s="120">
        <f t="shared" si="78"/>
        <v>1.3571929616994605E-2</v>
      </c>
      <c r="G69" s="120">
        <f t="shared" si="78"/>
        <v>8.0547203516976848E-2</v>
      </c>
      <c r="H69" s="120">
        <f t="shared" si="78"/>
        <v>2.2722788532823297E-2</v>
      </c>
      <c r="I69" s="120">
        <f t="shared" si="78"/>
        <v>2.5471493828494958E-2</v>
      </c>
      <c r="J69" s="120">
        <f t="shared" si="78"/>
        <v>3.2750992026028033E-2</v>
      </c>
      <c r="K69" s="120">
        <f t="shared" si="78"/>
        <v>6.5591062725890228E-2</v>
      </c>
      <c r="L69" s="120">
        <f t="shared" si="78"/>
        <v>4.2299570163454966E-2</v>
      </c>
      <c r="M69" s="120">
        <f t="shared" si="78"/>
        <v>5.2787539417728013E-2</v>
      </c>
      <c r="N69" s="120">
        <f t="shared" si="78"/>
        <v>3.2550736066965631E-2</v>
      </c>
      <c r="O69" s="120">
        <f t="shared" si="78"/>
        <v>4.9002943665196691E-3</v>
      </c>
      <c r="P69" s="120">
        <f t="shared" si="78"/>
        <v>2.342534898169215E-2</v>
      </c>
      <c r="Q69" s="120">
        <f t="shared" si="78"/>
        <v>3.8380063940691565E-2</v>
      </c>
      <c r="R69" s="120">
        <f t="shared" si="78"/>
        <v>3.8264127376834302E-2</v>
      </c>
      <c r="S69" s="120">
        <f t="shared" si="78"/>
        <v>2.0614928914173571E-2</v>
      </c>
      <c r="T69" s="120">
        <f t="shared" si="78"/>
        <v>3.1450717375044075E-2</v>
      </c>
      <c r="U69" s="120">
        <f t="shared" si="78"/>
        <v>3.3797019662999486E-3</v>
      </c>
      <c r="V69" s="120">
        <f t="shared" si="78"/>
        <v>4.3987778584760003E-2</v>
      </c>
      <c r="W69" s="120">
        <f t="shared" si="78"/>
        <v>3.9049152114758727E-2</v>
      </c>
      <c r="X69" s="120">
        <f t="shared" si="78"/>
        <v>1.2651291939147429E-2</v>
      </c>
      <c r="Y69" s="120">
        <f t="shared" si="78"/>
        <v>1.6091295546843295E-2</v>
      </c>
      <c r="Z69" s="120">
        <f t="shared" si="78"/>
        <v>3.6953479131883064E-2</v>
      </c>
      <c r="AA69" s="120">
        <f t="shared" si="78"/>
        <v>2.1592499351787673E-2</v>
      </c>
      <c r="AC69" s="116">
        <f>_xlfn.STDEV.S(AC62:AC67)</f>
        <v>2.89311647330114E-2</v>
      </c>
      <c r="AD69" s="116">
        <f t="shared" ref="AD69:CO69" si="79">_xlfn.STDEV.S(AD62:AD67)</f>
        <v>2.7470964753862109E-2</v>
      </c>
      <c r="AE69" s="116">
        <f t="shared" si="79"/>
        <v>1.8468318369225575E-2</v>
      </c>
      <c r="AF69" s="116">
        <f t="shared" si="79"/>
        <v>2.1998023906673533E-2</v>
      </c>
      <c r="AG69" s="116">
        <f t="shared" si="79"/>
        <v>2.19603435086504E-2</v>
      </c>
      <c r="AH69" s="116">
        <f t="shared" si="79"/>
        <v>1.5158165311960696E-2</v>
      </c>
      <c r="AI69" s="116">
        <f t="shared" si="79"/>
        <v>2.3808284162627365E-2</v>
      </c>
      <c r="AJ69" s="116">
        <f t="shared" si="79"/>
        <v>1.2413664529951511E-2</v>
      </c>
      <c r="AK69" s="116">
        <f t="shared" si="79"/>
        <v>4.8030850340523588E-2</v>
      </c>
      <c r="AL69" s="116">
        <f t="shared" si="79"/>
        <v>2.8309622966399113E-2</v>
      </c>
      <c r="AM69" s="116">
        <f t="shared" si="79"/>
        <v>1.8725705401940566E-2</v>
      </c>
      <c r="AN69" s="116">
        <f t="shared" si="79"/>
        <v>2.9584629508885022E-2</v>
      </c>
      <c r="AO69" s="116">
        <f t="shared" si="79"/>
        <v>2.0590849249178811E-2</v>
      </c>
      <c r="AP69" s="116">
        <f t="shared" si="79"/>
        <v>5.1234813527758417E-2</v>
      </c>
      <c r="AQ69" s="116">
        <f t="shared" si="79"/>
        <v>1.6941484618391255E-2</v>
      </c>
      <c r="AR69" s="116">
        <f t="shared" si="79"/>
        <v>1.6875698757996712E-2</v>
      </c>
      <c r="AS69" s="116">
        <f t="shared" si="79"/>
        <v>1.0759399613872737E-2</v>
      </c>
      <c r="AT69" s="116">
        <f t="shared" si="79"/>
        <v>2.1137688937919504E-2</v>
      </c>
      <c r="AU69" s="116">
        <f t="shared" si="79"/>
        <v>1.1368113220457049E-2</v>
      </c>
      <c r="AV69" s="116">
        <f t="shared" si="79"/>
        <v>1.9001966336871932E-2</v>
      </c>
      <c r="AW69" s="116">
        <f t="shared" si="79"/>
        <v>2.7674759597077339E-2</v>
      </c>
      <c r="AX69" s="116">
        <f t="shared" si="79"/>
        <v>2.7983808723975528E-2</v>
      </c>
      <c r="AY69" s="116">
        <f t="shared" si="79"/>
        <v>4.0080209110605954E-2</v>
      </c>
      <c r="AZ69" s="116">
        <f t="shared" si="79"/>
        <v>6.6870023491318306E-2</v>
      </c>
      <c r="BA69" s="116">
        <f t="shared" si="79"/>
        <v>1.8737818742979917E-2</v>
      </c>
      <c r="BB69" s="116">
        <f t="shared" si="79"/>
        <v>1.4076530679589892E-2</v>
      </c>
      <c r="BC69" s="116">
        <f t="shared" si="79"/>
        <v>1.5915769377735707E-2</v>
      </c>
      <c r="BD69" s="116">
        <f t="shared" si="79"/>
        <v>2.133924700918206E-2</v>
      </c>
      <c r="BE69" s="116">
        <f t="shared" si="79"/>
        <v>2.251979223394111E-2</v>
      </c>
      <c r="BF69" s="116">
        <f t="shared" si="79"/>
        <v>1.9075925647136307E-2</v>
      </c>
      <c r="BG69" s="116">
        <f t="shared" si="79"/>
        <v>2.1544236046235767E-2</v>
      </c>
      <c r="BH69" s="116">
        <f t="shared" si="79"/>
        <v>2.8399578715686338E-2</v>
      </c>
      <c r="BI69" s="116">
        <f t="shared" si="79"/>
        <v>4.0344137987171715E-2</v>
      </c>
      <c r="BJ69" s="116">
        <f t="shared" si="79"/>
        <v>5.9058877591787157E-2</v>
      </c>
      <c r="BK69" s="116">
        <f t="shared" si="79"/>
        <v>5.307748107895531E-2</v>
      </c>
      <c r="BL69" s="116">
        <f t="shared" si="79"/>
        <v>4.2036420077245999E-2</v>
      </c>
      <c r="BM69" s="116">
        <f t="shared" si="79"/>
        <v>2.9037540057242708E-2</v>
      </c>
      <c r="BN69" s="116">
        <f t="shared" si="79"/>
        <v>3.1275511618336339E-2</v>
      </c>
      <c r="BO69" s="116">
        <f t="shared" si="79"/>
        <v>5.4283136948100233E-2</v>
      </c>
      <c r="BP69" s="116">
        <f t="shared" si="79"/>
        <v>1.6154188881496376E-2</v>
      </c>
      <c r="BQ69" s="116">
        <f t="shared" si="79"/>
        <v>1.4786773366275992E-2</v>
      </c>
      <c r="BR69" s="116">
        <f t="shared" si="79"/>
        <v>3.2368765790060865E-2</v>
      </c>
      <c r="BS69" s="116">
        <f t="shared" si="79"/>
        <v>3.2711961647211851E-2</v>
      </c>
      <c r="BT69" s="116">
        <f t="shared" si="79"/>
        <v>1.5180298520788317E-2</v>
      </c>
      <c r="BU69" s="116">
        <f t="shared" si="79"/>
        <v>1.2850837698398726E-2</v>
      </c>
      <c r="BV69" s="116">
        <f t="shared" si="79"/>
        <v>1.9857205557062555E-2</v>
      </c>
      <c r="BW69" s="116">
        <f t="shared" si="79"/>
        <v>1.77005145555587E-2</v>
      </c>
      <c r="BX69" s="116">
        <f t="shared" si="79"/>
        <v>1.5786686289700692E-2</v>
      </c>
      <c r="BY69" s="116">
        <f t="shared" si="79"/>
        <v>1.5302477656901563E-2</v>
      </c>
      <c r="BZ69" s="116">
        <f t="shared" si="79"/>
        <v>2.4276035770746152E-2</v>
      </c>
      <c r="CA69" s="116">
        <f t="shared" si="79"/>
        <v>1.3944137473267122E-2</v>
      </c>
      <c r="CB69" s="116">
        <f t="shared" si="79"/>
        <v>2.6809700618093187E-2</v>
      </c>
      <c r="CC69" s="116">
        <f t="shared" si="79"/>
        <v>1.7177779993455173E-2</v>
      </c>
      <c r="CD69" s="116">
        <f t="shared" si="79"/>
        <v>2.6561126174141803E-2</v>
      </c>
      <c r="CE69" s="116">
        <f t="shared" si="79"/>
        <v>2.1690513609016977E-2</v>
      </c>
      <c r="CF69" s="116">
        <f t="shared" si="79"/>
        <v>1.3154354335321026E-2</v>
      </c>
      <c r="CG69" s="116">
        <f t="shared" si="79"/>
        <v>1.3440332712738997E-2</v>
      </c>
      <c r="CH69" s="116">
        <f t="shared" si="79"/>
        <v>2.9141153093972735E-2</v>
      </c>
      <c r="CI69" s="116">
        <f t="shared" si="79"/>
        <v>3.4636137741036736E-2</v>
      </c>
      <c r="CJ69" s="116">
        <f t="shared" si="79"/>
        <v>7.5133868309436455E-2</v>
      </c>
      <c r="CK69" s="116">
        <f t="shared" si="79"/>
        <v>5.5277386712435504E-2</v>
      </c>
      <c r="CL69" s="116">
        <f t="shared" si="79"/>
        <v>4.5357790882586506E-2</v>
      </c>
      <c r="CM69" s="116">
        <f t="shared" si="79"/>
        <v>3.736895740277326E-2</v>
      </c>
      <c r="CN69" s="116">
        <f t="shared" si="79"/>
        <v>4.5357790882586506E-2</v>
      </c>
      <c r="CO69" s="116">
        <f t="shared" si="79"/>
        <v>4.406002220638524E-2</v>
      </c>
      <c r="CP69" s="116">
        <f t="shared" ref="CP69" si="80">_xlfn.STDEV.S(CP62:CP67)</f>
        <v>2.8363255842470455E-2</v>
      </c>
    </row>
    <row r="70" spans="1:94">
      <c r="A70" s="10"/>
    </row>
    <row r="71" spans="1:94">
      <c r="A71" s="133" t="s">
        <v>164</v>
      </c>
    </row>
    <row r="72" spans="1:94">
      <c r="A72" s="39" t="s">
        <v>121</v>
      </c>
      <c r="B72" s="42" t="s">
        <v>130</v>
      </c>
      <c r="C72" s="83">
        <f t="shared" ref="C72:AA72" si="81">C47/$AB47</f>
        <v>0.62733746485178132</v>
      </c>
      <c r="D72" s="84">
        <f t="shared" si="81"/>
        <v>1.2175016157232488</v>
      </c>
      <c r="E72" s="84">
        <f t="shared" si="81"/>
        <v>1.3370351257604673</v>
      </c>
      <c r="F72" s="84">
        <f t="shared" si="81"/>
        <v>1.1543341700679481</v>
      </c>
      <c r="G72" s="84">
        <f t="shared" si="81"/>
        <v>0.70375858785089274</v>
      </c>
      <c r="H72" s="84">
        <f t="shared" si="81"/>
        <v>1.0141811779567147</v>
      </c>
      <c r="I72" s="84">
        <f t="shared" si="81"/>
        <v>0.72390710877408904</v>
      </c>
      <c r="J72" s="84">
        <f t="shared" si="81"/>
        <v>1.0489742424241626</v>
      </c>
      <c r="K72" s="84">
        <f t="shared" si="81"/>
        <v>0.93765986188958572</v>
      </c>
      <c r="L72" s="84">
        <f t="shared" si="81"/>
        <v>1.1149491543664329</v>
      </c>
      <c r="M72" s="84">
        <f t="shared" si="81"/>
        <v>0.85522730360910781</v>
      </c>
      <c r="N72" s="84">
        <f t="shared" si="81"/>
        <v>0.83487264998249877</v>
      </c>
      <c r="O72" s="84">
        <f t="shared" si="81"/>
        <v>0.98265217029701812</v>
      </c>
      <c r="P72" s="84">
        <f t="shared" si="81"/>
        <v>1.0969723432136214</v>
      </c>
      <c r="Q72" s="84">
        <f t="shared" si="81"/>
        <v>0.77623607420017626</v>
      </c>
      <c r="R72" s="84">
        <f t="shared" si="81"/>
        <v>0.85415872883330024</v>
      </c>
      <c r="S72" s="84">
        <f t="shared" si="81"/>
        <v>0.91539669278871671</v>
      </c>
      <c r="T72" s="84">
        <f t="shared" si="81"/>
        <v>1</v>
      </c>
      <c r="U72" s="84">
        <f t="shared" si="81"/>
        <v>0.99207874376967409</v>
      </c>
      <c r="V72" s="84">
        <f t="shared" si="81"/>
        <v>1.1758669338870718</v>
      </c>
      <c r="W72" s="84">
        <f t="shared" si="81"/>
        <v>1.0556910559254875</v>
      </c>
      <c r="X72" s="84">
        <f t="shared" si="81"/>
        <v>1.1797648322182119</v>
      </c>
      <c r="Y72" s="84">
        <f t="shared" si="81"/>
        <v>1.2368828218104999</v>
      </c>
      <c r="Z72" s="84">
        <f t="shared" si="81"/>
        <v>0.54428494702194818</v>
      </c>
      <c r="AA72" s="84">
        <f t="shared" si="81"/>
        <v>1.0138731329004544</v>
      </c>
      <c r="AC72" s="84">
        <f>AC47/$CQ47</f>
        <v>1.0185262704735762</v>
      </c>
      <c r="AD72" s="84">
        <f t="shared" ref="AD72:CO72" si="82">AD47/$CQ47</f>
        <v>1.0559743592690023</v>
      </c>
      <c r="AE72" s="84">
        <f t="shared" si="82"/>
        <v>1.1848845713100937</v>
      </c>
      <c r="AF72" s="84">
        <f t="shared" si="82"/>
        <v>1.0387034411358518</v>
      </c>
      <c r="AG72" s="84">
        <f t="shared" si="82"/>
        <v>1.0776385693034178</v>
      </c>
      <c r="AH72" s="84">
        <f t="shared" si="82"/>
        <v>1.217890146740459</v>
      </c>
      <c r="AI72" s="84">
        <f t="shared" si="82"/>
        <v>1.2150475920874808</v>
      </c>
      <c r="AJ72" s="84">
        <f t="shared" si="82"/>
        <v>1.2872458391417334</v>
      </c>
      <c r="AK72" s="84">
        <f t="shared" si="82"/>
        <v>0.75440514850181883</v>
      </c>
      <c r="AL72" s="84">
        <f t="shared" si="82"/>
        <v>0.97220294013541675</v>
      </c>
      <c r="AM72" s="84">
        <f t="shared" si="82"/>
        <v>1.0989508529646788</v>
      </c>
      <c r="AN72" s="84">
        <f t="shared" si="82"/>
        <v>1.0050953537696175</v>
      </c>
      <c r="AO72" s="84">
        <f t="shared" si="82"/>
        <v>0.71905163727609189</v>
      </c>
      <c r="AP72" s="84">
        <f t="shared" si="82"/>
        <v>0.82030376500593649</v>
      </c>
      <c r="AQ72" s="84">
        <f t="shared" si="82"/>
        <v>1.0809075238330295</v>
      </c>
      <c r="AR72" s="84">
        <f t="shared" si="82"/>
        <v>1.0135642326883707</v>
      </c>
      <c r="AS72" s="84">
        <f t="shared" si="82"/>
        <v>1.1172714422389425</v>
      </c>
      <c r="AT72" s="84">
        <f t="shared" si="82"/>
        <v>1.0945820804700725</v>
      </c>
      <c r="AU72" s="84">
        <f t="shared" si="82"/>
        <v>0.94938314326656559</v>
      </c>
      <c r="AV72" s="84">
        <f t="shared" si="82"/>
        <v>1.0439241707369229</v>
      </c>
      <c r="AW72" s="84">
        <f t="shared" si="82"/>
        <v>0.87724303584189056</v>
      </c>
      <c r="AX72" s="84">
        <f t="shared" si="82"/>
        <v>0.77445734881345718</v>
      </c>
      <c r="AY72" s="84">
        <f t="shared" si="82"/>
        <v>0.78790974940619374</v>
      </c>
      <c r="AZ72" s="84">
        <f t="shared" si="82"/>
        <v>0.78188575489858625</v>
      </c>
      <c r="BA72" s="84">
        <f t="shared" si="82"/>
        <v>0.76463164766478131</v>
      </c>
      <c r="BB72" s="84">
        <f t="shared" si="82"/>
        <v>0.90526360882028534</v>
      </c>
      <c r="BC72" s="84">
        <f t="shared" si="82"/>
        <v>0.96306645871162544</v>
      </c>
      <c r="BD72" s="84">
        <f t="shared" si="82"/>
        <v>0.75342544035275039</v>
      </c>
      <c r="BE72" s="84">
        <f t="shared" si="82"/>
        <v>1.1649049912629448</v>
      </c>
      <c r="BF72" s="84">
        <f t="shared" si="82"/>
        <v>1.0601069362124311</v>
      </c>
      <c r="BG72" s="84">
        <f t="shared" si="82"/>
        <v>1.0526039682481374</v>
      </c>
      <c r="BH72" s="84">
        <f t="shared" si="82"/>
        <v>0.97589307721908869</v>
      </c>
      <c r="BI72" s="84">
        <f t="shared" si="82"/>
        <v>1.1298885693984435</v>
      </c>
      <c r="BJ72" s="84">
        <f t="shared" si="82"/>
        <v>0.71349328404549428</v>
      </c>
      <c r="BK72" s="84">
        <f t="shared" si="82"/>
        <v>0.77780484691295193</v>
      </c>
      <c r="BL72" s="84">
        <f t="shared" si="82"/>
        <v>0.76569069734457618</v>
      </c>
      <c r="BM72" s="84">
        <f t="shared" si="82"/>
        <v>0.98925263321640822</v>
      </c>
      <c r="BN72" s="84">
        <f t="shared" si="82"/>
        <v>0.99490464623038277</v>
      </c>
      <c r="BO72" s="84">
        <f t="shared" si="82"/>
        <v>0.57416947404002838</v>
      </c>
      <c r="BP72" s="84">
        <f t="shared" si="82"/>
        <v>0.728386217563879</v>
      </c>
      <c r="BQ72" s="84">
        <f t="shared" si="82"/>
        <v>0.91800391784880575</v>
      </c>
      <c r="BR72" s="84">
        <f t="shared" si="82"/>
        <v>0.84058443050266118</v>
      </c>
      <c r="BS72" s="84">
        <f t="shared" si="82"/>
        <v>0.76391978270667693</v>
      </c>
      <c r="BT72" s="84">
        <f t="shared" si="82"/>
        <v>1.0156868901554721</v>
      </c>
      <c r="BU72" s="84">
        <f t="shared" si="82"/>
        <v>0.7762237732349353</v>
      </c>
      <c r="BV72" s="84">
        <f t="shared" si="82"/>
        <v>0.94287567077074574</v>
      </c>
      <c r="BW72" s="84">
        <f t="shared" si="82"/>
        <v>1.1545938901668471</v>
      </c>
      <c r="BX72" s="84">
        <f t="shared" si="82"/>
        <v>1.0546448355928877</v>
      </c>
      <c r="BY72" s="84">
        <f t="shared" si="82"/>
        <v>1.0965185697308808</v>
      </c>
      <c r="BZ72" s="84">
        <f t="shared" si="82"/>
        <v>1.1765590767568928</v>
      </c>
      <c r="CA72" s="84">
        <f t="shared" si="82"/>
        <v>1.1819034733474292</v>
      </c>
      <c r="CB72" s="84">
        <f t="shared" si="82"/>
        <v>1.1478528902459695</v>
      </c>
      <c r="CC72" s="84">
        <f t="shared" si="82"/>
        <v>1.1193437917695377</v>
      </c>
      <c r="CD72" s="84">
        <f t="shared" si="82"/>
        <v>1.2847063027370014</v>
      </c>
      <c r="CE72" s="84">
        <f t="shared" si="82"/>
        <v>1.1566998928502095</v>
      </c>
      <c r="CF72" s="84">
        <f t="shared" si="82"/>
        <v>1.156091347066051</v>
      </c>
      <c r="CG72" s="84">
        <f t="shared" si="82"/>
        <v>1.3727349154925885</v>
      </c>
      <c r="CH72" s="84">
        <f t="shared" si="82"/>
        <v>1.3164707945662084</v>
      </c>
      <c r="CI72" s="84">
        <f t="shared" si="82"/>
        <v>1.3363904263822715</v>
      </c>
      <c r="CJ72" s="84">
        <f t="shared" si="82"/>
        <v>0.62632360426852263</v>
      </c>
      <c r="CK72" s="84">
        <f t="shared" si="82"/>
        <v>0.6474917958419748</v>
      </c>
      <c r="CL72" s="84">
        <f t="shared" si="82"/>
        <v>0.80805097871536702</v>
      </c>
      <c r="CM72" s="84">
        <f t="shared" si="82"/>
        <v>0.85760638999397243</v>
      </c>
      <c r="CN72" s="84">
        <f t="shared" si="82"/>
        <v>0.80805097871536702</v>
      </c>
      <c r="CO72" s="84">
        <f t="shared" si="82"/>
        <v>0.81409978184035159</v>
      </c>
      <c r="CP72" s="84">
        <f t="shared" ref="CP72:CP77" si="83">CP47/$CQ47</f>
        <v>0.69670569398810023</v>
      </c>
    </row>
    <row r="73" spans="1:94">
      <c r="A73" s="39" t="s">
        <v>122</v>
      </c>
      <c r="B73" s="42" t="s">
        <v>130</v>
      </c>
      <c r="C73" s="83">
        <f t="shared" ref="C73:AA73" si="84">C48/$AB48</f>
        <v>0.59610986347568473</v>
      </c>
      <c r="D73" s="84">
        <f t="shared" si="84"/>
        <v>1.252598873121189</v>
      </c>
      <c r="E73" s="84">
        <f t="shared" si="84"/>
        <v>1.339245614359144</v>
      </c>
      <c r="F73" s="84">
        <f t="shared" si="84"/>
        <v>1.1725562056205874</v>
      </c>
      <c r="G73" s="84">
        <f t="shared" si="84"/>
        <v>0.75373073293744652</v>
      </c>
      <c r="H73" s="84">
        <f t="shared" si="84"/>
        <v>1.0097476267325605</v>
      </c>
      <c r="I73" s="84">
        <f t="shared" si="84"/>
        <v>0.71803457056703224</v>
      </c>
      <c r="J73" s="84">
        <f t="shared" si="84"/>
        <v>1.0615759762045653</v>
      </c>
      <c r="K73" s="84">
        <f t="shared" si="84"/>
        <v>1</v>
      </c>
      <c r="L73" s="84">
        <f t="shared" si="84"/>
        <v>1.1785193088076562</v>
      </c>
      <c r="M73" s="84">
        <f t="shared" si="84"/>
        <v>0.86358879860762972</v>
      </c>
      <c r="N73" s="84">
        <f t="shared" si="84"/>
        <v>0.86343110070873619</v>
      </c>
      <c r="O73" s="84">
        <f t="shared" si="84"/>
        <v>0.99015595260442013</v>
      </c>
      <c r="P73" s="84">
        <f t="shared" si="84"/>
        <v>1.1156043429164166</v>
      </c>
      <c r="Q73" s="84">
        <f t="shared" si="84"/>
        <v>0.78946328957458733</v>
      </c>
      <c r="R73" s="84">
        <f t="shared" si="84"/>
        <v>0.81492190319410662</v>
      </c>
      <c r="S73" s="84">
        <f t="shared" si="84"/>
        <v>0.87811312523739038</v>
      </c>
      <c r="T73" s="84">
        <f t="shared" si="84"/>
        <v>0.96648126243908461</v>
      </c>
      <c r="U73" s="84">
        <f t="shared" si="84"/>
        <v>0.98434964001178804</v>
      </c>
      <c r="V73" s="84">
        <f t="shared" si="84"/>
        <v>1.1356139482921477</v>
      </c>
      <c r="W73" s="84">
        <f t="shared" si="84"/>
        <v>1.0040410074613295</v>
      </c>
      <c r="X73" s="84">
        <f t="shared" si="84"/>
        <v>1.1572687267847375</v>
      </c>
      <c r="Y73" s="84">
        <f t="shared" si="84"/>
        <v>1.2697573641042552</v>
      </c>
      <c r="Z73" s="84">
        <f t="shared" si="84"/>
        <v>0.48887232926111562</v>
      </c>
      <c r="AA73" s="84">
        <f t="shared" si="84"/>
        <v>1.0062645446392933</v>
      </c>
      <c r="AC73" s="84">
        <f t="shared" ref="AC73:CN73" si="85">AC48/$CQ48</f>
        <v>1.0081088592142693</v>
      </c>
      <c r="AD73" s="84">
        <f t="shared" si="85"/>
        <v>1.0243404290597762</v>
      </c>
      <c r="AE73" s="84">
        <f t="shared" si="85"/>
        <v>1.1547067985888202</v>
      </c>
      <c r="AF73" s="84">
        <f t="shared" si="85"/>
        <v>1.0161149797729874</v>
      </c>
      <c r="AG73" s="84">
        <f t="shared" si="85"/>
        <v>1.0284732453944592</v>
      </c>
      <c r="AH73" s="84">
        <f t="shared" si="85"/>
        <v>1.2029261436735881</v>
      </c>
      <c r="AI73" s="84">
        <f t="shared" si="85"/>
        <v>1.2176035841359423</v>
      </c>
      <c r="AJ73" s="84">
        <f t="shared" si="85"/>
        <v>1.2742614283062386</v>
      </c>
      <c r="AK73" s="84">
        <f t="shared" si="85"/>
        <v>0.72661926944772248</v>
      </c>
      <c r="AL73" s="84">
        <f t="shared" si="85"/>
        <v>0.9497769847510642</v>
      </c>
      <c r="AM73" s="84">
        <f t="shared" si="85"/>
        <v>1.1050275404941372</v>
      </c>
      <c r="AN73" s="84">
        <f t="shared" si="85"/>
        <v>1.0272496703831433</v>
      </c>
      <c r="AO73" s="84">
        <f t="shared" si="85"/>
        <v>0.71956706781216484</v>
      </c>
      <c r="AP73" s="84">
        <f t="shared" si="85"/>
        <v>0.80456250946107455</v>
      </c>
      <c r="AQ73" s="84">
        <f t="shared" si="85"/>
        <v>1.0880417106129003</v>
      </c>
      <c r="AR73" s="84">
        <f t="shared" si="85"/>
        <v>1.0345980974586104</v>
      </c>
      <c r="AS73" s="84">
        <f t="shared" si="85"/>
        <v>1.1275245850142148</v>
      </c>
      <c r="AT73" s="84">
        <f t="shared" si="85"/>
        <v>1.1380965340005635</v>
      </c>
      <c r="AU73" s="84">
        <f t="shared" si="85"/>
        <v>0.93388535698421804</v>
      </c>
      <c r="AV73" s="84">
        <f t="shared" si="85"/>
        <v>1.0566917078057951</v>
      </c>
      <c r="AW73" s="84">
        <f t="shared" si="85"/>
        <v>0.89233998182131535</v>
      </c>
      <c r="AX73" s="84">
        <f t="shared" si="85"/>
        <v>0.6973600225252875</v>
      </c>
      <c r="AY73" s="84">
        <f t="shared" si="85"/>
        <v>0.82342240319139703</v>
      </c>
      <c r="AZ73" s="84">
        <f t="shared" si="85"/>
        <v>0.81551511396795751</v>
      </c>
      <c r="BA73" s="84">
        <f t="shared" si="85"/>
        <v>0.70599725632684396</v>
      </c>
      <c r="BB73" s="84">
        <f t="shared" si="85"/>
        <v>0.90819200421879454</v>
      </c>
      <c r="BC73" s="84">
        <f t="shared" si="85"/>
        <v>0.94577843078113977</v>
      </c>
      <c r="BD73" s="84">
        <f t="shared" si="85"/>
        <v>0.77858281605418767</v>
      </c>
      <c r="BE73" s="84">
        <f t="shared" si="85"/>
        <v>1.1736183108497973</v>
      </c>
      <c r="BF73" s="84">
        <f t="shared" si="85"/>
        <v>1.0910041066628593</v>
      </c>
      <c r="BG73" s="84">
        <f t="shared" si="85"/>
        <v>1.0975748890144832</v>
      </c>
      <c r="BH73" s="84">
        <f t="shared" si="85"/>
        <v>1.0054718024420832</v>
      </c>
      <c r="BI73" s="84">
        <f t="shared" si="85"/>
        <v>1.1506709027346016</v>
      </c>
      <c r="BJ73" s="84">
        <f t="shared" si="85"/>
        <v>0.69416930033760127</v>
      </c>
      <c r="BK73" s="84">
        <f t="shared" si="85"/>
        <v>0.78975266739730388</v>
      </c>
      <c r="BL73" s="84">
        <f t="shared" si="85"/>
        <v>0.79338146332922999</v>
      </c>
      <c r="BM73" s="84">
        <f t="shared" si="85"/>
        <v>0.99452819755791677</v>
      </c>
      <c r="BN73" s="84">
        <f t="shared" si="85"/>
        <v>0.99300202229497736</v>
      </c>
      <c r="BO73" s="84">
        <f t="shared" si="85"/>
        <v>0.60147555638304318</v>
      </c>
      <c r="BP73" s="84">
        <f t="shared" si="85"/>
        <v>0.73712377276586538</v>
      </c>
      <c r="BQ73" s="84">
        <f t="shared" si="85"/>
        <v>0.8918430470214187</v>
      </c>
      <c r="BR73" s="84">
        <f t="shared" si="85"/>
        <v>0.80513026173778346</v>
      </c>
      <c r="BS73" s="84">
        <f t="shared" si="85"/>
        <v>0.7488923087010011</v>
      </c>
      <c r="BT73" s="84">
        <f t="shared" si="85"/>
        <v>0.98444862089564966</v>
      </c>
      <c r="BU73" s="84">
        <f t="shared" si="85"/>
        <v>0.75955887298114078</v>
      </c>
      <c r="BV73" s="84">
        <f t="shared" si="85"/>
        <v>0.92673052919214804</v>
      </c>
      <c r="BW73" s="84">
        <f t="shared" si="85"/>
        <v>1.1220717888004346</v>
      </c>
      <c r="BX73" s="84">
        <f t="shared" si="85"/>
        <v>1.0264238944362374</v>
      </c>
      <c r="BY73" s="84">
        <f t="shared" si="85"/>
        <v>1.0767906205450657</v>
      </c>
      <c r="BZ73" s="84">
        <f t="shared" si="85"/>
        <v>1.1408959799665774</v>
      </c>
      <c r="CA73" s="84">
        <f t="shared" si="85"/>
        <v>1.1583531160763809</v>
      </c>
      <c r="CB73" s="84">
        <f t="shared" si="85"/>
        <v>1.0772413060656028</v>
      </c>
      <c r="CC73" s="84">
        <f t="shared" si="85"/>
        <v>1.0961067746121336</v>
      </c>
      <c r="CD73" s="84">
        <f t="shared" si="85"/>
        <v>1.2721160502283781</v>
      </c>
      <c r="CE73" s="84">
        <f t="shared" si="85"/>
        <v>1.1498759324542789</v>
      </c>
      <c r="CF73" s="84">
        <f t="shared" si="85"/>
        <v>1.1345412144702369</v>
      </c>
      <c r="CG73" s="84">
        <f t="shared" si="85"/>
        <v>1.3499870031959318</v>
      </c>
      <c r="CH73" s="84">
        <f t="shared" si="85"/>
        <v>1.2765702816635136</v>
      </c>
      <c r="CI73" s="84">
        <f t="shared" si="85"/>
        <v>1.3044121816547951</v>
      </c>
      <c r="CJ73" s="84">
        <f t="shared" si="85"/>
        <v>0.63149296201536309</v>
      </c>
      <c r="CK73" s="84">
        <f t="shared" si="85"/>
        <v>0.69042242513429775</v>
      </c>
      <c r="CL73" s="84">
        <f t="shared" si="85"/>
        <v>0.87802637840675324</v>
      </c>
      <c r="CM73" s="84">
        <f t="shared" si="85"/>
        <v>0.87136911404190809</v>
      </c>
      <c r="CN73" s="84">
        <f t="shared" si="85"/>
        <v>0.87802637840675324</v>
      </c>
      <c r="CO73" s="84">
        <f t="shared" ref="CO73" si="86">CO48/$CQ48</f>
        <v>0.75208789571749279</v>
      </c>
      <c r="CP73" s="84">
        <f t="shared" si="83"/>
        <v>0.67933279603495678</v>
      </c>
    </row>
    <row r="74" spans="1:94">
      <c r="A74" s="39" t="s">
        <v>123</v>
      </c>
      <c r="B74" s="42" t="s">
        <v>131</v>
      </c>
      <c r="C74" s="83">
        <f t="shared" ref="C74:AA74" si="87">C49/$AB49</f>
        <v>0.58169507887123872</v>
      </c>
      <c r="D74" s="84">
        <f t="shared" si="87"/>
        <v>1.2632470070363704</v>
      </c>
      <c r="E74" s="84">
        <f t="shared" si="87"/>
        <v>1.3392239874175653</v>
      </c>
      <c r="F74" s="84">
        <f t="shared" si="87"/>
        <v>1.136479467489883</v>
      </c>
      <c r="G74" s="84">
        <f t="shared" si="87"/>
        <v>0.79362784113734597</v>
      </c>
      <c r="H74" s="84">
        <f t="shared" si="87"/>
        <v>0.97007252906029573</v>
      </c>
      <c r="I74" s="84">
        <f t="shared" si="87"/>
        <v>0.70733021183920786</v>
      </c>
      <c r="J74" s="84">
        <f t="shared" si="87"/>
        <v>1.0754871187095161</v>
      </c>
      <c r="K74" s="84">
        <f t="shared" si="87"/>
        <v>1.0447374014370261</v>
      </c>
      <c r="L74" s="84">
        <f t="shared" si="87"/>
        <v>1.2311989726526216</v>
      </c>
      <c r="M74" s="84">
        <f t="shared" si="87"/>
        <v>0.8940747618554542</v>
      </c>
      <c r="N74" s="84">
        <f t="shared" si="87"/>
        <v>0.89579619100127295</v>
      </c>
      <c r="O74" s="84">
        <f t="shared" si="87"/>
        <v>1</v>
      </c>
      <c r="P74" s="84">
        <f t="shared" si="87"/>
        <v>1.1619065810862474</v>
      </c>
      <c r="Q74" s="84">
        <f t="shared" si="87"/>
        <v>0.84201926100935509</v>
      </c>
      <c r="R74" s="84">
        <f t="shared" si="87"/>
        <v>0.80080689435559094</v>
      </c>
      <c r="S74" s="84">
        <f t="shared" si="87"/>
        <v>0.84902622142768913</v>
      </c>
      <c r="T74" s="84">
        <f t="shared" si="87"/>
        <v>0.91816188139495813</v>
      </c>
      <c r="U74" s="84">
        <f t="shared" si="87"/>
        <v>0.9907843719552013</v>
      </c>
      <c r="V74" s="84">
        <f t="shared" si="87"/>
        <v>1.1293830681903154</v>
      </c>
      <c r="W74" s="84">
        <f t="shared" si="87"/>
        <v>1.0171479603280957</v>
      </c>
      <c r="X74" s="84">
        <f t="shared" si="87"/>
        <v>1.1537055227973807</v>
      </c>
      <c r="Y74" s="84">
        <f t="shared" si="87"/>
        <v>1.3036518412793863</v>
      </c>
      <c r="Z74" s="84">
        <f t="shared" si="87"/>
        <v>0.55254980182675273</v>
      </c>
      <c r="AA74" s="84">
        <f t="shared" si="87"/>
        <v>1.0426431950912798</v>
      </c>
      <c r="AC74" s="84">
        <f t="shared" ref="AC74:CN74" si="88">AC49/$CQ49</f>
        <v>0.95300075716008903</v>
      </c>
      <c r="AD74" s="84">
        <f t="shared" si="88"/>
        <v>0.99788355648716975</v>
      </c>
      <c r="AE74" s="84">
        <f t="shared" si="88"/>
        <v>1.1192193167094309</v>
      </c>
      <c r="AF74" s="84">
        <f t="shared" si="88"/>
        <v>1.0021164435128305</v>
      </c>
      <c r="AG74" s="84">
        <f t="shared" si="88"/>
        <v>1.0811047212460938</v>
      </c>
      <c r="AH74" s="84">
        <f t="shared" si="88"/>
        <v>1.1633548486673377</v>
      </c>
      <c r="AI74" s="84">
        <f t="shared" si="88"/>
        <v>1.2110637398407977</v>
      </c>
      <c r="AJ74" s="84">
        <f t="shared" si="88"/>
        <v>1.2609623979435103</v>
      </c>
      <c r="AK74" s="84">
        <f t="shared" si="88"/>
        <v>0.7075558868560895</v>
      </c>
      <c r="AL74" s="84">
        <f t="shared" si="88"/>
        <v>0.91030409467258833</v>
      </c>
      <c r="AM74" s="84">
        <f t="shared" si="88"/>
        <v>1.1118075842199477</v>
      </c>
      <c r="AN74" s="84">
        <f t="shared" si="88"/>
        <v>1.0833401192832339</v>
      </c>
      <c r="AO74" s="84">
        <f t="shared" si="88"/>
        <v>0.63749395383527507</v>
      </c>
      <c r="AP74" s="84">
        <f t="shared" si="88"/>
        <v>0.76089604249544207</v>
      </c>
      <c r="AQ74" s="84">
        <f t="shared" si="88"/>
        <v>1.0736207422730559</v>
      </c>
      <c r="AR74" s="84">
        <f t="shared" si="88"/>
        <v>1.0228130495709573</v>
      </c>
      <c r="AS74" s="84">
        <f t="shared" si="88"/>
        <v>1.164914772910673</v>
      </c>
      <c r="AT74" s="84">
        <f t="shared" si="88"/>
        <v>1.1564999762935799</v>
      </c>
      <c r="AU74" s="84">
        <f t="shared" si="88"/>
        <v>0.99062409026963738</v>
      </c>
      <c r="AV74" s="84">
        <f t="shared" si="88"/>
        <v>1.0931789378467351</v>
      </c>
      <c r="AW74" s="84">
        <f t="shared" si="88"/>
        <v>0.94241269085288792</v>
      </c>
      <c r="AX74" s="84">
        <f t="shared" si="88"/>
        <v>0.76866593532855765</v>
      </c>
      <c r="AY74" s="84">
        <f t="shared" si="88"/>
        <v>0.90258055213797783</v>
      </c>
      <c r="AZ74" s="84">
        <f t="shared" si="88"/>
        <v>0.78254712222864409</v>
      </c>
      <c r="BA74" s="84">
        <f t="shared" si="88"/>
        <v>0.7217154835053663</v>
      </c>
      <c r="BB74" s="84">
        <f t="shared" si="88"/>
        <v>0.91370533687075006</v>
      </c>
      <c r="BC74" s="84">
        <f t="shared" si="88"/>
        <v>0.95761580630271681</v>
      </c>
      <c r="BD74" s="84">
        <f t="shared" si="88"/>
        <v>0.71616179799786761</v>
      </c>
      <c r="BE74" s="84">
        <f t="shared" si="88"/>
        <v>1.1638019620518971</v>
      </c>
      <c r="BF74" s="84">
        <f t="shared" si="88"/>
        <v>1.1026260781884174</v>
      </c>
      <c r="BG74" s="84">
        <f t="shared" si="88"/>
        <v>1.124605017618227</v>
      </c>
      <c r="BH74" s="84">
        <f t="shared" si="88"/>
        <v>1.0413455675367371</v>
      </c>
      <c r="BI74" s="84">
        <f t="shared" si="88"/>
        <v>1.1854518561686631</v>
      </c>
      <c r="BJ74" s="84">
        <f t="shared" si="88"/>
        <v>0.69955459114541951</v>
      </c>
      <c r="BK74" s="84">
        <f t="shared" si="88"/>
        <v>0.75897675824572597</v>
      </c>
      <c r="BL74" s="84">
        <f t="shared" si="88"/>
        <v>0.78086169276430428</v>
      </c>
      <c r="BM74" s="84">
        <f t="shared" si="88"/>
        <v>1.0203999946078379</v>
      </c>
      <c r="BN74" s="84">
        <f t="shared" si="88"/>
        <v>1.0077046448635048</v>
      </c>
      <c r="BO74" s="84">
        <f t="shared" si="88"/>
        <v>0.5726089852791848</v>
      </c>
      <c r="BP74" s="84">
        <f t="shared" si="88"/>
        <v>0.72761878948328174</v>
      </c>
      <c r="BQ74" s="84">
        <f t="shared" si="88"/>
        <v>0.85927557770230967</v>
      </c>
      <c r="BR74" s="84">
        <f t="shared" si="88"/>
        <v>0.79870371709952548</v>
      </c>
      <c r="BS74" s="84">
        <f t="shared" si="88"/>
        <v>0.71440137357664235</v>
      </c>
      <c r="BT74" s="84">
        <f t="shared" si="88"/>
        <v>0.96449324015490956</v>
      </c>
      <c r="BU74" s="84">
        <f t="shared" si="88"/>
        <v>0.77227753529585519</v>
      </c>
      <c r="BV74" s="84">
        <f t="shared" si="88"/>
        <v>0.88913181558789611</v>
      </c>
      <c r="BW74" s="84">
        <f t="shared" si="88"/>
        <v>1.0915759953253164</v>
      </c>
      <c r="BX74" s="84">
        <f t="shared" si="88"/>
        <v>1.0279911414616518</v>
      </c>
      <c r="BY74" s="84">
        <f t="shared" si="88"/>
        <v>1.0772676540022377</v>
      </c>
      <c r="BZ74" s="84">
        <f t="shared" si="88"/>
        <v>1.1108989817737269</v>
      </c>
      <c r="CA74" s="84">
        <f t="shared" si="88"/>
        <v>1.1263343904309622</v>
      </c>
      <c r="CB74" s="84">
        <f t="shared" si="88"/>
        <v>1.1315918981970594</v>
      </c>
      <c r="CC74" s="84">
        <f t="shared" si="88"/>
        <v>1.1201867520089221</v>
      </c>
      <c r="CD74" s="84">
        <f t="shared" si="88"/>
        <v>1.2678675456856723</v>
      </c>
      <c r="CE74" s="84">
        <f t="shared" si="88"/>
        <v>1.1656772192357732</v>
      </c>
      <c r="CF74" s="84">
        <f t="shared" si="88"/>
        <v>1.1118725718395357</v>
      </c>
      <c r="CG74" s="84">
        <f t="shared" si="88"/>
        <v>1.3399537979803449</v>
      </c>
      <c r="CH74" s="84">
        <f t="shared" si="88"/>
        <v>1.3268390888232682</v>
      </c>
      <c r="CI74" s="84">
        <f t="shared" si="88"/>
        <v>1.330271208263496</v>
      </c>
      <c r="CJ74" s="84">
        <f t="shared" si="88"/>
        <v>0.59654090050548725</v>
      </c>
      <c r="CK74" s="84">
        <f t="shared" si="88"/>
        <v>0.66874035612517913</v>
      </c>
      <c r="CL74" s="84">
        <f t="shared" si="88"/>
        <v>0.77227753529585519</v>
      </c>
      <c r="CM74" s="84">
        <f t="shared" si="88"/>
        <v>0.83803639362654736</v>
      </c>
      <c r="CN74" s="84">
        <f t="shared" si="88"/>
        <v>0.77227753529585519</v>
      </c>
      <c r="CO74" s="84">
        <f t="shared" ref="CO74" si="89">CO49/$CQ49</f>
        <v>0.74578740072713678</v>
      </c>
      <c r="CP74" s="84">
        <f t="shared" si="83"/>
        <v>0.62045279722914637</v>
      </c>
    </row>
    <row r="75" spans="1:94">
      <c r="A75" s="39" t="s">
        <v>124</v>
      </c>
      <c r="B75" s="42" t="s">
        <v>131</v>
      </c>
      <c r="C75" s="83">
        <f t="shared" ref="C75:AA75" si="90">C50/$AB50</f>
        <v>0.61592347610152531</v>
      </c>
      <c r="D75" s="84">
        <f t="shared" si="90"/>
        <v>1.2564182424128416</v>
      </c>
      <c r="E75" s="84">
        <f t="shared" si="90"/>
        <v>1.3461882231029469</v>
      </c>
      <c r="F75" s="84">
        <f t="shared" si="90"/>
        <v>1.1367122422812694</v>
      </c>
      <c r="G75" s="84">
        <f t="shared" si="90"/>
        <v>0.7753857878404733</v>
      </c>
      <c r="H75" s="84">
        <f t="shared" si="90"/>
        <v>0.97239369171853651</v>
      </c>
      <c r="I75" s="84">
        <f t="shared" si="90"/>
        <v>0.69977389325199491</v>
      </c>
      <c r="J75" s="84">
        <f t="shared" si="90"/>
        <v>1.067704442686271</v>
      </c>
      <c r="K75" s="84">
        <f t="shared" si="90"/>
        <v>0.98950718467209053</v>
      </c>
      <c r="L75" s="84">
        <f t="shared" si="90"/>
        <v>1.2194947109480674</v>
      </c>
      <c r="M75" s="84">
        <f t="shared" si="90"/>
        <v>0.87426460488101299</v>
      </c>
      <c r="N75" s="84">
        <f t="shared" si="90"/>
        <v>0.87646144959202965</v>
      </c>
      <c r="O75" s="84">
        <f t="shared" si="90"/>
        <v>1.0085165553338822</v>
      </c>
      <c r="P75" s="84">
        <f t="shared" si="90"/>
        <v>1.1554788853874061</v>
      </c>
      <c r="Q75" s="84">
        <f t="shared" si="90"/>
        <v>0.87820000007754284</v>
      </c>
      <c r="R75" s="84">
        <f t="shared" si="90"/>
        <v>0.79087222233461907</v>
      </c>
      <c r="S75" s="84">
        <f t="shared" si="90"/>
        <v>0.85473651737216838</v>
      </c>
      <c r="T75" s="84">
        <f t="shared" si="90"/>
        <v>0.93925495487758837</v>
      </c>
      <c r="U75" s="84">
        <f t="shared" si="90"/>
        <v>1</v>
      </c>
      <c r="V75" s="84">
        <f t="shared" si="90"/>
        <v>1.1510122982226245</v>
      </c>
      <c r="W75" s="84">
        <f t="shared" si="90"/>
        <v>1.0097155961714002</v>
      </c>
      <c r="X75" s="84">
        <f t="shared" si="90"/>
        <v>1.1762725467657664</v>
      </c>
      <c r="Y75" s="84">
        <f t="shared" si="90"/>
        <v>1.3188051530611022</v>
      </c>
      <c r="Z75" s="84">
        <f t="shared" si="90"/>
        <v>0.55670001135610625</v>
      </c>
      <c r="AA75" s="84">
        <f t="shared" si="90"/>
        <v>1.0998056705183812</v>
      </c>
      <c r="AC75" s="84">
        <f t="shared" ref="AC75:CN75" si="91">AC50/$CQ50</f>
        <v>1.0027176951083381</v>
      </c>
      <c r="AD75" s="84">
        <f t="shared" si="91"/>
        <v>0.9621257050263774</v>
      </c>
      <c r="AE75" s="84">
        <f t="shared" si="91"/>
        <v>1.1188124002977817</v>
      </c>
      <c r="AF75" s="84">
        <f t="shared" si="91"/>
        <v>1.0342497007577574</v>
      </c>
      <c r="AG75" s="84">
        <f t="shared" si="91"/>
        <v>1.0794252185132092</v>
      </c>
      <c r="AH75" s="84">
        <f t="shared" si="91"/>
        <v>1.172081373675002</v>
      </c>
      <c r="AI75" s="84">
        <f t="shared" si="91"/>
        <v>1.2122320973814245</v>
      </c>
      <c r="AJ75" s="84">
        <f t="shared" si="91"/>
        <v>1.2671358820353438</v>
      </c>
      <c r="AK75" s="84">
        <f t="shared" si="91"/>
        <v>0.6884432068677685</v>
      </c>
      <c r="AL75" s="84">
        <f t="shared" si="91"/>
        <v>0.94304668383840273</v>
      </c>
      <c r="AM75" s="84">
        <f t="shared" si="91"/>
        <v>1.1182272565546256</v>
      </c>
      <c r="AN75" s="84">
        <f t="shared" si="91"/>
        <v>1.0719564167506546</v>
      </c>
      <c r="AO75" s="84">
        <f t="shared" si="91"/>
        <v>0.68667312731791474</v>
      </c>
      <c r="AP75" s="84">
        <f t="shared" si="91"/>
        <v>0.7560162987819854</v>
      </c>
      <c r="AQ75" s="84">
        <f t="shared" si="91"/>
        <v>1.1044613641555019</v>
      </c>
      <c r="AR75" s="84">
        <f t="shared" si="91"/>
        <v>1.0307068975202887</v>
      </c>
      <c r="AS75" s="84">
        <f t="shared" si="91"/>
        <v>1.1509672979751464</v>
      </c>
      <c r="AT75" s="84">
        <f t="shared" si="91"/>
        <v>1.1480149712418852</v>
      </c>
      <c r="AU75" s="84">
        <f t="shared" si="91"/>
        <v>0.98709285261623148</v>
      </c>
      <c r="AV75" s="84">
        <f t="shared" si="91"/>
        <v>1.0686596924825658</v>
      </c>
      <c r="AW75" s="84">
        <f t="shared" si="91"/>
        <v>0.89407631719328717</v>
      </c>
      <c r="AX75" s="84">
        <f t="shared" si="91"/>
        <v>0.69794498687480577</v>
      </c>
      <c r="AY75" s="84">
        <f t="shared" si="91"/>
        <v>0.82454008408531732</v>
      </c>
      <c r="AZ75" s="84">
        <f t="shared" si="91"/>
        <v>0.72077849899280311</v>
      </c>
      <c r="BA75" s="84">
        <f t="shared" si="91"/>
        <v>0.69118604738733813</v>
      </c>
      <c r="BB75" s="84">
        <f t="shared" si="91"/>
        <v>0.87794965356088883</v>
      </c>
      <c r="BC75" s="84">
        <f t="shared" si="91"/>
        <v>0.95858231343300748</v>
      </c>
      <c r="BD75" s="84">
        <f t="shared" si="91"/>
        <v>0.76547344454112975</v>
      </c>
      <c r="BE75" s="84">
        <f t="shared" si="91"/>
        <v>1.167237923962622</v>
      </c>
      <c r="BF75" s="84">
        <f t="shared" si="91"/>
        <v>1.1463908067484856</v>
      </c>
      <c r="BG75" s="84">
        <f t="shared" si="91"/>
        <v>1.0919536667344509</v>
      </c>
      <c r="BH75" s="84">
        <f t="shared" si="91"/>
        <v>0.9972823048916617</v>
      </c>
      <c r="BI75" s="84">
        <f t="shared" si="91"/>
        <v>1.1652579194140906</v>
      </c>
      <c r="BJ75" s="84">
        <f t="shared" si="91"/>
        <v>0.72195342141223784</v>
      </c>
      <c r="BK75" s="84">
        <f t="shared" si="91"/>
        <v>0.76651967915231256</v>
      </c>
      <c r="BL75" s="84">
        <f t="shared" si="91"/>
        <v>0.77040269380354676</v>
      </c>
      <c r="BM75" s="84">
        <f t="shared" si="91"/>
        <v>1.0619692127097851</v>
      </c>
      <c r="BN75" s="84">
        <f t="shared" si="91"/>
        <v>1.0068548296039537</v>
      </c>
      <c r="BO75" s="84">
        <f t="shared" si="91"/>
        <v>0.55540034579896902</v>
      </c>
      <c r="BP75" s="84">
        <f t="shared" si="91"/>
        <v>0.76022700516677355</v>
      </c>
      <c r="BQ75" s="84">
        <f t="shared" si="91"/>
        <v>0.87749363884747578</v>
      </c>
      <c r="BR75" s="84">
        <f t="shared" si="91"/>
        <v>0.83515060438720434</v>
      </c>
      <c r="BS75" s="84">
        <f t="shared" si="91"/>
        <v>0.80217306366773056</v>
      </c>
      <c r="BT75" s="84">
        <f t="shared" si="91"/>
        <v>0.97980043193023048</v>
      </c>
      <c r="BU75" s="84">
        <f t="shared" si="91"/>
        <v>0.78358146655586636</v>
      </c>
      <c r="BV75" s="84">
        <f t="shared" si="91"/>
        <v>0.9192489246801292</v>
      </c>
      <c r="BW75" s="84">
        <f t="shared" si="91"/>
        <v>1.1155392560366253</v>
      </c>
      <c r="BX75" s="84">
        <f t="shared" si="91"/>
        <v>1.0340988357843868</v>
      </c>
      <c r="BY75" s="84">
        <f t="shared" si="91"/>
        <v>1.1071448374169948</v>
      </c>
      <c r="BZ75" s="84">
        <f t="shared" si="91"/>
        <v>1.1111061246172682</v>
      </c>
      <c r="CA75" s="84">
        <f t="shared" si="91"/>
        <v>1.1260463156799623</v>
      </c>
      <c r="CB75" s="84">
        <f t="shared" si="91"/>
        <v>1.1293094120583689</v>
      </c>
      <c r="CC75" s="84">
        <f t="shared" si="91"/>
        <v>1.1475360197107207</v>
      </c>
      <c r="CD75" s="84">
        <f t="shared" si="91"/>
        <v>1.2624341410851017</v>
      </c>
      <c r="CE75" s="84">
        <f t="shared" si="91"/>
        <v>1.1719108528607047</v>
      </c>
      <c r="CF75" s="84">
        <f t="shared" si="91"/>
        <v>1.1225207806992743</v>
      </c>
      <c r="CG75" s="84">
        <f t="shared" si="91"/>
        <v>1.3460602974017231</v>
      </c>
      <c r="CH75" s="84">
        <f t="shared" si="91"/>
        <v>1.3120035898954545</v>
      </c>
      <c r="CI75" s="84">
        <f t="shared" si="91"/>
        <v>1.319111464222513</v>
      </c>
      <c r="CJ75" s="84">
        <f t="shared" si="91"/>
        <v>0.63816258278686022</v>
      </c>
      <c r="CK75" s="84">
        <f t="shared" si="91"/>
        <v>0.68257755145825005</v>
      </c>
      <c r="CL75" s="84">
        <f t="shared" si="91"/>
        <v>0.82764421298256052</v>
      </c>
      <c r="CM75" s="84">
        <f t="shared" si="91"/>
        <v>0.87821275735335513</v>
      </c>
      <c r="CN75" s="84">
        <f t="shared" si="91"/>
        <v>0.82764421298256052</v>
      </c>
      <c r="CO75" s="84">
        <f t="shared" ref="CO75" si="92">CO50/$CQ50</f>
        <v>0.78059076608133549</v>
      </c>
      <c r="CP75" s="84">
        <f t="shared" si="83"/>
        <v>0.67799253366608969</v>
      </c>
    </row>
    <row r="76" spans="1:94">
      <c r="A76" s="7" t="s">
        <v>125</v>
      </c>
      <c r="B76" s="58" t="s">
        <v>131</v>
      </c>
      <c r="C76" s="83">
        <f t="shared" ref="C76:AA76" si="93">C51/$AB51</f>
        <v>0.62763915151513805</v>
      </c>
      <c r="D76" s="84">
        <f t="shared" si="93"/>
        <v>1.1998109328201689</v>
      </c>
      <c r="E76" s="84">
        <f t="shared" si="93"/>
        <v>1.368134733214339</v>
      </c>
      <c r="F76" s="84">
        <f t="shared" si="93"/>
        <v>1.1665167561498633</v>
      </c>
      <c r="G76" s="84">
        <f t="shared" si="93"/>
        <v>0.69266146557134034</v>
      </c>
      <c r="H76" s="84">
        <f t="shared" si="93"/>
        <v>1.0547556938570188</v>
      </c>
      <c r="I76" s="84">
        <f t="shared" si="93"/>
        <v>0.69569064702284211</v>
      </c>
      <c r="J76" s="84">
        <f t="shared" si="93"/>
        <v>1.0096012552154945</v>
      </c>
      <c r="K76" s="84">
        <f t="shared" si="93"/>
        <v>0.90171064830996506</v>
      </c>
      <c r="L76" s="84">
        <f t="shared" si="93"/>
        <v>1.095207173748632</v>
      </c>
      <c r="M76" s="84">
        <f t="shared" si="93"/>
        <v>0.83094819033499712</v>
      </c>
      <c r="N76" s="84">
        <f t="shared" si="93"/>
        <v>0.80231797946581873</v>
      </c>
      <c r="O76" s="84">
        <f t="shared" si="93"/>
        <v>1</v>
      </c>
      <c r="P76" s="84">
        <f t="shared" si="93"/>
        <v>1.1081572302044529</v>
      </c>
      <c r="Q76" s="84">
        <f t="shared" si="93"/>
        <v>0.77784652335903093</v>
      </c>
      <c r="R76" s="84">
        <f t="shared" si="93"/>
        <v>0.83260315986192679</v>
      </c>
      <c r="S76" s="84">
        <f t="shared" si="93"/>
        <v>0.92945615696489847</v>
      </c>
      <c r="T76" s="84">
        <f t="shared" si="93"/>
        <v>1.0300028962126855</v>
      </c>
      <c r="U76" s="84">
        <f t="shared" si="93"/>
        <v>0.99461574318234836</v>
      </c>
      <c r="V76" s="84">
        <f t="shared" si="93"/>
        <v>1.2447694325831269</v>
      </c>
      <c r="W76" s="84">
        <f t="shared" si="93"/>
        <v>1.1308767788611613</v>
      </c>
      <c r="X76" s="84">
        <f t="shared" si="93"/>
        <v>1.189995510832025</v>
      </c>
      <c r="Y76" s="84">
        <f t="shared" si="93"/>
        <v>1.2616023594547259</v>
      </c>
      <c r="Z76" s="84">
        <f t="shared" si="93"/>
        <v>0.41791767170957084</v>
      </c>
      <c r="AA76" s="84">
        <f t="shared" si="93"/>
        <v>0.98461417832681108</v>
      </c>
      <c r="AC76" s="84">
        <f t="shared" ref="AC76:CN76" si="94">AC51/$CQ51</f>
        <v>1.064954881659641</v>
      </c>
      <c r="AD76" s="84">
        <f t="shared" si="94"/>
        <v>0.97842062649422035</v>
      </c>
      <c r="AE76" s="84">
        <f t="shared" si="94"/>
        <v>1.1317355819853119</v>
      </c>
      <c r="AF76" s="84">
        <f t="shared" si="94"/>
        <v>1.0680299873540717</v>
      </c>
      <c r="AG76" s="84">
        <f t="shared" si="94"/>
        <v>1.0621753962094376</v>
      </c>
      <c r="AH76" s="84">
        <f t="shared" si="94"/>
        <v>1.1845915582604312</v>
      </c>
      <c r="AI76" s="84">
        <f t="shared" si="94"/>
        <v>1.1882163189941806</v>
      </c>
      <c r="AJ76" s="84">
        <f t="shared" si="94"/>
        <v>1.2998481263932946</v>
      </c>
      <c r="AK76" s="84">
        <f t="shared" si="94"/>
        <v>0.69516570752635332</v>
      </c>
      <c r="AL76" s="84">
        <f t="shared" si="94"/>
        <v>0.93631841349503375</v>
      </c>
      <c r="AM76" s="84">
        <f t="shared" si="94"/>
        <v>1.0756810159881254</v>
      </c>
      <c r="AN76" s="84">
        <f t="shared" si="94"/>
        <v>1.0022467121469758</v>
      </c>
      <c r="AO76" s="84">
        <f t="shared" si="94"/>
        <v>0.68328875149786772</v>
      </c>
      <c r="AP76" s="84">
        <f t="shared" si="94"/>
        <v>0.76681952920426855</v>
      </c>
      <c r="AQ76" s="84">
        <f t="shared" si="94"/>
        <v>1.0796599986239006</v>
      </c>
      <c r="AR76" s="84">
        <f t="shared" si="94"/>
        <v>1.0350115214383513</v>
      </c>
      <c r="AS76" s="84">
        <f t="shared" si="94"/>
        <v>1.0980674750733825</v>
      </c>
      <c r="AT76" s="84">
        <f t="shared" si="94"/>
        <v>1.1057169674020395</v>
      </c>
      <c r="AU76" s="84">
        <f t="shared" si="94"/>
        <v>0.93246097247681525</v>
      </c>
      <c r="AV76" s="84">
        <f t="shared" si="94"/>
        <v>1.0089555700950215</v>
      </c>
      <c r="AW76" s="84">
        <f t="shared" si="94"/>
        <v>0.80661782256962622</v>
      </c>
      <c r="AX76" s="84">
        <f t="shared" si="94"/>
        <v>0.75984172522176097</v>
      </c>
      <c r="AY76" s="84">
        <f t="shared" si="94"/>
        <v>0.73409951678923913</v>
      </c>
      <c r="AZ76" s="84">
        <f t="shared" si="94"/>
        <v>0.68977143824425791</v>
      </c>
      <c r="BA76" s="84">
        <f t="shared" si="94"/>
        <v>0.74956154144964393</v>
      </c>
      <c r="BB76" s="84">
        <f t="shared" si="94"/>
        <v>0.86224872349268911</v>
      </c>
      <c r="BC76" s="84">
        <f t="shared" si="94"/>
        <v>0.95083822651066408</v>
      </c>
      <c r="BD76" s="84">
        <f t="shared" si="94"/>
        <v>0.70013166629148305</v>
      </c>
      <c r="BE76" s="84">
        <f t="shared" si="94"/>
        <v>1.0952453441251038</v>
      </c>
      <c r="BF76" s="84">
        <f t="shared" si="94"/>
        <v>1.0701423176186473</v>
      </c>
      <c r="BG76" s="84">
        <f t="shared" si="94"/>
        <v>1.0845130276506265</v>
      </c>
      <c r="BH76" s="84">
        <f t="shared" si="94"/>
        <v>0.95183532459809195</v>
      </c>
      <c r="BI76" s="84">
        <f t="shared" si="94"/>
        <v>1.1600373103558226</v>
      </c>
      <c r="BJ76" s="84">
        <f t="shared" si="94"/>
        <v>0.69128644702892306</v>
      </c>
      <c r="BK76" s="84">
        <f t="shared" si="94"/>
        <v>0.70831097377167174</v>
      </c>
      <c r="BL76" s="84">
        <f t="shared" si="94"/>
        <v>0.69461993171525716</v>
      </c>
      <c r="BM76" s="84">
        <f t="shared" si="94"/>
        <v>1.0809563435543947</v>
      </c>
      <c r="BN76" s="84">
        <f t="shared" si="94"/>
        <v>1.0540668894328833</v>
      </c>
      <c r="BO76" s="84">
        <f t="shared" si="94"/>
        <v>0.56977853313644955</v>
      </c>
      <c r="BP76" s="84">
        <f t="shared" si="94"/>
        <v>0.83677669984417047</v>
      </c>
      <c r="BQ76" s="84">
        <f t="shared" si="94"/>
        <v>0.86728062325394295</v>
      </c>
      <c r="BR76" s="84">
        <f t="shared" si="94"/>
        <v>0.81293937810923889</v>
      </c>
      <c r="BS76" s="84">
        <f t="shared" si="94"/>
        <v>0.85181433870238532</v>
      </c>
      <c r="BT76" s="84">
        <f t="shared" si="94"/>
        <v>0.9977532878530242</v>
      </c>
      <c r="BU76" s="84">
        <f t="shared" si="94"/>
        <v>0.80304488587271039</v>
      </c>
      <c r="BV76" s="84">
        <f t="shared" si="94"/>
        <v>0.93645649551066101</v>
      </c>
      <c r="BW76" s="84">
        <f t="shared" si="94"/>
        <v>1.1585399699256926</v>
      </c>
      <c r="BX76" s="84">
        <f t="shared" si="94"/>
        <v>1.065791851133338</v>
      </c>
      <c r="BY76" s="84">
        <f t="shared" si="94"/>
        <v>1.1651525694524068</v>
      </c>
      <c r="BZ76" s="84">
        <f t="shared" si="94"/>
        <v>1.1233108995995229</v>
      </c>
      <c r="CA76" s="84">
        <f t="shared" si="94"/>
        <v>1.1553057124562169</v>
      </c>
      <c r="CB76" s="84">
        <f t="shared" si="94"/>
        <v>1.1346713346694122</v>
      </c>
      <c r="CC76" s="84">
        <f t="shared" si="94"/>
        <v>1.1921375992599825</v>
      </c>
      <c r="CD76" s="84">
        <f t="shared" si="94"/>
        <v>1.2684818275551815</v>
      </c>
      <c r="CE76" s="84">
        <f t="shared" si="94"/>
        <v>1.1581123740016157</v>
      </c>
      <c r="CF76" s="84">
        <f t="shared" si="94"/>
        <v>1.1644481475540009</v>
      </c>
      <c r="CG76" s="84">
        <f t="shared" si="94"/>
        <v>1.3808055228256604</v>
      </c>
      <c r="CH76" s="84">
        <f t="shared" si="94"/>
        <v>1.3273939984754586</v>
      </c>
      <c r="CI76" s="84">
        <f t="shared" si="94"/>
        <v>1.3882916951381143</v>
      </c>
      <c r="CJ76" s="84">
        <f t="shared" si="94"/>
        <v>0.57317568838705424</v>
      </c>
      <c r="CK76" s="84">
        <f t="shared" si="94"/>
        <v>0.61890937063507789</v>
      </c>
      <c r="CL76" s="84">
        <f t="shared" si="94"/>
        <v>0.82052894593213166</v>
      </c>
      <c r="CM76" s="84">
        <f t="shared" si="94"/>
        <v>0.85099525797056719</v>
      </c>
      <c r="CN76" s="84">
        <f t="shared" si="94"/>
        <v>0.82052894593213166</v>
      </c>
      <c r="CO76" s="84">
        <f t="shared" ref="CO76" si="95">CO51/$CQ51</f>
        <v>0.81257027717501895</v>
      </c>
      <c r="CP76" s="84">
        <f t="shared" si="83"/>
        <v>0.69147434702503707</v>
      </c>
    </row>
    <row r="77" spans="1:94">
      <c r="A77" s="39" t="s">
        <v>126</v>
      </c>
      <c r="B77" s="58" t="s">
        <v>131</v>
      </c>
      <c r="C77" s="114">
        <f t="shared" ref="C77:AA77" si="96">C52/$AB52</f>
        <v>0.61361605493968041</v>
      </c>
      <c r="D77" s="115">
        <f t="shared" si="96"/>
        <v>1.240211646250214</v>
      </c>
      <c r="E77" s="115">
        <f t="shared" si="96"/>
        <v>1.3393414616650048</v>
      </c>
      <c r="F77" s="115">
        <f t="shared" si="96"/>
        <v>1.1188892310429768</v>
      </c>
      <c r="G77" s="115">
        <f t="shared" si="96"/>
        <v>0.77467305478511828</v>
      </c>
      <c r="H77" s="115">
        <f t="shared" si="96"/>
        <v>0.95834891902498587</v>
      </c>
      <c r="I77" s="115">
        <f t="shared" si="96"/>
        <v>0.71102040646369236</v>
      </c>
      <c r="J77" s="115">
        <f t="shared" si="96"/>
        <v>1.0552331757123594</v>
      </c>
      <c r="K77" s="115">
        <f t="shared" si="96"/>
        <v>1.0397990625047642</v>
      </c>
      <c r="L77" s="115">
        <f t="shared" si="96"/>
        <v>1.2048929984414614</v>
      </c>
      <c r="M77" s="115">
        <f t="shared" si="96"/>
        <v>0.87836445723656831</v>
      </c>
      <c r="N77" s="115">
        <f t="shared" si="96"/>
        <v>0.87856192422011881</v>
      </c>
      <c r="O77" s="115">
        <f t="shared" si="96"/>
        <v>1</v>
      </c>
      <c r="P77" s="115">
        <f t="shared" si="96"/>
        <v>1.1464326206387367</v>
      </c>
      <c r="Q77" s="115">
        <f t="shared" si="96"/>
        <v>0.8149003727278642</v>
      </c>
      <c r="R77" s="115">
        <f t="shared" si="96"/>
        <v>0.81194464994133975</v>
      </c>
      <c r="S77" s="115">
        <f t="shared" si="96"/>
        <v>0.86544849602040774</v>
      </c>
      <c r="T77" s="115">
        <f t="shared" si="96"/>
        <v>0.89733933213823092</v>
      </c>
      <c r="U77" s="115">
        <f t="shared" si="96"/>
        <v>0.98233609968172586</v>
      </c>
      <c r="V77" s="115">
        <f t="shared" si="96"/>
        <v>1.1414324816298058</v>
      </c>
      <c r="W77" s="115">
        <f t="shared" si="96"/>
        <v>1.0287086530195164</v>
      </c>
      <c r="X77" s="115">
        <f t="shared" si="96"/>
        <v>1.1689053922575352</v>
      </c>
      <c r="Y77" s="115">
        <f t="shared" si="96"/>
        <v>1.299791717297802</v>
      </c>
      <c r="Z77" s="115">
        <f t="shared" si="96"/>
        <v>0.54951253100805364</v>
      </c>
      <c r="AA77" s="115">
        <f t="shared" si="96"/>
        <v>1.0435653772764049</v>
      </c>
      <c r="AC77" s="115">
        <f t="shared" ref="AC77:CN77" si="97">AC52/$CQ52</f>
        <v>0.96097213575802409</v>
      </c>
      <c r="AD77" s="115">
        <f t="shared" si="97"/>
        <v>1.006046783979601</v>
      </c>
      <c r="AE77" s="115">
        <f t="shared" si="97"/>
        <v>1.1137324923041618</v>
      </c>
      <c r="AF77" s="115">
        <f t="shared" si="97"/>
        <v>0.99902478610732359</v>
      </c>
      <c r="AG77" s="115">
        <f t="shared" si="97"/>
        <v>1.0808913485458358</v>
      </c>
      <c r="AH77" s="115">
        <f t="shared" si="97"/>
        <v>1.1360280322570686</v>
      </c>
      <c r="AI77" s="115">
        <f t="shared" si="97"/>
        <v>1.1926839318120201</v>
      </c>
      <c r="AJ77" s="115">
        <f t="shared" si="97"/>
        <v>1.2475041220628451</v>
      </c>
      <c r="AK77" s="115">
        <f t="shared" si="97"/>
        <v>0.6272454614138977</v>
      </c>
      <c r="AL77" s="115">
        <f t="shared" si="97"/>
        <v>0.92580810981994577</v>
      </c>
      <c r="AM77" s="115">
        <f t="shared" si="97"/>
        <v>1.1072288282211327</v>
      </c>
      <c r="AN77" s="115">
        <f t="shared" si="97"/>
        <v>1.0894751080103944</v>
      </c>
      <c r="AO77" s="115">
        <f t="shared" si="97"/>
        <v>0.68607648072912064</v>
      </c>
      <c r="AP77" s="115">
        <f t="shared" si="97"/>
        <v>0.83224229273950012</v>
      </c>
      <c r="AQ77" s="115">
        <f t="shared" si="97"/>
        <v>1.0695403094641893</v>
      </c>
      <c r="AR77" s="115">
        <f t="shared" si="97"/>
        <v>1.0131887764115046</v>
      </c>
      <c r="AS77" s="115">
        <f t="shared" si="97"/>
        <v>1.1573108136927166</v>
      </c>
      <c r="AT77" s="115">
        <f t="shared" si="97"/>
        <v>1.1275687096964708</v>
      </c>
      <c r="AU77" s="115">
        <f t="shared" si="97"/>
        <v>1.0009752138926766</v>
      </c>
      <c r="AV77" s="115">
        <f t="shared" si="97"/>
        <v>1.077489943215004</v>
      </c>
      <c r="AW77" s="115">
        <f t="shared" si="97"/>
        <v>0.9334429368951811</v>
      </c>
      <c r="AX77" s="115">
        <f t="shared" si="97"/>
        <v>0.6945257074507889</v>
      </c>
      <c r="AY77" s="115">
        <f t="shared" si="97"/>
        <v>0.85681808806241755</v>
      </c>
      <c r="AZ77" s="115">
        <f t="shared" si="97"/>
        <v>0.79639786659885337</v>
      </c>
      <c r="BA77" s="115">
        <f t="shared" si="97"/>
        <v>0.74441165132000975</v>
      </c>
      <c r="BB77" s="115">
        <f t="shared" si="97"/>
        <v>0.87528211774404918</v>
      </c>
      <c r="BC77" s="115">
        <f t="shared" si="97"/>
        <v>0.93217276317663877</v>
      </c>
      <c r="BD77" s="115">
        <f t="shared" si="97"/>
        <v>0.71013036168076216</v>
      </c>
      <c r="BE77" s="115">
        <f t="shared" si="97"/>
        <v>1.1500923149354854</v>
      </c>
      <c r="BF77" s="115">
        <f t="shared" si="97"/>
        <v>1.0857181580379109</v>
      </c>
      <c r="BG77" s="115">
        <f t="shared" si="97"/>
        <v>1.0926722407408764</v>
      </c>
      <c r="BH77" s="115">
        <f t="shared" si="97"/>
        <v>0.99016727107923841</v>
      </c>
      <c r="BI77" s="115">
        <f t="shared" si="97"/>
        <v>1.177307882004174</v>
      </c>
      <c r="BJ77" s="115">
        <f t="shared" si="97"/>
        <v>0.72025635957976641</v>
      </c>
      <c r="BK77" s="115">
        <f t="shared" si="97"/>
        <v>0.73506737639054143</v>
      </c>
      <c r="BL77" s="115">
        <f t="shared" si="97"/>
        <v>0.76649590469994455</v>
      </c>
      <c r="BM77" s="115">
        <f t="shared" si="97"/>
        <v>1.0030922268801916</v>
      </c>
      <c r="BN77" s="115">
        <f t="shared" si="97"/>
        <v>1.0043576630295463</v>
      </c>
      <c r="BO77" s="115">
        <f t="shared" si="97"/>
        <v>0.60603214265115002</v>
      </c>
      <c r="BP77" s="115">
        <f t="shared" si="97"/>
        <v>0.73960694829864226</v>
      </c>
      <c r="BQ77" s="115">
        <f t="shared" si="97"/>
        <v>0.84691456510771101</v>
      </c>
      <c r="BR77" s="115">
        <f t="shared" si="97"/>
        <v>0.85814671328810277</v>
      </c>
      <c r="BS77" s="115">
        <f t="shared" si="97"/>
        <v>0.76162371042804866</v>
      </c>
      <c r="BT77" s="115">
        <f t="shared" si="97"/>
        <v>0.94415273850353032</v>
      </c>
      <c r="BU77" s="115">
        <f t="shared" si="97"/>
        <v>0.75635417797623605</v>
      </c>
      <c r="BV77" s="115">
        <f t="shared" si="97"/>
        <v>0.88525975017100855</v>
      </c>
      <c r="BW77" s="115">
        <f t="shared" si="97"/>
        <v>1.0848175183383806</v>
      </c>
      <c r="BX77" s="115">
        <f t="shared" si="97"/>
        <v>1.017148098631625</v>
      </c>
      <c r="BY77" s="115">
        <f t="shared" si="97"/>
        <v>1.0940895682072884</v>
      </c>
      <c r="BZ77" s="115">
        <f t="shared" si="97"/>
        <v>1.0992675161735395</v>
      </c>
      <c r="CA77" s="115">
        <f t="shared" si="97"/>
        <v>1.1026749470474437</v>
      </c>
      <c r="CB77" s="115">
        <f t="shared" si="97"/>
        <v>1.1479477822068693</v>
      </c>
      <c r="CC77" s="115">
        <f t="shared" si="97"/>
        <v>1.1230451735747713</v>
      </c>
      <c r="CD77" s="115">
        <f t="shared" si="97"/>
        <v>1.2603037533731163</v>
      </c>
      <c r="CE77" s="115">
        <f t="shared" si="97"/>
        <v>1.191035451188917</v>
      </c>
      <c r="CF77" s="115">
        <f t="shared" si="97"/>
        <v>1.0945436814812231</v>
      </c>
      <c r="CG77" s="115">
        <f t="shared" si="97"/>
        <v>1.3295569841870545</v>
      </c>
      <c r="CH77" s="115">
        <f t="shared" si="97"/>
        <v>1.3119462306480514</v>
      </c>
      <c r="CI77" s="115">
        <f t="shared" si="97"/>
        <v>1.332174075627043</v>
      </c>
      <c r="CJ77" s="115">
        <f t="shared" si="97"/>
        <v>0.54796328971518049</v>
      </c>
      <c r="CK77" s="115">
        <f t="shared" si="97"/>
        <v>0.62160732493098725</v>
      </c>
      <c r="CL77" s="115">
        <f t="shared" si="97"/>
        <v>0.78492980635307319</v>
      </c>
      <c r="CM77" s="115">
        <f t="shared" si="97"/>
        <v>0.86045478869967973</v>
      </c>
      <c r="CN77" s="115">
        <f t="shared" si="97"/>
        <v>0.78492980635307319</v>
      </c>
      <c r="CO77" s="115">
        <f t="shared" ref="CO77" si="98">CO52/$CQ52</f>
        <v>0.77466788483492444</v>
      </c>
      <c r="CP77" s="115">
        <f t="shared" si="83"/>
        <v>0.66568939549834072</v>
      </c>
    </row>
    <row r="78" spans="1:94">
      <c r="A78" s="10"/>
      <c r="B78" s="39" t="s">
        <v>109</v>
      </c>
      <c r="C78" s="120">
        <f>AVERAGE(C72:C77)</f>
        <v>0.610386848292508</v>
      </c>
      <c r="D78" s="120">
        <f t="shared" ref="D78:AA78" si="99">AVERAGE(D72:D77)</f>
        <v>1.2382980528940053</v>
      </c>
      <c r="E78" s="120">
        <f t="shared" si="99"/>
        <v>1.3448615242532442</v>
      </c>
      <c r="F78" s="120">
        <f t="shared" si="99"/>
        <v>1.147581345442088</v>
      </c>
      <c r="G78" s="120">
        <f t="shared" si="99"/>
        <v>0.74897291168710289</v>
      </c>
      <c r="H78" s="120">
        <f t="shared" si="99"/>
        <v>0.99658327305835204</v>
      </c>
      <c r="I78" s="120">
        <f t="shared" si="99"/>
        <v>0.70929280631980973</v>
      </c>
      <c r="J78" s="120">
        <f t="shared" si="99"/>
        <v>1.0530960351587282</v>
      </c>
      <c r="K78" s="120">
        <f t="shared" si="99"/>
        <v>0.98556902646890532</v>
      </c>
      <c r="L78" s="120">
        <f t="shared" si="99"/>
        <v>1.1740437198274785</v>
      </c>
      <c r="M78" s="120">
        <f t="shared" si="99"/>
        <v>0.86607801942079499</v>
      </c>
      <c r="N78" s="120">
        <f t="shared" si="99"/>
        <v>0.85857354916174577</v>
      </c>
      <c r="O78" s="120">
        <f t="shared" si="99"/>
        <v>0.99688744637255333</v>
      </c>
      <c r="P78" s="120">
        <f t="shared" si="99"/>
        <v>1.1307586672411467</v>
      </c>
      <c r="Q78" s="120">
        <f t="shared" si="99"/>
        <v>0.81311092015809283</v>
      </c>
      <c r="R78" s="120">
        <f t="shared" si="99"/>
        <v>0.81755125975348053</v>
      </c>
      <c r="S78" s="120">
        <f t="shared" si="99"/>
        <v>0.88202953496854519</v>
      </c>
      <c r="T78" s="120">
        <f t="shared" si="99"/>
        <v>0.95854005451042468</v>
      </c>
      <c r="U78" s="120">
        <f t="shared" si="99"/>
        <v>0.99069409976678957</v>
      </c>
      <c r="V78" s="120">
        <f t="shared" si="99"/>
        <v>1.1630130271341821</v>
      </c>
      <c r="W78" s="120">
        <f t="shared" si="99"/>
        <v>1.0410301752944984</v>
      </c>
      <c r="X78" s="120">
        <f t="shared" si="99"/>
        <v>1.1709854219426097</v>
      </c>
      <c r="Y78" s="120">
        <f t="shared" si="99"/>
        <v>1.2817485428346285</v>
      </c>
      <c r="Z78" s="120">
        <f t="shared" si="99"/>
        <v>0.51830621536392452</v>
      </c>
      <c r="AA78" s="120">
        <f t="shared" si="99"/>
        <v>1.031794349792104</v>
      </c>
      <c r="AC78" s="116">
        <f>AVERAGE(AC72:AC77)</f>
        <v>1.0013800998956564</v>
      </c>
      <c r="AD78" s="116">
        <f t="shared" ref="AD78:CO78" si="100">AVERAGE(AD72:AD77)</f>
        <v>1.0041319100526911</v>
      </c>
      <c r="AE78" s="116">
        <f t="shared" si="100"/>
        <v>1.1371818601992667</v>
      </c>
      <c r="AF78" s="116">
        <f t="shared" si="100"/>
        <v>1.0263732231068037</v>
      </c>
      <c r="AG78" s="116">
        <f t="shared" si="100"/>
        <v>1.0682847498687422</v>
      </c>
      <c r="AH78" s="116">
        <f t="shared" si="100"/>
        <v>1.179478683878981</v>
      </c>
      <c r="AI78" s="116">
        <f t="shared" si="100"/>
        <v>1.2061412107086411</v>
      </c>
      <c r="AJ78" s="116">
        <f t="shared" si="100"/>
        <v>1.2728262993138277</v>
      </c>
      <c r="AK78" s="116">
        <f t="shared" si="100"/>
        <v>0.69990578010227511</v>
      </c>
      <c r="AL78" s="116">
        <f t="shared" si="100"/>
        <v>0.93957620445207535</v>
      </c>
      <c r="AM78" s="116">
        <f t="shared" si="100"/>
        <v>1.1028205130737745</v>
      </c>
      <c r="AN78" s="116">
        <f t="shared" si="100"/>
        <v>1.0465605633906698</v>
      </c>
      <c r="AO78" s="116">
        <f t="shared" si="100"/>
        <v>0.68869183641140586</v>
      </c>
      <c r="AP78" s="116">
        <f t="shared" si="100"/>
        <v>0.79014007294803468</v>
      </c>
      <c r="AQ78" s="116">
        <f t="shared" si="100"/>
        <v>1.0827052748270962</v>
      </c>
      <c r="AR78" s="116">
        <f t="shared" si="100"/>
        <v>1.0249804291813471</v>
      </c>
      <c r="AS78" s="116">
        <f t="shared" si="100"/>
        <v>1.1360093978175125</v>
      </c>
      <c r="AT78" s="116">
        <f t="shared" si="100"/>
        <v>1.1284132065174353</v>
      </c>
      <c r="AU78" s="116">
        <f t="shared" si="100"/>
        <v>0.96573693825102402</v>
      </c>
      <c r="AV78" s="116">
        <f t="shared" si="100"/>
        <v>1.0581500036970073</v>
      </c>
      <c r="AW78" s="116">
        <f t="shared" si="100"/>
        <v>0.89102213086236481</v>
      </c>
      <c r="AX78" s="116">
        <f t="shared" si="100"/>
        <v>0.73213262103577625</v>
      </c>
      <c r="AY78" s="116">
        <f t="shared" si="100"/>
        <v>0.82156173227875706</v>
      </c>
      <c r="AZ78" s="116">
        <f t="shared" si="100"/>
        <v>0.76448263248851711</v>
      </c>
      <c r="BA78" s="116">
        <f t="shared" si="100"/>
        <v>0.72958393794233045</v>
      </c>
      <c r="BB78" s="116">
        <f t="shared" si="100"/>
        <v>0.89044024078457618</v>
      </c>
      <c r="BC78" s="116">
        <f t="shared" si="100"/>
        <v>0.95134233315263206</v>
      </c>
      <c r="BD78" s="116">
        <f t="shared" si="100"/>
        <v>0.73731758781969692</v>
      </c>
      <c r="BE78" s="116">
        <f t="shared" si="100"/>
        <v>1.1524834745313084</v>
      </c>
      <c r="BF78" s="116">
        <f t="shared" si="100"/>
        <v>1.0926647339114586</v>
      </c>
      <c r="BG78" s="116">
        <f t="shared" si="100"/>
        <v>1.0906538016678002</v>
      </c>
      <c r="BH78" s="116">
        <f t="shared" si="100"/>
        <v>0.99366589129448357</v>
      </c>
      <c r="BI78" s="116">
        <f t="shared" si="100"/>
        <v>1.1614357400126325</v>
      </c>
      <c r="BJ78" s="116">
        <f t="shared" si="100"/>
        <v>0.70678556725824038</v>
      </c>
      <c r="BK78" s="116">
        <f t="shared" si="100"/>
        <v>0.75607205031175129</v>
      </c>
      <c r="BL78" s="116">
        <f t="shared" si="100"/>
        <v>0.7619087306094765</v>
      </c>
      <c r="BM78" s="116">
        <f t="shared" si="100"/>
        <v>1.0250331014210889</v>
      </c>
      <c r="BN78" s="116">
        <f t="shared" si="100"/>
        <v>1.0101484492425414</v>
      </c>
      <c r="BO78" s="116">
        <f t="shared" si="100"/>
        <v>0.57991083954813749</v>
      </c>
      <c r="BP78" s="116">
        <f t="shared" si="100"/>
        <v>0.7549565721871021</v>
      </c>
      <c r="BQ78" s="116">
        <f t="shared" si="100"/>
        <v>0.87680189496361061</v>
      </c>
      <c r="BR78" s="116">
        <f t="shared" si="100"/>
        <v>0.82510918418741941</v>
      </c>
      <c r="BS78" s="116">
        <f t="shared" si="100"/>
        <v>0.7738040962970808</v>
      </c>
      <c r="BT78" s="116">
        <f t="shared" si="100"/>
        <v>0.98105586824880264</v>
      </c>
      <c r="BU78" s="116">
        <f t="shared" si="100"/>
        <v>0.77517345198612408</v>
      </c>
      <c r="BV78" s="116">
        <f t="shared" si="100"/>
        <v>0.91661719765209815</v>
      </c>
      <c r="BW78" s="116">
        <f t="shared" si="100"/>
        <v>1.1211897364322161</v>
      </c>
      <c r="BX78" s="116">
        <f t="shared" si="100"/>
        <v>1.0376831095066879</v>
      </c>
      <c r="BY78" s="116">
        <f t="shared" si="100"/>
        <v>1.1028273032258125</v>
      </c>
      <c r="BZ78" s="116">
        <f t="shared" si="100"/>
        <v>1.1270064298145879</v>
      </c>
      <c r="CA78" s="116">
        <f t="shared" si="100"/>
        <v>1.1417696591730657</v>
      </c>
      <c r="CB78" s="116">
        <f t="shared" si="100"/>
        <v>1.128102437240547</v>
      </c>
      <c r="CC78" s="116">
        <f t="shared" si="100"/>
        <v>1.1330593518226779</v>
      </c>
      <c r="CD78" s="116">
        <f t="shared" si="100"/>
        <v>1.2693182701107417</v>
      </c>
      <c r="CE78" s="116">
        <f t="shared" si="100"/>
        <v>1.1655519537652499</v>
      </c>
      <c r="CF78" s="116">
        <f t="shared" si="100"/>
        <v>1.1306696238517204</v>
      </c>
      <c r="CG78" s="116">
        <f t="shared" si="100"/>
        <v>1.3531830868472172</v>
      </c>
      <c r="CH78" s="116">
        <f t="shared" si="100"/>
        <v>1.3118706640119926</v>
      </c>
      <c r="CI78" s="116">
        <f t="shared" si="100"/>
        <v>1.335108508548039</v>
      </c>
      <c r="CJ78" s="116">
        <f t="shared" si="100"/>
        <v>0.60227650461307791</v>
      </c>
      <c r="CK78" s="116">
        <f t="shared" si="100"/>
        <v>0.65495813735429442</v>
      </c>
      <c r="CL78" s="116">
        <f t="shared" si="100"/>
        <v>0.81524297628095665</v>
      </c>
      <c r="CM78" s="116">
        <f t="shared" si="100"/>
        <v>0.85944578361433832</v>
      </c>
      <c r="CN78" s="116">
        <f t="shared" si="100"/>
        <v>0.81524297628095665</v>
      </c>
      <c r="CO78" s="116">
        <f t="shared" si="100"/>
        <v>0.77996733439604338</v>
      </c>
      <c r="CP78" s="116">
        <f t="shared" ref="CP78" si="101">AVERAGE(CP72:CP77)</f>
        <v>0.67194126057361192</v>
      </c>
    </row>
    <row r="79" spans="1:94">
      <c r="A79" s="10"/>
      <c r="B79" s="39" t="s">
        <v>110</v>
      </c>
      <c r="C79" s="120">
        <f>_xlfn.STDEV.S(C72:C77)</f>
        <v>1.8182944312040851E-2</v>
      </c>
      <c r="D79" s="120">
        <f t="shared" ref="D79:AA79" si="102">_xlfn.STDEV.S(D72:D77)</f>
        <v>2.4789986245557522E-2</v>
      </c>
      <c r="E79" s="120">
        <f t="shared" si="102"/>
        <v>1.1819020729677172E-2</v>
      </c>
      <c r="F79" s="120">
        <f t="shared" si="102"/>
        <v>2.0457373176012626E-2</v>
      </c>
      <c r="G79" s="120">
        <f t="shared" si="102"/>
        <v>4.1449127886657083E-2</v>
      </c>
      <c r="H79" s="120">
        <f t="shared" si="102"/>
        <v>3.6378120421823437E-2</v>
      </c>
      <c r="I79" s="120">
        <f t="shared" si="102"/>
        <v>1.0700103749630678E-2</v>
      </c>
      <c r="J79" s="120">
        <f t="shared" si="102"/>
        <v>2.3238020658451198E-2</v>
      </c>
      <c r="K79" s="120">
        <f t="shared" si="102"/>
        <v>5.6556292541225371E-2</v>
      </c>
      <c r="L79" s="120">
        <f t="shared" si="102"/>
        <v>5.6589032633089592E-2</v>
      </c>
      <c r="M79" s="120">
        <f t="shared" si="102"/>
        <v>2.172479444381939E-2</v>
      </c>
      <c r="N79" s="120">
        <f t="shared" si="102"/>
        <v>3.4220037216640964E-2</v>
      </c>
      <c r="O79" s="120">
        <f t="shared" si="102"/>
        <v>9.0802669430229237E-3</v>
      </c>
      <c r="P79" s="120">
        <f t="shared" si="102"/>
        <v>2.7235817338078804E-2</v>
      </c>
      <c r="Q79" s="120">
        <f t="shared" si="102"/>
        <v>4.0590700940655061E-2</v>
      </c>
      <c r="R79" s="120">
        <f t="shared" si="102"/>
        <v>2.2791046000486984E-2</v>
      </c>
      <c r="S79" s="120">
        <f t="shared" si="102"/>
        <v>3.3127174123234043E-2</v>
      </c>
      <c r="T79" s="120">
        <f t="shared" si="102"/>
        <v>5.0272791763331583E-2</v>
      </c>
      <c r="U79" s="120">
        <f t="shared" si="102"/>
        <v>6.542366381008408E-3</v>
      </c>
      <c r="V79" s="120">
        <f t="shared" si="102"/>
        <v>4.3222109734203304E-2</v>
      </c>
      <c r="W79" s="120">
        <f t="shared" si="102"/>
        <v>4.7662008138270172E-2</v>
      </c>
      <c r="X79" s="120">
        <f t="shared" si="102"/>
        <v>1.3838239608277748E-2</v>
      </c>
      <c r="Y79" s="120">
        <f t="shared" si="102"/>
        <v>3.0793158279334702E-2</v>
      </c>
      <c r="Z79" s="120">
        <f t="shared" si="102"/>
        <v>5.5208058772831851E-2</v>
      </c>
      <c r="AA79" s="120">
        <f t="shared" si="102"/>
        <v>4.0201253276002782E-2</v>
      </c>
      <c r="AC79" s="116">
        <f>_xlfn.STDEV.S(AC72:AC77)</f>
        <v>4.088073818809998E-2</v>
      </c>
      <c r="AD79" s="116">
        <f t="shared" ref="AD79:CO79" si="103">_xlfn.STDEV.S(AD72:AD77)</f>
        <v>3.3359627721478061E-2</v>
      </c>
      <c r="AE79" s="116">
        <f t="shared" si="103"/>
        <v>2.7648858709324507E-2</v>
      </c>
      <c r="AF79" s="116">
        <f t="shared" si="103"/>
        <v>2.6041962688181621E-2</v>
      </c>
      <c r="AG79" s="116">
        <f t="shared" si="103"/>
        <v>2.0770951189565665E-2</v>
      </c>
      <c r="AH79" s="116">
        <f t="shared" si="103"/>
        <v>2.9168554029892629E-2</v>
      </c>
      <c r="AI79" s="116">
        <f t="shared" si="103"/>
        <v>1.2445400159468068E-2</v>
      </c>
      <c r="AJ79" s="116">
        <f t="shared" si="103"/>
        <v>1.8732365189927814E-2</v>
      </c>
      <c r="AK79" s="116">
        <f t="shared" si="103"/>
        <v>4.2838526088980401E-2</v>
      </c>
      <c r="AL79" s="116">
        <f t="shared" si="103"/>
        <v>2.1154829566277213E-2</v>
      </c>
      <c r="AM79" s="116">
        <f t="shared" si="103"/>
        <v>1.4791659652423541E-2</v>
      </c>
      <c r="AN79" s="116">
        <f t="shared" si="103"/>
        <v>3.9737475634893112E-2</v>
      </c>
      <c r="AO79" s="116">
        <f t="shared" si="103"/>
        <v>3.0120853909559039E-2</v>
      </c>
      <c r="AP79" s="116">
        <f t="shared" si="103"/>
        <v>3.3027094773407074E-2</v>
      </c>
      <c r="AQ79" s="116">
        <f t="shared" si="103"/>
        <v>1.2410927687195277E-2</v>
      </c>
      <c r="AR79" s="116">
        <f t="shared" si="103"/>
        <v>9.9998494626991306E-3</v>
      </c>
      <c r="AS79" s="116">
        <f t="shared" si="103"/>
        <v>2.5983465256903055E-2</v>
      </c>
      <c r="AT79" s="116">
        <f t="shared" si="103"/>
        <v>2.4196033486556159E-2</v>
      </c>
      <c r="AU79" s="116">
        <f t="shared" si="103"/>
        <v>3.0680421189953337E-2</v>
      </c>
      <c r="AV79" s="116">
        <f t="shared" si="103"/>
        <v>2.9448620661517502E-2</v>
      </c>
      <c r="AW79" s="116">
        <f t="shared" si="103"/>
        <v>4.8508823823849405E-2</v>
      </c>
      <c r="AX79" s="116">
        <f t="shared" si="103"/>
        <v>3.9207315581519742E-2</v>
      </c>
      <c r="AY79" s="116">
        <f t="shared" si="103"/>
        <v>5.762202280351475E-2</v>
      </c>
      <c r="AZ79" s="116">
        <f t="shared" si="103"/>
        <v>4.8464223141349586E-2</v>
      </c>
      <c r="BA79" s="116">
        <f t="shared" si="103"/>
        <v>2.8071158888173062E-2</v>
      </c>
      <c r="BB79" s="116">
        <f t="shared" si="103"/>
        <v>2.12446094403663E-2</v>
      </c>
      <c r="BC79" s="116">
        <f t="shared" si="103"/>
        <v>1.1206359320658766E-2</v>
      </c>
      <c r="BD79" s="116">
        <f t="shared" si="103"/>
        <v>3.2632927267428946E-2</v>
      </c>
      <c r="BE79" s="116">
        <f t="shared" si="103"/>
        <v>2.9081604283494874E-2</v>
      </c>
      <c r="BF79" s="116">
        <f t="shared" si="103"/>
        <v>3.034469083117132E-2</v>
      </c>
      <c r="BG79" s="116">
        <f t="shared" si="103"/>
        <v>2.3202798059071369E-2</v>
      </c>
      <c r="BH79" s="116">
        <f t="shared" si="103"/>
        <v>3.001239439167537E-2</v>
      </c>
      <c r="BI79" s="116">
        <f t="shared" si="103"/>
        <v>1.9780642471289044E-2</v>
      </c>
      <c r="BJ79" s="116">
        <f t="shared" si="103"/>
        <v>1.3477384348192067E-2</v>
      </c>
      <c r="BK79" s="116">
        <f t="shared" si="103"/>
        <v>2.982148705463324E-2</v>
      </c>
      <c r="BL79" s="116">
        <f t="shared" si="103"/>
        <v>3.4597754219550012E-2</v>
      </c>
      <c r="BM79" s="116">
        <f t="shared" si="103"/>
        <v>3.7961412109775966E-2</v>
      </c>
      <c r="BN79" s="116">
        <f t="shared" si="103"/>
        <v>2.2385514026823636E-2</v>
      </c>
      <c r="BO79" s="116">
        <f t="shared" si="103"/>
        <v>1.9682823876061094E-2</v>
      </c>
      <c r="BP79" s="116">
        <f t="shared" si="103"/>
        <v>4.1783414293933771E-2</v>
      </c>
      <c r="BQ79" s="116">
        <f t="shared" si="103"/>
        <v>2.535902345236328E-2</v>
      </c>
      <c r="BR79" s="116">
        <f t="shared" si="103"/>
        <v>2.3135694982357843E-2</v>
      </c>
      <c r="BS79" s="116">
        <f t="shared" si="103"/>
        <v>4.750944813974755E-2</v>
      </c>
      <c r="BT79" s="116">
        <f t="shared" si="103"/>
        <v>2.5009438318304385E-2</v>
      </c>
      <c r="BU79" s="116">
        <f t="shared" si="103"/>
        <v>1.705861187707924E-2</v>
      </c>
      <c r="BV79" s="116">
        <f t="shared" si="103"/>
        <v>2.4211758927335306E-2</v>
      </c>
      <c r="BW79" s="116">
        <f t="shared" si="103"/>
        <v>3.080095870338238E-2</v>
      </c>
      <c r="BX79" s="116">
        <f t="shared" si="103"/>
        <v>1.8617407800233788E-2</v>
      </c>
      <c r="BY79" s="116">
        <f t="shared" si="103"/>
        <v>3.2712176805348749E-2</v>
      </c>
      <c r="BZ79" s="116">
        <f t="shared" si="103"/>
        <v>2.8084722835471587E-2</v>
      </c>
      <c r="CA79" s="116">
        <f t="shared" si="103"/>
        <v>2.8575606343379981E-2</v>
      </c>
      <c r="CB79" s="116">
        <f t="shared" si="103"/>
        <v>2.618227001065971E-2</v>
      </c>
      <c r="CC79" s="116">
        <f t="shared" si="103"/>
        <v>3.3224720842837993E-2</v>
      </c>
      <c r="CD79" s="116">
        <f t="shared" si="103"/>
        <v>8.6726709110205198E-3</v>
      </c>
      <c r="CE79" s="116">
        <f t="shared" si="103"/>
        <v>1.4623979648039768E-2</v>
      </c>
      <c r="CF79" s="116">
        <f t="shared" si="103"/>
        <v>2.6559587383230897E-2</v>
      </c>
      <c r="CG79" s="116">
        <f t="shared" si="103"/>
        <v>1.9694815885322268E-2</v>
      </c>
      <c r="CH79" s="116">
        <f t="shared" si="103"/>
        <v>1.8613593037707994E-2</v>
      </c>
      <c r="CI79" s="116">
        <f t="shared" si="103"/>
        <v>2.8496578502370733E-2</v>
      </c>
      <c r="CJ79" s="116">
        <f t="shared" si="103"/>
        <v>3.6192139930427566E-2</v>
      </c>
      <c r="CK79" s="116">
        <f t="shared" si="103"/>
        <v>3.0587689760055117E-2</v>
      </c>
      <c r="CL79" s="116">
        <f t="shared" si="103"/>
        <v>3.7256220818747181E-2</v>
      </c>
      <c r="CM79" s="116">
        <f t="shared" si="103"/>
        <v>1.4342523733738094E-2</v>
      </c>
      <c r="CN79" s="116">
        <f t="shared" si="103"/>
        <v>3.7256220818747181E-2</v>
      </c>
      <c r="CO79" s="116">
        <f t="shared" si="103"/>
        <v>2.8989583114445109E-2</v>
      </c>
      <c r="CP79" s="116">
        <f t="shared" ref="CP79" si="104">_xlfn.STDEV.S(CP72:CP77)</f>
        <v>2.7481699385843324E-2</v>
      </c>
    </row>
    <row r="81" spans="1:95">
      <c r="B81" s="112"/>
      <c r="C81" s="112"/>
    </row>
    <row r="82" spans="1:95">
      <c r="B82" s="39" t="s">
        <v>153</v>
      </c>
      <c r="C82" s="72">
        <f>TTEST(C62:C67,C72:C77,2,3)</f>
        <v>0.4336954196370878</v>
      </c>
      <c r="D82" s="72">
        <f t="shared" ref="D82:BO82" si="105">TTEST(D62:D67,D72:D77,2,3)</f>
        <v>0.80739672972865106</v>
      </c>
      <c r="E82" s="123">
        <f t="shared" si="105"/>
        <v>4.8217840417621809E-4</v>
      </c>
      <c r="F82" s="123">
        <f t="shared" si="105"/>
        <v>3.9004587450683892E-3</v>
      </c>
      <c r="G82" s="72">
        <f t="shared" si="105"/>
        <v>0.65062861045260212</v>
      </c>
      <c r="H82" s="72">
        <f t="shared" si="105"/>
        <v>5.0834283667820848E-3</v>
      </c>
      <c r="I82" s="72">
        <f t="shared" si="105"/>
        <v>0.21037130529055678</v>
      </c>
      <c r="J82" s="72">
        <f t="shared" si="105"/>
        <v>0.30461768746936108</v>
      </c>
      <c r="K82" s="72">
        <f t="shared" si="105"/>
        <v>0.41590989392851907</v>
      </c>
      <c r="L82" s="72">
        <f t="shared" si="105"/>
        <v>0.33659935263432517</v>
      </c>
      <c r="M82" s="72">
        <f t="shared" si="105"/>
        <v>0.92013258590757041</v>
      </c>
      <c r="N82" s="72">
        <f t="shared" si="105"/>
        <v>0.2101746091585415</v>
      </c>
      <c r="O82" s="72">
        <f t="shared" si="105"/>
        <v>0.79872946588242211</v>
      </c>
      <c r="P82" s="72">
        <f t="shared" si="105"/>
        <v>0.62672781512720555</v>
      </c>
      <c r="Q82" s="72">
        <f t="shared" si="105"/>
        <v>0.18815990675088021</v>
      </c>
      <c r="R82" s="123">
        <f t="shared" si="105"/>
        <v>4.5538090083531158E-3</v>
      </c>
      <c r="S82" s="123">
        <f t="shared" si="105"/>
        <v>8.4086148202631768E-3</v>
      </c>
      <c r="T82" s="123">
        <f t="shared" si="105"/>
        <v>9.9394984464785587E-3</v>
      </c>
      <c r="U82" s="72">
        <f t="shared" si="105"/>
        <v>0.10756160396652635</v>
      </c>
      <c r="V82" s="72">
        <f t="shared" si="105"/>
        <v>9.1670324910089473E-2</v>
      </c>
      <c r="W82" s="72">
        <f t="shared" si="105"/>
        <v>6.576784287293011E-2</v>
      </c>
      <c r="X82" s="123">
        <f t="shared" si="105"/>
        <v>9.5237045088077436E-4</v>
      </c>
      <c r="Y82" s="72">
        <f t="shared" si="105"/>
        <v>0.18394617814491565</v>
      </c>
      <c r="Z82" s="72">
        <f t="shared" si="105"/>
        <v>0.73971743160073433</v>
      </c>
      <c r="AA82" s="72">
        <f t="shared" si="105"/>
        <v>8.4539295305166972E-3</v>
      </c>
      <c r="AB82" s="72"/>
      <c r="AC82" s="123">
        <f t="shared" si="105"/>
        <v>3.2235646488568549E-3</v>
      </c>
      <c r="AD82" s="123">
        <f t="shared" si="105"/>
        <v>1.2238140328934865E-3</v>
      </c>
      <c r="AE82" s="123">
        <f t="shared" si="105"/>
        <v>3.782228349825736E-3</v>
      </c>
      <c r="AF82" s="123">
        <f t="shared" si="105"/>
        <v>1.4966888924121853E-3</v>
      </c>
      <c r="AG82" s="72">
        <f t="shared" si="105"/>
        <v>0.11817585684920473</v>
      </c>
      <c r="AH82" s="123">
        <f t="shared" si="105"/>
        <v>1.7293970428024208E-3</v>
      </c>
      <c r="AI82" s="72">
        <f t="shared" si="105"/>
        <v>9.4707769336574987E-2</v>
      </c>
      <c r="AJ82" s="123">
        <f t="shared" si="105"/>
        <v>4.8467793618443998E-3</v>
      </c>
      <c r="AK82" s="72">
        <f t="shared" si="105"/>
        <v>0.3242532746308584</v>
      </c>
      <c r="AL82" s="123">
        <f t="shared" si="105"/>
        <v>1.3056226794996417E-2</v>
      </c>
      <c r="AM82" s="72">
        <f t="shared" si="105"/>
        <v>0.2052699956627011</v>
      </c>
      <c r="AN82" s="72">
        <f t="shared" si="105"/>
        <v>5.4742156503697535E-2</v>
      </c>
      <c r="AO82" s="72">
        <f t="shared" si="105"/>
        <v>0.30470595266156891</v>
      </c>
      <c r="AP82" s="72">
        <f t="shared" si="105"/>
        <v>7.6111974956282497E-2</v>
      </c>
      <c r="AQ82" s="72">
        <f t="shared" si="105"/>
        <v>0.66198945843146295</v>
      </c>
      <c r="AR82" s="72">
        <f t="shared" si="105"/>
        <v>8.4959845822606864E-2</v>
      </c>
      <c r="AS82" s="123">
        <f t="shared" si="105"/>
        <v>2.8409480178725511E-2</v>
      </c>
      <c r="AT82" s="123">
        <f t="shared" si="105"/>
        <v>2.0358019533030309E-2</v>
      </c>
      <c r="AU82" s="72">
        <f t="shared" si="105"/>
        <v>0.12386236955210538</v>
      </c>
      <c r="AV82" s="123">
        <f t="shared" si="105"/>
        <v>2.9997180456639268E-3</v>
      </c>
      <c r="AW82" s="123">
        <f t="shared" si="105"/>
        <v>1.8279486910504423E-2</v>
      </c>
      <c r="AX82" s="72">
        <f t="shared" si="105"/>
        <v>0.99177907217798966</v>
      </c>
      <c r="AY82" s="72">
        <f t="shared" si="105"/>
        <v>0.43129363311914715</v>
      </c>
      <c r="AZ82" s="72">
        <f t="shared" si="105"/>
        <v>0.22584837952752196</v>
      </c>
      <c r="BA82" s="72">
        <f t="shared" si="105"/>
        <v>0.21427431213544934</v>
      </c>
      <c r="BB82" s="72">
        <f t="shared" si="105"/>
        <v>0.12358230026933877</v>
      </c>
      <c r="BC82" s="72">
        <f t="shared" si="105"/>
        <v>0.24202924989882771</v>
      </c>
      <c r="BD82" s="123">
        <f t="shared" si="105"/>
        <v>9.0483820368994095E-3</v>
      </c>
      <c r="BE82" s="72">
        <f t="shared" si="105"/>
        <v>0.90412414630284155</v>
      </c>
      <c r="BF82" s="72">
        <f t="shared" si="105"/>
        <v>0.47825250580233758</v>
      </c>
      <c r="BG82" s="123">
        <f t="shared" si="105"/>
        <v>3.5117442056937939E-2</v>
      </c>
      <c r="BH82" s="123">
        <f t="shared" si="105"/>
        <v>1.7218771099625375E-2</v>
      </c>
      <c r="BI82" s="72">
        <f t="shared" si="105"/>
        <v>6.0318864104558854E-2</v>
      </c>
      <c r="BJ82" s="72">
        <f t="shared" si="105"/>
        <v>0.10353362995393126</v>
      </c>
      <c r="BK82" s="123">
        <f t="shared" si="105"/>
        <v>2.683910654182925E-2</v>
      </c>
      <c r="BL82" s="123">
        <f t="shared" si="105"/>
        <v>1.2963355833612786E-3</v>
      </c>
      <c r="BM82" s="72">
        <f t="shared" si="105"/>
        <v>0.41937784966766212</v>
      </c>
      <c r="BN82" s="72">
        <f t="shared" si="105"/>
        <v>0.57648782195190029</v>
      </c>
      <c r="BO82" s="72">
        <f t="shared" si="105"/>
        <v>0.39796163205631896</v>
      </c>
      <c r="BP82" s="72">
        <f t="shared" ref="BP82:CP82" si="106">TTEST(BP62:BP67,BP72:BP77,2,3)</f>
        <v>0.22955776133728675</v>
      </c>
      <c r="BQ82" s="123">
        <f t="shared" si="106"/>
        <v>7.8021990904040303E-4</v>
      </c>
      <c r="BR82" s="123">
        <f t="shared" si="106"/>
        <v>2.0103591988663099E-3</v>
      </c>
      <c r="BS82" s="72">
        <f t="shared" si="106"/>
        <v>0.11985315000222987</v>
      </c>
      <c r="BT82" s="123">
        <f t="shared" si="106"/>
        <v>1.2668867874291253E-2</v>
      </c>
      <c r="BU82" s="72">
        <f t="shared" si="106"/>
        <v>0.30766565901593396</v>
      </c>
      <c r="BV82" s="123">
        <f t="shared" si="106"/>
        <v>5.0687433614832113E-4</v>
      </c>
      <c r="BW82" s="123">
        <f t="shared" si="106"/>
        <v>2.7528023085490769E-3</v>
      </c>
      <c r="BX82" s="72">
        <f t="shared" si="106"/>
        <v>6.5059278523710753E-2</v>
      </c>
      <c r="BY82" s="72">
        <f t="shared" si="106"/>
        <v>0.11462157163045447</v>
      </c>
      <c r="BZ82" s="123">
        <f t="shared" si="106"/>
        <v>1.1344538806239634E-2</v>
      </c>
      <c r="CA82" s="123">
        <f t="shared" si="106"/>
        <v>3.1115366744677276E-3</v>
      </c>
      <c r="CB82" s="72">
        <f t="shared" si="106"/>
        <v>0.38332788453222399</v>
      </c>
      <c r="CC82" s="72">
        <f t="shared" si="106"/>
        <v>0.25780197113978875</v>
      </c>
      <c r="CD82" s="72">
        <f t="shared" si="106"/>
        <v>0.81128973462208087</v>
      </c>
      <c r="CE82" s="72">
        <f t="shared" si="106"/>
        <v>0.12790639433632839</v>
      </c>
      <c r="CF82" s="123">
        <f t="shared" si="106"/>
        <v>3.0715405010778743E-3</v>
      </c>
      <c r="CG82" s="123">
        <f t="shared" si="106"/>
        <v>8.9020399952978013E-3</v>
      </c>
      <c r="CH82" s="72">
        <f t="shared" si="106"/>
        <v>0.84633330387566641</v>
      </c>
      <c r="CI82" s="72">
        <f t="shared" si="106"/>
        <v>0.90363766440642146</v>
      </c>
      <c r="CJ82" s="123">
        <f t="shared" si="106"/>
        <v>1.9655155062589948E-2</v>
      </c>
      <c r="CK82" s="123">
        <f t="shared" si="106"/>
        <v>1.318435989940624E-2</v>
      </c>
      <c r="CL82" s="72">
        <f t="shared" si="106"/>
        <v>0.46816965577724945</v>
      </c>
      <c r="CM82" s="123">
        <f t="shared" si="106"/>
        <v>1.8190404641117101E-2</v>
      </c>
      <c r="CN82" s="72">
        <f t="shared" si="106"/>
        <v>0.46816965577724945</v>
      </c>
      <c r="CO82" s="72">
        <f t="shared" si="106"/>
        <v>0.13555373930436163</v>
      </c>
      <c r="CP82" s="123">
        <f t="shared" si="106"/>
        <v>5.0748413033595546E-3</v>
      </c>
    </row>
    <row r="83" spans="1:95">
      <c r="B83" s="140" t="s">
        <v>165</v>
      </c>
      <c r="C83" s="124">
        <f>C78/C68</f>
        <v>1.0275775991683351</v>
      </c>
      <c r="D83" s="124">
        <f t="shared" ref="D83:BO83" si="107">D78/D68</f>
        <v>0.99745467841052415</v>
      </c>
      <c r="E83" s="125">
        <f t="shared" si="107"/>
        <v>0.97088504334252235</v>
      </c>
      <c r="F83" s="125">
        <f t="shared" si="107"/>
        <v>0.96709773993244152</v>
      </c>
      <c r="G83" s="124">
        <f t="shared" si="107"/>
        <v>0.97724104812105095</v>
      </c>
      <c r="H83" s="124">
        <f t="shared" si="107"/>
        <v>0.93801308292913499</v>
      </c>
      <c r="I83" s="124">
        <f t="shared" si="107"/>
        <v>1.0225179727727038</v>
      </c>
      <c r="J83" s="124">
        <f t="shared" si="107"/>
        <v>0.98333713261028788</v>
      </c>
      <c r="K83" s="124">
        <f t="shared" si="107"/>
        <v>1.0314328019292895</v>
      </c>
      <c r="L83" s="124">
        <f t="shared" si="107"/>
        <v>1.0255334434645238</v>
      </c>
      <c r="M83" s="124">
        <f t="shared" si="107"/>
        <v>1.0028099659827363</v>
      </c>
      <c r="N83" s="124">
        <f t="shared" si="107"/>
        <v>1.0310105900126763</v>
      </c>
      <c r="O83" s="124">
        <f t="shared" si="107"/>
        <v>0.99888575408049085</v>
      </c>
      <c r="P83" s="124">
        <f t="shared" si="107"/>
        <v>1.00655450402459</v>
      </c>
      <c r="Q83" s="124">
        <f t="shared" si="107"/>
        <v>0.96188408296596051</v>
      </c>
      <c r="R83" s="126">
        <f t="shared" si="107"/>
        <v>0.92069237605693444</v>
      </c>
      <c r="S83" s="126">
        <f t="shared" si="107"/>
        <v>0.94171965335906016</v>
      </c>
      <c r="T83" s="126">
        <f t="shared" si="107"/>
        <v>0.92276312079704992</v>
      </c>
      <c r="U83" s="124">
        <f t="shared" si="107"/>
        <v>0.99448498995243684</v>
      </c>
      <c r="V83" s="124">
        <f t="shared" si="107"/>
        <v>0.96118121234581311</v>
      </c>
      <c r="W83" s="124">
        <f t="shared" si="107"/>
        <v>0.95224735002112004</v>
      </c>
      <c r="X83" s="125">
        <f t="shared" si="107"/>
        <v>0.9706078198878334</v>
      </c>
      <c r="Y83" s="124">
        <f t="shared" si="107"/>
        <v>1.0164526530075617</v>
      </c>
      <c r="Z83" s="124">
        <f t="shared" si="107"/>
        <v>0.98236857184728243</v>
      </c>
      <c r="AA83" s="124">
        <f t="shared" si="107"/>
        <v>1.0677845811101729</v>
      </c>
      <c r="AB83" s="72"/>
      <c r="AC83" s="126">
        <f t="shared" si="107"/>
        <v>0.92491833234352472</v>
      </c>
      <c r="AD83" s="126">
        <f t="shared" si="107"/>
        <v>0.92650595028885652</v>
      </c>
      <c r="AE83" s="125">
        <f t="shared" si="107"/>
        <v>0.95539680907891633</v>
      </c>
      <c r="AF83" s="126">
        <f t="shared" si="107"/>
        <v>0.94407667200895773</v>
      </c>
      <c r="AG83" s="124">
        <f t="shared" si="107"/>
        <v>0.98063108251354225</v>
      </c>
      <c r="AH83" s="126">
        <f t="shared" si="107"/>
        <v>0.94879661538748061</v>
      </c>
      <c r="AI83" s="124">
        <f t="shared" si="107"/>
        <v>0.98292607105696717</v>
      </c>
      <c r="AJ83" s="125">
        <f t="shared" si="107"/>
        <v>0.97367316107302571</v>
      </c>
      <c r="AK83" s="124">
        <f t="shared" si="107"/>
        <v>1.0405257153452137</v>
      </c>
      <c r="AL83" s="125">
        <f t="shared" si="107"/>
        <v>0.95506565416394362</v>
      </c>
      <c r="AM83" s="124">
        <f t="shared" si="107"/>
        <v>1.0121595774650329</v>
      </c>
      <c r="AN83" s="124">
        <f t="shared" si="107"/>
        <v>1.0443665843070464</v>
      </c>
      <c r="AO83" s="124">
        <f t="shared" si="107"/>
        <v>1.0241357211704798</v>
      </c>
      <c r="AP83" s="124">
        <f t="shared" si="107"/>
        <v>1.0678512313969604</v>
      </c>
      <c r="AQ83" s="124">
        <f t="shared" si="107"/>
        <v>0.99643592934101433</v>
      </c>
      <c r="AR83" s="124">
        <f t="shared" si="107"/>
        <v>1.0155601011179032</v>
      </c>
      <c r="AS83" s="125">
        <f t="shared" si="107"/>
        <v>1.0289834211439512</v>
      </c>
      <c r="AT83" s="125">
        <f t="shared" si="107"/>
        <v>1.0331769924474887</v>
      </c>
      <c r="AU83" s="124">
        <f t="shared" si="107"/>
        <v>1.0251415346158124</v>
      </c>
      <c r="AV83" s="125">
        <f t="shared" si="107"/>
        <v>1.0586418598075096</v>
      </c>
      <c r="AW83" s="125">
        <f t="shared" si="107"/>
        <v>1.0819609439901392</v>
      </c>
      <c r="AX83" s="124">
        <f t="shared" si="107"/>
        <v>1.0002845776850156</v>
      </c>
      <c r="AY83" s="124">
        <f t="shared" si="107"/>
        <v>1.0295992430049488</v>
      </c>
      <c r="AZ83" s="124">
        <f t="shared" si="107"/>
        <v>1.0607681202933927</v>
      </c>
      <c r="BA83" s="124">
        <f t="shared" si="107"/>
        <v>1.0259540033136401</v>
      </c>
      <c r="BB83" s="124">
        <f t="shared" si="107"/>
        <v>0.98046483407067986</v>
      </c>
      <c r="BC83" s="124">
        <f t="shared" si="107"/>
        <v>1.0105727129773767</v>
      </c>
      <c r="BD83" s="125">
        <f t="shared" si="107"/>
        <v>1.0779932570355644</v>
      </c>
      <c r="BE83" s="124">
        <f t="shared" si="107"/>
        <v>0.99839035871675397</v>
      </c>
      <c r="BF83" s="124">
        <f t="shared" si="107"/>
        <v>0.9901605383285863</v>
      </c>
      <c r="BG83" s="125">
        <f t="shared" si="107"/>
        <v>1.029749065910321</v>
      </c>
      <c r="BH83" s="125">
        <f t="shared" si="107"/>
        <v>1.0508927832888537</v>
      </c>
      <c r="BI83" s="124">
        <f t="shared" si="107"/>
        <v>1.0363638047094694</v>
      </c>
      <c r="BJ83" s="124">
        <f t="shared" si="107"/>
        <v>1.0731446007503436</v>
      </c>
      <c r="BK83" s="125">
        <f t="shared" si="107"/>
        <v>1.0980101530021147</v>
      </c>
      <c r="BL83" s="126">
        <f t="shared" si="107"/>
        <v>1.1502199521541736</v>
      </c>
      <c r="BM83" s="124">
        <f t="shared" si="107"/>
        <v>1.0163406959789951</v>
      </c>
      <c r="BN83" s="124">
        <f t="shared" si="107"/>
        <v>1.0090869542711214</v>
      </c>
      <c r="BO83" s="124">
        <f t="shared" si="107"/>
        <v>1.0382663726726349</v>
      </c>
      <c r="BP83" s="124">
        <f t="shared" ref="BP83:CP83" si="108">BP78/BP68</f>
        <v>0.96886146705409093</v>
      </c>
      <c r="BQ83" s="126">
        <f t="shared" si="108"/>
        <v>0.93331412753473664</v>
      </c>
      <c r="BR83" s="126">
        <f t="shared" si="108"/>
        <v>0.92221874533117953</v>
      </c>
      <c r="BS83" s="124">
        <f t="shared" si="108"/>
        <v>0.95023329506926113</v>
      </c>
      <c r="BT83" s="125">
        <f t="shared" si="108"/>
        <v>0.96282532414339117</v>
      </c>
      <c r="BU83" s="124">
        <f t="shared" si="108"/>
        <v>1.0122892657861942</v>
      </c>
      <c r="BV83" s="126">
        <f t="shared" si="108"/>
        <v>0.93334387396849705</v>
      </c>
      <c r="BW83" s="126">
        <f t="shared" si="108"/>
        <v>0.94769223131485014</v>
      </c>
      <c r="BX83" s="124">
        <f t="shared" si="108"/>
        <v>0.9804270234134097</v>
      </c>
      <c r="BY83" s="124">
        <f t="shared" si="108"/>
        <v>0.97652159267828675</v>
      </c>
      <c r="BZ83" s="125">
        <f t="shared" si="108"/>
        <v>0.95986736548112073</v>
      </c>
      <c r="CA83" s="125">
        <f t="shared" si="108"/>
        <v>0.95294825952889584</v>
      </c>
      <c r="CB83" s="124">
        <f t="shared" si="108"/>
        <v>0.98778551644503476</v>
      </c>
      <c r="CC83" s="124">
        <f t="shared" si="108"/>
        <v>0.9837641100729364</v>
      </c>
      <c r="CD83" s="124">
        <f t="shared" si="108"/>
        <v>1.0022464054054654</v>
      </c>
      <c r="CE83" s="124">
        <f t="shared" si="108"/>
        <v>1.0156460694116618</v>
      </c>
      <c r="CF83" s="125">
        <f t="shared" si="108"/>
        <v>0.95563922275822455</v>
      </c>
      <c r="CG83" s="125">
        <f t="shared" si="108"/>
        <v>0.97653896188160605</v>
      </c>
      <c r="CH83" s="124">
        <f t="shared" si="108"/>
        <v>0.99785459218121586</v>
      </c>
      <c r="CI83" s="124">
        <f t="shared" si="108"/>
        <v>1.0017075448085835</v>
      </c>
      <c r="CJ83" s="126">
        <f t="shared" si="108"/>
        <v>1.203139032798743</v>
      </c>
      <c r="CK83" s="126">
        <f t="shared" si="108"/>
        <v>1.1437993609946817</v>
      </c>
      <c r="CL83" s="124">
        <f t="shared" si="108"/>
        <v>1.022702902078267</v>
      </c>
      <c r="CM83" s="126">
        <f t="shared" si="108"/>
        <v>1.0635560829344075</v>
      </c>
      <c r="CN83" s="124">
        <f t="shared" si="108"/>
        <v>1.022702902078267</v>
      </c>
      <c r="CO83" s="124">
        <f t="shared" si="108"/>
        <v>1.0476022973093273</v>
      </c>
      <c r="CP83" s="126">
        <f t="shared" si="108"/>
        <v>0.92102815799230942</v>
      </c>
    </row>
    <row r="84" spans="1:95" s="122" customFormat="1">
      <c r="E84" s="107" t="s">
        <v>146</v>
      </c>
      <c r="F84" s="107" t="s">
        <v>146</v>
      </c>
      <c r="R84" s="107" t="s">
        <v>146</v>
      </c>
      <c r="S84" s="107" t="s">
        <v>146</v>
      </c>
      <c r="T84" s="107" t="s">
        <v>146</v>
      </c>
      <c r="X84" s="107" t="s">
        <v>146</v>
      </c>
      <c r="AC84" s="107" t="s">
        <v>146</v>
      </c>
      <c r="AD84" s="107" t="s">
        <v>146</v>
      </c>
      <c r="AE84" s="107" t="s">
        <v>146</v>
      </c>
      <c r="AF84" s="107" t="s">
        <v>146</v>
      </c>
      <c r="AH84" s="107" t="s">
        <v>146</v>
      </c>
      <c r="AJ84" s="107" t="s">
        <v>146</v>
      </c>
      <c r="AL84" s="107" t="s">
        <v>146</v>
      </c>
      <c r="AS84" s="107" t="s">
        <v>145</v>
      </c>
      <c r="AT84" s="107" t="s">
        <v>145</v>
      </c>
      <c r="AV84" s="107" t="s">
        <v>145</v>
      </c>
      <c r="AW84" s="107" t="s">
        <v>145</v>
      </c>
      <c r="BD84" s="107" t="s">
        <v>145</v>
      </c>
      <c r="BG84" s="107" t="s">
        <v>145</v>
      </c>
      <c r="BH84" s="107" t="s">
        <v>145</v>
      </c>
      <c r="BK84" s="107" t="s">
        <v>145</v>
      </c>
      <c r="BL84" s="107" t="s">
        <v>145</v>
      </c>
      <c r="BQ84" s="107" t="s">
        <v>146</v>
      </c>
      <c r="BR84" s="107" t="s">
        <v>146</v>
      </c>
      <c r="BT84" s="107" t="s">
        <v>146</v>
      </c>
      <c r="BV84" s="107" t="s">
        <v>146</v>
      </c>
      <c r="BW84" s="107" t="s">
        <v>146</v>
      </c>
      <c r="BZ84" s="107" t="s">
        <v>146</v>
      </c>
      <c r="CA84" s="107" t="s">
        <v>146</v>
      </c>
      <c r="CF84" s="107" t="s">
        <v>146</v>
      </c>
      <c r="CG84" s="107" t="s">
        <v>146</v>
      </c>
      <c r="CJ84" s="107" t="s">
        <v>145</v>
      </c>
      <c r="CK84" s="107" t="s">
        <v>145</v>
      </c>
      <c r="CM84" s="107" t="s">
        <v>145</v>
      </c>
      <c r="CP84" s="107" t="s">
        <v>146</v>
      </c>
    </row>
    <row r="85" spans="1:95" s="122" customForma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</row>
    <row r="86" spans="1:95" s="122" customForma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</row>
    <row r="88" spans="1:95" s="72" customForma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</row>
    <row r="89" spans="1:95" s="72" customForma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</row>
    <row r="90" spans="1:95" s="72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</row>
    <row r="91" spans="1:95" s="72" customForma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Oil</vt:lpstr>
      <vt:lpstr>Fat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Saravanan Dayalan</dc:creator>
  <cp:lastModifiedBy>Lisa Sedger</cp:lastModifiedBy>
  <dcterms:created xsi:type="dcterms:W3CDTF">2015-06-01T04:06:05Z</dcterms:created>
  <dcterms:modified xsi:type="dcterms:W3CDTF">2016-02-20T03:58:32Z</dcterms:modified>
</cp:coreProperties>
</file>