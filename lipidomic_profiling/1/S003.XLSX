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621"/>
  <workbookPr autoCompressPictures="0"/>
  <bookViews>
    <workbookView xWindow="0" yWindow="0" windowWidth="25600" windowHeight="16060" activeTab="1"/>
  </bookViews>
  <sheets>
    <sheet name="Phospho Lipids_Oil" sheetId="3" r:id="rId1"/>
    <sheet name="Phopho Lipids_FAT" sheetId="4" r:id="rId2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3" i="3" l="1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C53" i="3"/>
  <c r="CD53" i="3"/>
  <c r="CE53" i="3"/>
  <c r="CF53" i="3"/>
  <c r="CG53" i="3"/>
  <c r="CH53" i="3"/>
  <c r="CI53" i="3"/>
  <c r="CJ53" i="3"/>
  <c r="CK53" i="3"/>
  <c r="CL53" i="3"/>
  <c r="CM53" i="3"/>
  <c r="CN53" i="3"/>
  <c r="CO53" i="3"/>
  <c r="CQ53" i="3"/>
  <c r="CR53" i="3"/>
  <c r="CS53" i="3"/>
  <c r="CT53" i="3"/>
  <c r="CU53" i="3"/>
  <c r="CV53" i="3"/>
  <c r="CW53" i="3"/>
  <c r="CX53" i="3"/>
  <c r="CY53" i="3"/>
  <c r="CZ53" i="3"/>
  <c r="DA53" i="3"/>
  <c r="DB53" i="3"/>
  <c r="DC53" i="3"/>
  <c r="DD53" i="3"/>
  <c r="DE53" i="3"/>
  <c r="DF53" i="3"/>
  <c r="DG53" i="3"/>
  <c r="DH53" i="3"/>
  <c r="DI53" i="3"/>
  <c r="DJ53" i="3"/>
  <c r="DK53" i="3"/>
  <c r="DL53" i="3"/>
  <c r="DM53" i="3"/>
  <c r="DN53" i="3"/>
  <c r="DO53" i="3"/>
  <c r="DP53" i="3"/>
  <c r="DQ53" i="3"/>
  <c r="DR53" i="3"/>
  <c r="DS53" i="3"/>
  <c r="DT53" i="3"/>
  <c r="DV53" i="3"/>
  <c r="DW53" i="3"/>
  <c r="DX53" i="3"/>
  <c r="DY53" i="3"/>
  <c r="DZ53" i="3"/>
  <c r="EA53" i="3"/>
  <c r="EB53" i="3"/>
  <c r="EC53" i="3"/>
  <c r="ED53" i="3"/>
  <c r="EE53" i="3"/>
  <c r="EF53" i="3"/>
  <c r="EG53" i="3"/>
  <c r="EH53" i="3"/>
  <c r="EI53" i="3"/>
  <c r="EJ53" i="3"/>
  <c r="EL53" i="3"/>
  <c r="EM53" i="3"/>
  <c r="EN53" i="3"/>
  <c r="EO53" i="3"/>
  <c r="EQ53" i="3"/>
  <c r="ER53" i="3"/>
  <c r="ES53" i="3"/>
  <c r="ET53" i="3"/>
  <c r="EU53" i="3"/>
  <c r="EV53" i="3"/>
  <c r="EW53" i="3"/>
  <c r="EX53" i="3"/>
  <c r="EY53" i="3"/>
  <c r="EZ53" i="3"/>
  <c r="FA53" i="3"/>
  <c r="FB53" i="3"/>
  <c r="FC53" i="3"/>
  <c r="FE53" i="3"/>
  <c r="FF53" i="3"/>
  <c r="FG53" i="3"/>
  <c r="FH53" i="3"/>
  <c r="FI53" i="3"/>
  <c r="EQ48" i="3"/>
  <c r="EQ76" i="3"/>
  <c r="ER48" i="3"/>
  <c r="ER76" i="3"/>
  <c r="ES48" i="3"/>
  <c r="ES76" i="3"/>
  <c r="ET76" i="3"/>
  <c r="EU48" i="3"/>
  <c r="EU76" i="3"/>
  <c r="EV48" i="3"/>
  <c r="EV76" i="3"/>
  <c r="EW76" i="3"/>
  <c r="EX48" i="3"/>
  <c r="EX76" i="3"/>
  <c r="EY48" i="3"/>
  <c r="EY76" i="3"/>
  <c r="EZ48" i="3"/>
  <c r="EZ76" i="3"/>
  <c r="FA48" i="3"/>
  <c r="FA76" i="3"/>
  <c r="FB48" i="3"/>
  <c r="FB76" i="3"/>
  <c r="FC76" i="3"/>
  <c r="FD76" i="3"/>
  <c r="FE48" i="3"/>
  <c r="FE76" i="3"/>
  <c r="FF76" i="3"/>
  <c r="FG76" i="3"/>
  <c r="FH48" i="3"/>
  <c r="FH76" i="3"/>
  <c r="FI76" i="3"/>
  <c r="EQ77" i="3"/>
  <c r="ER49" i="3"/>
  <c r="ER77" i="3"/>
  <c r="ES77" i="3"/>
  <c r="ET77" i="3"/>
  <c r="EU49" i="3"/>
  <c r="EU77" i="3"/>
  <c r="EV77" i="3"/>
  <c r="EW77" i="3"/>
  <c r="EX77" i="3"/>
  <c r="EY49" i="3"/>
  <c r="EY77" i="3"/>
  <c r="EZ49" i="3"/>
  <c r="EZ77" i="3"/>
  <c r="FA77" i="3"/>
  <c r="FB49" i="3"/>
  <c r="FB77" i="3"/>
  <c r="FC77" i="3"/>
  <c r="FD49" i="3"/>
  <c r="FD77" i="3"/>
  <c r="FE49" i="3"/>
  <c r="FE77" i="3"/>
  <c r="FF77" i="3"/>
  <c r="FG77" i="3"/>
  <c r="FH77" i="3"/>
  <c r="FI77" i="3"/>
  <c r="EQ78" i="3"/>
  <c r="ER78" i="3"/>
  <c r="ES78" i="3"/>
  <c r="ET78" i="3"/>
  <c r="EU78" i="3"/>
  <c r="EV50" i="3"/>
  <c r="EV78" i="3"/>
  <c r="EW78" i="3"/>
  <c r="EX78" i="3"/>
  <c r="EY50" i="3"/>
  <c r="EY78" i="3"/>
  <c r="EZ78" i="3"/>
  <c r="FA78" i="3"/>
  <c r="FB78" i="3"/>
  <c r="FC78" i="3"/>
  <c r="FD78" i="3"/>
  <c r="FE50" i="3"/>
  <c r="FE78" i="3"/>
  <c r="FF78" i="3"/>
  <c r="FG78" i="3"/>
  <c r="FH78" i="3"/>
  <c r="FI78" i="3"/>
  <c r="EQ51" i="3"/>
  <c r="EQ79" i="3"/>
  <c r="ER51" i="3"/>
  <c r="ER79" i="3"/>
  <c r="ES51" i="3"/>
  <c r="ES79" i="3"/>
  <c r="ET79" i="3"/>
  <c r="EU51" i="3"/>
  <c r="EU79" i="3"/>
  <c r="EV79" i="3"/>
  <c r="EW51" i="3"/>
  <c r="EW79" i="3"/>
  <c r="EX51" i="3"/>
  <c r="EX79" i="3"/>
  <c r="EY51" i="3"/>
  <c r="EY79" i="3"/>
  <c r="EZ51" i="3"/>
  <c r="EZ79" i="3"/>
  <c r="FA51" i="3"/>
  <c r="FA79" i="3"/>
  <c r="FB79" i="3"/>
  <c r="FC79" i="3"/>
  <c r="FD79" i="3"/>
  <c r="FE51" i="3"/>
  <c r="FE79" i="3"/>
  <c r="FF51" i="3"/>
  <c r="FF79" i="3"/>
  <c r="FG79" i="3"/>
  <c r="FH79" i="3"/>
  <c r="FI79" i="3"/>
  <c r="EQ52" i="3"/>
  <c r="EQ80" i="3"/>
  <c r="ER52" i="3"/>
  <c r="ER80" i="3"/>
  <c r="ES52" i="3"/>
  <c r="ES80" i="3"/>
  <c r="ET80" i="3"/>
  <c r="EU80" i="3"/>
  <c r="EV80" i="3"/>
  <c r="EW80" i="3"/>
  <c r="EX52" i="3"/>
  <c r="EX80" i="3"/>
  <c r="EY52" i="3"/>
  <c r="EY80" i="3"/>
  <c r="EZ52" i="3"/>
  <c r="EZ80" i="3"/>
  <c r="FA80" i="3"/>
  <c r="FB52" i="3"/>
  <c r="FB80" i="3"/>
  <c r="FC80" i="3"/>
  <c r="FD52" i="3"/>
  <c r="FD80" i="3"/>
  <c r="FE52" i="3"/>
  <c r="FE80" i="3"/>
  <c r="FF52" i="3"/>
  <c r="FF80" i="3"/>
  <c r="FG52" i="3"/>
  <c r="FG80" i="3"/>
  <c r="FH52" i="3"/>
  <c r="FH80" i="3"/>
  <c r="FI80" i="3"/>
  <c r="ER47" i="3"/>
  <c r="ER75" i="3"/>
  <c r="ES75" i="3"/>
  <c r="ET75" i="3"/>
  <c r="EU75" i="3"/>
  <c r="EV75" i="3"/>
  <c r="EW75" i="3"/>
  <c r="EX47" i="3"/>
  <c r="EX75" i="3"/>
  <c r="EY47" i="3"/>
  <c r="EY75" i="3"/>
  <c r="EZ75" i="3"/>
  <c r="FA75" i="3"/>
  <c r="FB75" i="3"/>
  <c r="FC75" i="3"/>
  <c r="FD75" i="3"/>
  <c r="FE47" i="3"/>
  <c r="FE75" i="3"/>
  <c r="FF75" i="3"/>
  <c r="FG75" i="3"/>
  <c r="FH75" i="3"/>
  <c r="FI75" i="3"/>
  <c r="EQ75" i="3"/>
  <c r="EQ66" i="3"/>
  <c r="ER38" i="3"/>
  <c r="ER66" i="3"/>
  <c r="ES66" i="3"/>
  <c r="ET66" i="3"/>
  <c r="EU66" i="3"/>
  <c r="EV66" i="3"/>
  <c r="EW66" i="3"/>
  <c r="EX38" i="3"/>
  <c r="EX66" i="3"/>
  <c r="EY38" i="3"/>
  <c r="EY66" i="3"/>
  <c r="EZ66" i="3"/>
  <c r="FA66" i="3"/>
  <c r="FB38" i="3"/>
  <c r="FB66" i="3"/>
  <c r="FC66" i="3"/>
  <c r="FD66" i="3"/>
  <c r="FE38" i="3"/>
  <c r="FE66" i="3"/>
  <c r="FF66" i="3"/>
  <c r="FG38" i="3"/>
  <c r="FG66" i="3"/>
  <c r="FH66" i="3"/>
  <c r="FI66" i="3"/>
  <c r="EQ39" i="3"/>
  <c r="EQ67" i="3"/>
  <c r="ER39" i="3"/>
  <c r="ER67" i="3"/>
  <c r="ES67" i="3"/>
  <c r="ET67" i="3"/>
  <c r="EU67" i="3"/>
  <c r="EV39" i="3"/>
  <c r="EV67" i="3"/>
  <c r="EW67" i="3"/>
  <c r="EX67" i="3"/>
  <c r="EY39" i="3"/>
  <c r="EY67" i="3"/>
  <c r="EZ67" i="3"/>
  <c r="FA67" i="3"/>
  <c r="FB39" i="3"/>
  <c r="FB67" i="3"/>
  <c r="FC67" i="3"/>
  <c r="FD39" i="3"/>
  <c r="FD67" i="3"/>
  <c r="FE39" i="3"/>
  <c r="FE67" i="3"/>
  <c r="FF39" i="3"/>
  <c r="FF67" i="3"/>
  <c r="FG39" i="3"/>
  <c r="FG67" i="3"/>
  <c r="FH67" i="3"/>
  <c r="FI67" i="3"/>
  <c r="EQ40" i="3"/>
  <c r="EQ68" i="3"/>
  <c r="ER40" i="3"/>
  <c r="ER68" i="3"/>
  <c r="ES68" i="3"/>
  <c r="ET68" i="3"/>
  <c r="EU68" i="3"/>
  <c r="EV68" i="3"/>
  <c r="EW68" i="3"/>
  <c r="EX40" i="3"/>
  <c r="EX68" i="3"/>
  <c r="EY68" i="3"/>
  <c r="EZ40" i="3"/>
  <c r="EZ68" i="3"/>
  <c r="FA68" i="3"/>
  <c r="FB68" i="3"/>
  <c r="FC68" i="3"/>
  <c r="FD68" i="3"/>
  <c r="FE40" i="3"/>
  <c r="FE68" i="3"/>
  <c r="FF68" i="3"/>
  <c r="FG68" i="3"/>
  <c r="FH68" i="3"/>
  <c r="FI68" i="3"/>
  <c r="EQ41" i="3"/>
  <c r="EQ69" i="3"/>
  <c r="ER41" i="3"/>
  <c r="ER69" i="3"/>
  <c r="ES41" i="3"/>
  <c r="ES69" i="3"/>
  <c r="ET69" i="3"/>
  <c r="EU69" i="3"/>
  <c r="EV69" i="3"/>
  <c r="EW69" i="3"/>
  <c r="EX41" i="3"/>
  <c r="EX69" i="3"/>
  <c r="EY41" i="3"/>
  <c r="EY69" i="3"/>
  <c r="EZ41" i="3"/>
  <c r="EZ69" i="3"/>
  <c r="FA69" i="3"/>
  <c r="FB69" i="3"/>
  <c r="FC69" i="3"/>
  <c r="FD69" i="3"/>
  <c r="FE41" i="3"/>
  <c r="FE69" i="3"/>
  <c r="FF69" i="3"/>
  <c r="FG69" i="3"/>
  <c r="FH69" i="3"/>
  <c r="FI69" i="3"/>
  <c r="EQ42" i="3"/>
  <c r="EQ70" i="3"/>
  <c r="ER42" i="3"/>
  <c r="ER70" i="3"/>
  <c r="ES42" i="3"/>
  <c r="ES70" i="3"/>
  <c r="ET42" i="3"/>
  <c r="ET70" i="3"/>
  <c r="EU42" i="3"/>
  <c r="EU70" i="3"/>
  <c r="EV70" i="3"/>
  <c r="EW70" i="3"/>
  <c r="EX70" i="3"/>
  <c r="EY42" i="3"/>
  <c r="EY70" i="3"/>
  <c r="EZ42" i="3"/>
  <c r="EZ70" i="3"/>
  <c r="FA70" i="3"/>
  <c r="FB70" i="3"/>
  <c r="FC70" i="3"/>
  <c r="FD70" i="3"/>
  <c r="FE42" i="3"/>
  <c r="FE70" i="3"/>
  <c r="FF42" i="3"/>
  <c r="FF70" i="3"/>
  <c r="FG70" i="3"/>
  <c r="FH70" i="3"/>
  <c r="FI42" i="3"/>
  <c r="FI70" i="3"/>
  <c r="ER37" i="3"/>
  <c r="ER65" i="3"/>
  <c r="ES37" i="3"/>
  <c r="ES65" i="3"/>
  <c r="ET65" i="3"/>
  <c r="EU65" i="3"/>
  <c r="EV65" i="3"/>
  <c r="EW65" i="3"/>
  <c r="EX65" i="3"/>
  <c r="EY65" i="3"/>
  <c r="EZ37" i="3"/>
  <c r="EZ65" i="3"/>
  <c r="FA65" i="3"/>
  <c r="FB37" i="3"/>
  <c r="FB65" i="3"/>
  <c r="FC65" i="3"/>
  <c r="FD65" i="3"/>
  <c r="FE37" i="3"/>
  <c r="FE65" i="3"/>
  <c r="FF37" i="3"/>
  <c r="FF65" i="3"/>
  <c r="FG65" i="3"/>
  <c r="FH65" i="3"/>
  <c r="FI65" i="3"/>
  <c r="EQ65" i="3"/>
  <c r="CF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C48" i="3"/>
  <c r="CD48" i="3"/>
  <c r="CE48" i="3"/>
  <c r="CG48" i="3"/>
  <c r="CH48" i="3"/>
  <c r="CK48" i="3"/>
  <c r="CM48" i="3"/>
  <c r="CN48" i="3"/>
  <c r="CO48" i="3"/>
  <c r="CP48" i="3"/>
  <c r="CF76" i="3"/>
  <c r="CF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C49" i="3"/>
  <c r="CD49" i="3"/>
  <c r="CE49" i="3"/>
  <c r="CG49" i="3"/>
  <c r="CH49" i="3"/>
  <c r="CK49" i="3"/>
  <c r="CM49" i="3"/>
  <c r="CN49" i="3"/>
  <c r="CO49" i="3"/>
  <c r="CP49" i="3"/>
  <c r="CF77" i="3"/>
  <c r="CF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G50" i="3"/>
  <c r="CH50" i="3"/>
  <c r="CI50" i="3"/>
  <c r="CJ50" i="3"/>
  <c r="CM50" i="3"/>
  <c r="CN50" i="3"/>
  <c r="CO50" i="3"/>
  <c r="CP50" i="3"/>
  <c r="CF78" i="3"/>
  <c r="CF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B51" i="3"/>
  <c r="CC51" i="3"/>
  <c r="CD51" i="3"/>
  <c r="CE51" i="3"/>
  <c r="CG51" i="3"/>
  <c r="CH51" i="3"/>
  <c r="CI51" i="3"/>
  <c r="CK51" i="3"/>
  <c r="CM51" i="3"/>
  <c r="CO51" i="3"/>
  <c r="CP51" i="3"/>
  <c r="CF79" i="3"/>
  <c r="CF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CE52" i="3"/>
  <c r="CG52" i="3"/>
  <c r="CH52" i="3"/>
  <c r="CI52" i="3"/>
  <c r="CJ52" i="3"/>
  <c r="CM52" i="3"/>
  <c r="CO52" i="3"/>
  <c r="CP52" i="3"/>
  <c r="CF80" i="3"/>
  <c r="CF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BV47" i="3"/>
  <c r="BW47" i="3"/>
  <c r="BX47" i="3"/>
  <c r="BY47" i="3"/>
  <c r="BZ47" i="3"/>
  <c r="CA47" i="3"/>
  <c r="CB47" i="3"/>
  <c r="CC47" i="3"/>
  <c r="CD47" i="3"/>
  <c r="CE47" i="3"/>
  <c r="CG47" i="3"/>
  <c r="CH47" i="3"/>
  <c r="CO47" i="3"/>
  <c r="CP47" i="3"/>
  <c r="CF75" i="3"/>
  <c r="D47" i="3"/>
  <c r="C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D75" i="3"/>
  <c r="D48" i="3"/>
  <c r="C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D76" i="3"/>
  <c r="D49" i="3"/>
  <c r="C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D77" i="3"/>
  <c r="D50" i="3"/>
  <c r="C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D78" i="3"/>
  <c r="D51" i="3"/>
  <c r="C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D79" i="3"/>
  <c r="D52" i="3"/>
  <c r="C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D80" i="3"/>
  <c r="D81" i="3"/>
  <c r="D37" i="3"/>
  <c r="C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D65" i="3"/>
  <c r="D38" i="3"/>
  <c r="C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D66" i="3"/>
  <c r="D39" i="3"/>
  <c r="C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D67" i="3"/>
  <c r="D40" i="3"/>
  <c r="C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D68" i="3"/>
  <c r="D41" i="3"/>
  <c r="C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D69" i="3"/>
  <c r="D42" i="3"/>
  <c r="C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D70" i="3"/>
  <c r="D71" i="3"/>
  <c r="D86" i="3"/>
  <c r="E75" i="3"/>
  <c r="E76" i="3"/>
  <c r="E77" i="3"/>
  <c r="E78" i="3"/>
  <c r="E79" i="3"/>
  <c r="E80" i="3"/>
  <c r="E81" i="3"/>
  <c r="E65" i="3"/>
  <c r="E66" i="3"/>
  <c r="E67" i="3"/>
  <c r="E68" i="3"/>
  <c r="E69" i="3"/>
  <c r="E70" i="3"/>
  <c r="E71" i="3"/>
  <c r="E86" i="3"/>
  <c r="F75" i="3"/>
  <c r="F76" i="3"/>
  <c r="F77" i="3"/>
  <c r="F78" i="3"/>
  <c r="F79" i="3"/>
  <c r="F80" i="3"/>
  <c r="F81" i="3"/>
  <c r="F65" i="3"/>
  <c r="F66" i="3"/>
  <c r="F67" i="3"/>
  <c r="F68" i="3"/>
  <c r="F69" i="3"/>
  <c r="F70" i="3"/>
  <c r="F71" i="3"/>
  <c r="F86" i="3"/>
  <c r="G75" i="3"/>
  <c r="G76" i="3"/>
  <c r="G77" i="3"/>
  <c r="G78" i="3"/>
  <c r="G79" i="3"/>
  <c r="G80" i="3"/>
  <c r="G81" i="3"/>
  <c r="G65" i="3"/>
  <c r="G66" i="3"/>
  <c r="G67" i="3"/>
  <c r="G68" i="3"/>
  <c r="G69" i="3"/>
  <c r="G70" i="3"/>
  <c r="G71" i="3"/>
  <c r="G86" i="3"/>
  <c r="H75" i="3"/>
  <c r="H76" i="3"/>
  <c r="H77" i="3"/>
  <c r="H78" i="3"/>
  <c r="H79" i="3"/>
  <c r="H80" i="3"/>
  <c r="H81" i="3"/>
  <c r="H65" i="3"/>
  <c r="H66" i="3"/>
  <c r="H67" i="3"/>
  <c r="H68" i="3"/>
  <c r="H69" i="3"/>
  <c r="H70" i="3"/>
  <c r="H71" i="3"/>
  <c r="H86" i="3"/>
  <c r="I75" i="3"/>
  <c r="I76" i="3"/>
  <c r="I77" i="3"/>
  <c r="I78" i="3"/>
  <c r="I79" i="3"/>
  <c r="I80" i="3"/>
  <c r="I81" i="3"/>
  <c r="I65" i="3"/>
  <c r="I66" i="3"/>
  <c r="I67" i="3"/>
  <c r="I68" i="3"/>
  <c r="I69" i="3"/>
  <c r="I70" i="3"/>
  <c r="I71" i="3"/>
  <c r="I86" i="3"/>
  <c r="J75" i="3"/>
  <c r="J76" i="3"/>
  <c r="J77" i="3"/>
  <c r="J78" i="3"/>
  <c r="J79" i="3"/>
  <c r="J80" i="3"/>
  <c r="J81" i="3"/>
  <c r="J65" i="3"/>
  <c r="J66" i="3"/>
  <c r="J67" i="3"/>
  <c r="J68" i="3"/>
  <c r="J69" i="3"/>
  <c r="J70" i="3"/>
  <c r="J71" i="3"/>
  <c r="J86" i="3"/>
  <c r="K75" i="3"/>
  <c r="K76" i="3"/>
  <c r="K77" i="3"/>
  <c r="K78" i="3"/>
  <c r="K79" i="3"/>
  <c r="K80" i="3"/>
  <c r="K81" i="3"/>
  <c r="K65" i="3"/>
  <c r="K66" i="3"/>
  <c r="K67" i="3"/>
  <c r="K68" i="3"/>
  <c r="K69" i="3"/>
  <c r="K70" i="3"/>
  <c r="K71" i="3"/>
  <c r="K86" i="3"/>
  <c r="L75" i="3"/>
  <c r="L76" i="3"/>
  <c r="L77" i="3"/>
  <c r="L78" i="3"/>
  <c r="L79" i="3"/>
  <c r="L80" i="3"/>
  <c r="L81" i="3"/>
  <c r="L65" i="3"/>
  <c r="L66" i="3"/>
  <c r="L67" i="3"/>
  <c r="L68" i="3"/>
  <c r="L69" i="3"/>
  <c r="L70" i="3"/>
  <c r="L71" i="3"/>
  <c r="L86" i="3"/>
  <c r="M75" i="3"/>
  <c r="M76" i="3"/>
  <c r="M77" i="3"/>
  <c r="M78" i="3"/>
  <c r="M79" i="3"/>
  <c r="M80" i="3"/>
  <c r="M81" i="3"/>
  <c r="M65" i="3"/>
  <c r="M66" i="3"/>
  <c r="M67" i="3"/>
  <c r="M68" i="3"/>
  <c r="M69" i="3"/>
  <c r="M70" i="3"/>
  <c r="M71" i="3"/>
  <c r="M86" i="3"/>
  <c r="N75" i="3"/>
  <c r="N76" i="3"/>
  <c r="N77" i="3"/>
  <c r="N78" i="3"/>
  <c r="N79" i="3"/>
  <c r="N80" i="3"/>
  <c r="N81" i="3"/>
  <c r="N65" i="3"/>
  <c r="N66" i="3"/>
  <c r="N67" i="3"/>
  <c r="N68" i="3"/>
  <c r="N69" i="3"/>
  <c r="N70" i="3"/>
  <c r="N71" i="3"/>
  <c r="N86" i="3"/>
  <c r="O75" i="3"/>
  <c r="O76" i="3"/>
  <c r="O77" i="3"/>
  <c r="O78" i="3"/>
  <c r="O79" i="3"/>
  <c r="O80" i="3"/>
  <c r="O81" i="3"/>
  <c r="O65" i="3"/>
  <c r="O66" i="3"/>
  <c r="O67" i="3"/>
  <c r="O68" i="3"/>
  <c r="O69" i="3"/>
  <c r="O70" i="3"/>
  <c r="O71" i="3"/>
  <c r="O86" i="3"/>
  <c r="P75" i="3"/>
  <c r="P76" i="3"/>
  <c r="P77" i="3"/>
  <c r="P78" i="3"/>
  <c r="P79" i="3"/>
  <c r="P80" i="3"/>
  <c r="P81" i="3"/>
  <c r="P65" i="3"/>
  <c r="P66" i="3"/>
  <c r="P67" i="3"/>
  <c r="P68" i="3"/>
  <c r="P69" i="3"/>
  <c r="P70" i="3"/>
  <c r="P71" i="3"/>
  <c r="P86" i="3"/>
  <c r="Q75" i="3"/>
  <c r="Q76" i="3"/>
  <c r="Q77" i="3"/>
  <c r="Q78" i="3"/>
  <c r="Q79" i="3"/>
  <c r="Q80" i="3"/>
  <c r="Q81" i="3"/>
  <c r="Q65" i="3"/>
  <c r="Q66" i="3"/>
  <c r="Q67" i="3"/>
  <c r="Q68" i="3"/>
  <c r="Q69" i="3"/>
  <c r="Q70" i="3"/>
  <c r="Q71" i="3"/>
  <c r="Q86" i="3"/>
  <c r="R75" i="3"/>
  <c r="R76" i="3"/>
  <c r="R77" i="3"/>
  <c r="R78" i="3"/>
  <c r="R79" i="3"/>
  <c r="R80" i="3"/>
  <c r="R81" i="3"/>
  <c r="R65" i="3"/>
  <c r="R66" i="3"/>
  <c r="R67" i="3"/>
  <c r="R68" i="3"/>
  <c r="R69" i="3"/>
  <c r="R70" i="3"/>
  <c r="R71" i="3"/>
  <c r="R86" i="3"/>
  <c r="S75" i="3"/>
  <c r="S76" i="3"/>
  <c r="S77" i="3"/>
  <c r="S78" i="3"/>
  <c r="S79" i="3"/>
  <c r="S80" i="3"/>
  <c r="S81" i="3"/>
  <c r="S65" i="3"/>
  <c r="S66" i="3"/>
  <c r="S67" i="3"/>
  <c r="S68" i="3"/>
  <c r="S69" i="3"/>
  <c r="S70" i="3"/>
  <c r="S71" i="3"/>
  <c r="S86" i="3"/>
  <c r="T75" i="3"/>
  <c r="T76" i="3"/>
  <c r="T77" i="3"/>
  <c r="T78" i="3"/>
  <c r="T79" i="3"/>
  <c r="T80" i="3"/>
  <c r="T81" i="3"/>
  <c r="T65" i="3"/>
  <c r="T66" i="3"/>
  <c r="T67" i="3"/>
  <c r="T68" i="3"/>
  <c r="T69" i="3"/>
  <c r="T70" i="3"/>
  <c r="T71" i="3"/>
  <c r="T86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V75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V76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V77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V78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V79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V80" i="3"/>
  <c r="V81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V65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V66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V67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V68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V69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V70" i="3"/>
  <c r="V71" i="3"/>
  <c r="V86" i="3"/>
  <c r="W75" i="3"/>
  <c r="W76" i="3"/>
  <c r="W77" i="3"/>
  <c r="W78" i="3"/>
  <c r="W79" i="3"/>
  <c r="W80" i="3"/>
  <c r="W81" i="3"/>
  <c r="W65" i="3"/>
  <c r="W66" i="3"/>
  <c r="W67" i="3"/>
  <c r="W68" i="3"/>
  <c r="W69" i="3"/>
  <c r="W70" i="3"/>
  <c r="W71" i="3"/>
  <c r="W86" i="3"/>
  <c r="X75" i="3"/>
  <c r="X76" i="3"/>
  <c r="X77" i="3"/>
  <c r="X78" i="3"/>
  <c r="X79" i="3"/>
  <c r="X80" i="3"/>
  <c r="X81" i="3"/>
  <c r="X65" i="3"/>
  <c r="X66" i="3"/>
  <c r="X67" i="3"/>
  <c r="X68" i="3"/>
  <c r="X69" i="3"/>
  <c r="X70" i="3"/>
  <c r="X71" i="3"/>
  <c r="X86" i="3"/>
  <c r="Y75" i="3"/>
  <c r="Y76" i="3"/>
  <c r="Y77" i="3"/>
  <c r="Y78" i="3"/>
  <c r="Y79" i="3"/>
  <c r="Y80" i="3"/>
  <c r="Y81" i="3"/>
  <c r="Y65" i="3"/>
  <c r="Y66" i="3"/>
  <c r="Y67" i="3"/>
  <c r="Y68" i="3"/>
  <c r="Y69" i="3"/>
  <c r="Y70" i="3"/>
  <c r="Y71" i="3"/>
  <c r="Y86" i="3"/>
  <c r="Z75" i="3"/>
  <c r="Z76" i="3"/>
  <c r="Z77" i="3"/>
  <c r="Z78" i="3"/>
  <c r="Z79" i="3"/>
  <c r="Z80" i="3"/>
  <c r="Z81" i="3"/>
  <c r="Z65" i="3"/>
  <c r="Z66" i="3"/>
  <c r="Z67" i="3"/>
  <c r="Z68" i="3"/>
  <c r="Z69" i="3"/>
  <c r="Z70" i="3"/>
  <c r="Z71" i="3"/>
  <c r="Z86" i="3"/>
  <c r="AA75" i="3"/>
  <c r="AA76" i="3"/>
  <c r="AA77" i="3"/>
  <c r="AA78" i="3"/>
  <c r="AA79" i="3"/>
  <c r="AA80" i="3"/>
  <c r="AA81" i="3"/>
  <c r="AA65" i="3"/>
  <c r="AA66" i="3"/>
  <c r="AA67" i="3"/>
  <c r="AA68" i="3"/>
  <c r="AA69" i="3"/>
  <c r="AA70" i="3"/>
  <c r="AA71" i="3"/>
  <c r="AA86" i="3"/>
  <c r="AB75" i="3"/>
  <c r="AB76" i="3"/>
  <c r="AB77" i="3"/>
  <c r="AB78" i="3"/>
  <c r="AB79" i="3"/>
  <c r="AB80" i="3"/>
  <c r="AB81" i="3"/>
  <c r="AB65" i="3"/>
  <c r="AB66" i="3"/>
  <c r="AB67" i="3"/>
  <c r="AB68" i="3"/>
  <c r="AB69" i="3"/>
  <c r="AB70" i="3"/>
  <c r="AB71" i="3"/>
  <c r="AB86" i="3"/>
  <c r="AC75" i="3"/>
  <c r="AC76" i="3"/>
  <c r="AC77" i="3"/>
  <c r="AC78" i="3"/>
  <c r="AC79" i="3"/>
  <c r="AC80" i="3"/>
  <c r="AC81" i="3"/>
  <c r="AC65" i="3"/>
  <c r="AC66" i="3"/>
  <c r="AC67" i="3"/>
  <c r="AC68" i="3"/>
  <c r="AC69" i="3"/>
  <c r="AC70" i="3"/>
  <c r="AC71" i="3"/>
  <c r="AC86" i="3"/>
  <c r="AD75" i="3"/>
  <c r="AD76" i="3"/>
  <c r="AD77" i="3"/>
  <c r="AD78" i="3"/>
  <c r="AD79" i="3"/>
  <c r="AD80" i="3"/>
  <c r="AD81" i="3"/>
  <c r="AD65" i="3"/>
  <c r="AD66" i="3"/>
  <c r="AD67" i="3"/>
  <c r="AD68" i="3"/>
  <c r="AD69" i="3"/>
  <c r="AD70" i="3"/>
  <c r="AD71" i="3"/>
  <c r="AD86" i="3"/>
  <c r="AE75" i="3"/>
  <c r="AE76" i="3"/>
  <c r="AE77" i="3"/>
  <c r="AE78" i="3"/>
  <c r="AE79" i="3"/>
  <c r="AE80" i="3"/>
  <c r="AE81" i="3"/>
  <c r="AE65" i="3"/>
  <c r="AE66" i="3"/>
  <c r="AE67" i="3"/>
  <c r="AE68" i="3"/>
  <c r="AE69" i="3"/>
  <c r="AE70" i="3"/>
  <c r="AE71" i="3"/>
  <c r="AE86" i="3"/>
  <c r="AF75" i="3"/>
  <c r="AF76" i="3"/>
  <c r="AF77" i="3"/>
  <c r="AF78" i="3"/>
  <c r="AF79" i="3"/>
  <c r="AF80" i="3"/>
  <c r="AF81" i="3"/>
  <c r="AF65" i="3"/>
  <c r="AF66" i="3"/>
  <c r="AF67" i="3"/>
  <c r="AF68" i="3"/>
  <c r="AF69" i="3"/>
  <c r="AF70" i="3"/>
  <c r="AF71" i="3"/>
  <c r="AF86" i="3"/>
  <c r="AG75" i="3"/>
  <c r="AG76" i="3"/>
  <c r="AG77" i="3"/>
  <c r="AG78" i="3"/>
  <c r="AG79" i="3"/>
  <c r="AG80" i="3"/>
  <c r="AG81" i="3"/>
  <c r="AG65" i="3"/>
  <c r="AG66" i="3"/>
  <c r="AG67" i="3"/>
  <c r="AG68" i="3"/>
  <c r="AG69" i="3"/>
  <c r="AG70" i="3"/>
  <c r="AG71" i="3"/>
  <c r="AG86" i="3"/>
  <c r="AH75" i="3"/>
  <c r="AH76" i="3"/>
  <c r="AH77" i="3"/>
  <c r="AH78" i="3"/>
  <c r="AH79" i="3"/>
  <c r="AH80" i="3"/>
  <c r="AH81" i="3"/>
  <c r="AH65" i="3"/>
  <c r="AH66" i="3"/>
  <c r="AH67" i="3"/>
  <c r="AH68" i="3"/>
  <c r="AH69" i="3"/>
  <c r="AH70" i="3"/>
  <c r="AH71" i="3"/>
  <c r="AH86" i="3"/>
  <c r="AI75" i="3"/>
  <c r="AI76" i="3"/>
  <c r="AI77" i="3"/>
  <c r="AI78" i="3"/>
  <c r="AI79" i="3"/>
  <c r="AI80" i="3"/>
  <c r="AI81" i="3"/>
  <c r="AI65" i="3"/>
  <c r="AI66" i="3"/>
  <c r="AI67" i="3"/>
  <c r="AI68" i="3"/>
  <c r="AI69" i="3"/>
  <c r="AI70" i="3"/>
  <c r="AI71" i="3"/>
  <c r="AI86" i="3"/>
  <c r="AJ75" i="3"/>
  <c r="AJ76" i="3"/>
  <c r="AJ77" i="3"/>
  <c r="AJ78" i="3"/>
  <c r="AJ79" i="3"/>
  <c r="AJ80" i="3"/>
  <c r="AJ81" i="3"/>
  <c r="AJ65" i="3"/>
  <c r="AJ66" i="3"/>
  <c r="AJ67" i="3"/>
  <c r="AJ68" i="3"/>
  <c r="AJ69" i="3"/>
  <c r="AJ70" i="3"/>
  <c r="AJ71" i="3"/>
  <c r="AJ86" i="3"/>
  <c r="AK75" i="3"/>
  <c r="AK76" i="3"/>
  <c r="AK77" i="3"/>
  <c r="AK78" i="3"/>
  <c r="AK79" i="3"/>
  <c r="AK80" i="3"/>
  <c r="AK81" i="3"/>
  <c r="AK65" i="3"/>
  <c r="AK66" i="3"/>
  <c r="AK67" i="3"/>
  <c r="AK68" i="3"/>
  <c r="AK69" i="3"/>
  <c r="AK70" i="3"/>
  <c r="AK71" i="3"/>
  <c r="AK86" i="3"/>
  <c r="AL75" i="3"/>
  <c r="AL76" i="3"/>
  <c r="AL77" i="3"/>
  <c r="AL78" i="3"/>
  <c r="AL79" i="3"/>
  <c r="AL80" i="3"/>
  <c r="AL81" i="3"/>
  <c r="AL65" i="3"/>
  <c r="AL66" i="3"/>
  <c r="AL67" i="3"/>
  <c r="AL68" i="3"/>
  <c r="AL69" i="3"/>
  <c r="AL70" i="3"/>
  <c r="AL71" i="3"/>
  <c r="AL86" i="3"/>
  <c r="AM75" i="3"/>
  <c r="AM76" i="3"/>
  <c r="AM77" i="3"/>
  <c r="AM78" i="3"/>
  <c r="AM79" i="3"/>
  <c r="AM80" i="3"/>
  <c r="AM81" i="3"/>
  <c r="AM65" i="3"/>
  <c r="AM66" i="3"/>
  <c r="AM67" i="3"/>
  <c r="AM68" i="3"/>
  <c r="AM69" i="3"/>
  <c r="AM70" i="3"/>
  <c r="AM71" i="3"/>
  <c r="AM86" i="3"/>
  <c r="AN75" i="3"/>
  <c r="AN76" i="3"/>
  <c r="AN77" i="3"/>
  <c r="AN78" i="3"/>
  <c r="AN79" i="3"/>
  <c r="AN80" i="3"/>
  <c r="AN81" i="3"/>
  <c r="AN65" i="3"/>
  <c r="AN66" i="3"/>
  <c r="AN67" i="3"/>
  <c r="AN68" i="3"/>
  <c r="AN69" i="3"/>
  <c r="AN70" i="3"/>
  <c r="AN71" i="3"/>
  <c r="AN86" i="3"/>
  <c r="AO75" i="3"/>
  <c r="AO76" i="3"/>
  <c r="AO77" i="3"/>
  <c r="AO78" i="3"/>
  <c r="AO79" i="3"/>
  <c r="AO80" i="3"/>
  <c r="AO81" i="3"/>
  <c r="AO65" i="3"/>
  <c r="AO66" i="3"/>
  <c r="AO67" i="3"/>
  <c r="AO68" i="3"/>
  <c r="AO69" i="3"/>
  <c r="AO70" i="3"/>
  <c r="AO71" i="3"/>
  <c r="AO86" i="3"/>
  <c r="AP75" i="3"/>
  <c r="AP76" i="3"/>
  <c r="AP77" i="3"/>
  <c r="AP78" i="3"/>
  <c r="AP79" i="3"/>
  <c r="AP80" i="3"/>
  <c r="AP81" i="3"/>
  <c r="AP65" i="3"/>
  <c r="AP66" i="3"/>
  <c r="AP67" i="3"/>
  <c r="AP68" i="3"/>
  <c r="AP69" i="3"/>
  <c r="AP70" i="3"/>
  <c r="AP71" i="3"/>
  <c r="AP86" i="3"/>
  <c r="AQ75" i="3"/>
  <c r="AQ76" i="3"/>
  <c r="AQ77" i="3"/>
  <c r="AQ78" i="3"/>
  <c r="AQ79" i="3"/>
  <c r="AQ80" i="3"/>
  <c r="AQ81" i="3"/>
  <c r="AQ65" i="3"/>
  <c r="AQ66" i="3"/>
  <c r="AQ67" i="3"/>
  <c r="AQ68" i="3"/>
  <c r="AQ69" i="3"/>
  <c r="AQ70" i="3"/>
  <c r="AQ71" i="3"/>
  <c r="AQ86" i="3"/>
  <c r="AR75" i="3"/>
  <c r="AR76" i="3"/>
  <c r="AR77" i="3"/>
  <c r="AR78" i="3"/>
  <c r="AR79" i="3"/>
  <c r="AR80" i="3"/>
  <c r="AR81" i="3"/>
  <c r="AR65" i="3"/>
  <c r="AR66" i="3"/>
  <c r="AR67" i="3"/>
  <c r="AR68" i="3"/>
  <c r="AR69" i="3"/>
  <c r="AR70" i="3"/>
  <c r="AR71" i="3"/>
  <c r="AR86" i="3"/>
  <c r="AS75" i="3"/>
  <c r="AS76" i="3"/>
  <c r="AS77" i="3"/>
  <c r="AS78" i="3"/>
  <c r="AS79" i="3"/>
  <c r="AS80" i="3"/>
  <c r="AS81" i="3"/>
  <c r="AS65" i="3"/>
  <c r="AS66" i="3"/>
  <c r="AS67" i="3"/>
  <c r="AS68" i="3"/>
  <c r="AS69" i="3"/>
  <c r="AS70" i="3"/>
  <c r="AS71" i="3"/>
  <c r="AS86" i="3"/>
  <c r="AT75" i="3"/>
  <c r="AT76" i="3"/>
  <c r="AT77" i="3"/>
  <c r="AT78" i="3"/>
  <c r="AT79" i="3"/>
  <c r="AT80" i="3"/>
  <c r="AT81" i="3"/>
  <c r="AT65" i="3"/>
  <c r="AT66" i="3"/>
  <c r="AT67" i="3"/>
  <c r="AT68" i="3"/>
  <c r="AT69" i="3"/>
  <c r="AT70" i="3"/>
  <c r="AT71" i="3"/>
  <c r="AT86" i="3"/>
  <c r="AV75" i="3"/>
  <c r="AV76" i="3"/>
  <c r="AV77" i="3"/>
  <c r="AV78" i="3"/>
  <c r="AV79" i="3"/>
  <c r="AV80" i="3"/>
  <c r="AV81" i="3"/>
  <c r="AV86" i="3"/>
  <c r="AW75" i="3"/>
  <c r="AW76" i="3"/>
  <c r="AW77" i="3"/>
  <c r="AW78" i="3"/>
  <c r="AW79" i="3"/>
  <c r="AW80" i="3"/>
  <c r="AW81" i="3"/>
  <c r="AW37" i="3"/>
  <c r="AV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CH37" i="3"/>
  <c r="CI37" i="3"/>
  <c r="CK37" i="3"/>
  <c r="CM37" i="3"/>
  <c r="CO37" i="3"/>
  <c r="CP37" i="3"/>
  <c r="AW65" i="3"/>
  <c r="AW38" i="3"/>
  <c r="AV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CC38" i="3"/>
  <c r="CD38" i="3"/>
  <c r="CE38" i="3"/>
  <c r="CF38" i="3"/>
  <c r="CG38" i="3"/>
  <c r="CH38" i="3"/>
  <c r="CK38" i="3"/>
  <c r="CL38" i="3"/>
  <c r="CM38" i="3"/>
  <c r="CN38" i="3"/>
  <c r="CO38" i="3"/>
  <c r="CP38" i="3"/>
  <c r="AW66" i="3"/>
  <c r="AW39" i="3"/>
  <c r="AV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CH39" i="3"/>
  <c r="CI39" i="3"/>
  <c r="CK39" i="3"/>
  <c r="CM39" i="3"/>
  <c r="CO39" i="3"/>
  <c r="CP39" i="3"/>
  <c r="AW67" i="3"/>
  <c r="AW40" i="3"/>
  <c r="AV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CH40" i="3"/>
  <c r="CI40" i="3"/>
  <c r="CK40" i="3"/>
  <c r="CM40" i="3"/>
  <c r="CN40" i="3"/>
  <c r="CO40" i="3"/>
  <c r="CP40" i="3"/>
  <c r="AW68" i="3"/>
  <c r="AW41" i="3"/>
  <c r="AV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B41" i="3"/>
  <c r="CC41" i="3"/>
  <c r="CD41" i="3"/>
  <c r="CE41" i="3"/>
  <c r="CF41" i="3"/>
  <c r="CG41" i="3"/>
  <c r="CH41" i="3"/>
  <c r="CM41" i="3"/>
  <c r="CN41" i="3"/>
  <c r="CP41" i="3"/>
  <c r="AW69" i="3"/>
  <c r="AW42" i="3"/>
  <c r="AV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CE42" i="3"/>
  <c r="CF42" i="3"/>
  <c r="CG42" i="3"/>
  <c r="CH42" i="3"/>
  <c r="CI42" i="3"/>
  <c r="CM42" i="3"/>
  <c r="CO42" i="3"/>
  <c r="CP42" i="3"/>
  <c r="AW70" i="3"/>
  <c r="AW71" i="3"/>
  <c r="AW86" i="3"/>
  <c r="AX75" i="3"/>
  <c r="AX76" i="3"/>
  <c r="AX77" i="3"/>
  <c r="AX78" i="3"/>
  <c r="AX79" i="3"/>
  <c r="AX80" i="3"/>
  <c r="AX81" i="3"/>
  <c r="AX65" i="3"/>
  <c r="AX66" i="3"/>
  <c r="AX67" i="3"/>
  <c r="AX68" i="3"/>
  <c r="AX69" i="3"/>
  <c r="AX70" i="3"/>
  <c r="AX71" i="3"/>
  <c r="AX86" i="3"/>
  <c r="AY75" i="3"/>
  <c r="AY76" i="3"/>
  <c r="AY77" i="3"/>
  <c r="AY78" i="3"/>
  <c r="AY79" i="3"/>
  <c r="AY80" i="3"/>
  <c r="AY81" i="3"/>
  <c r="AY65" i="3"/>
  <c r="AY66" i="3"/>
  <c r="AY67" i="3"/>
  <c r="AY68" i="3"/>
  <c r="AY69" i="3"/>
  <c r="AY70" i="3"/>
  <c r="AY71" i="3"/>
  <c r="AY86" i="3"/>
  <c r="AZ75" i="3"/>
  <c r="AZ76" i="3"/>
  <c r="AZ77" i="3"/>
  <c r="AZ78" i="3"/>
  <c r="AZ79" i="3"/>
  <c r="AZ80" i="3"/>
  <c r="AZ81" i="3"/>
  <c r="AZ65" i="3"/>
  <c r="AZ66" i="3"/>
  <c r="AZ67" i="3"/>
  <c r="AZ68" i="3"/>
  <c r="AZ69" i="3"/>
  <c r="AZ70" i="3"/>
  <c r="AZ71" i="3"/>
  <c r="AZ86" i="3"/>
  <c r="BA75" i="3"/>
  <c r="BA76" i="3"/>
  <c r="BA77" i="3"/>
  <c r="BA78" i="3"/>
  <c r="BA79" i="3"/>
  <c r="BA80" i="3"/>
  <c r="BA81" i="3"/>
  <c r="BA65" i="3"/>
  <c r="BA66" i="3"/>
  <c r="BA67" i="3"/>
  <c r="BA68" i="3"/>
  <c r="BA69" i="3"/>
  <c r="BA70" i="3"/>
  <c r="BA71" i="3"/>
  <c r="BA86" i="3"/>
  <c r="BB75" i="3"/>
  <c r="BB76" i="3"/>
  <c r="BB77" i="3"/>
  <c r="BB78" i="3"/>
  <c r="BB79" i="3"/>
  <c r="BB80" i="3"/>
  <c r="BB81" i="3"/>
  <c r="BB65" i="3"/>
  <c r="BB66" i="3"/>
  <c r="BB67" i="3"/>
  <c r="BB68" i="3"/>
  <c r="BB69" i="3"/>
  <c r="BB70" i="3"/>
  <c r="BB71" i="3"/>
  <c r="BB86" i="3"/>
  <c r="BC75" i="3"/>
  <c r="BC76" i="3"/>
  <c r="BC77" i="3"/>
  <c r="BC78" i="3"/>
  <c r="BC79" i="3"/>
  <c r="BC80" i="3"/>
  <c r="BC81" i="3"/>
  <c r="BC65" i="3"/>
  <c r="BC66" i="3"/>
  <c r="BC67" i="3"/>
  <c r="BC68" i="3"/>
  <c r="BC69" i="3"/>
  <c r="BC70" i="3"/>
  <c r="BC71" i="3"/>
  <c r="BC86" i="3"/>
  <c r="BD75" i="3"/>
  <c r="BD76" i="3"/>
  <c r="BD77" i="3"/>
  <c r="BD78" i="3"/>
  <c r="BD79" i="3"/>
  <c r="BD80" i="3"/>
  <c r="BD81" i="3"/>
  <c r="BD65" i="3"/>
  <c r="BD66" i="3"/>
  <c r="BD67" i="3"/>
  <c r="BD68" i="3"/>
  <c r="BD69" i="3"/>
  <c r="BD70" i="3"/>
  <c r="BD71" i="3"/>
  <c r="BD86" i="3"/>
  <c r="BE75" i="3"/>
  <c r="BE76" i="3"/>
  <c r="BE77" i="3"/>
  <c r="BE78" i="3"/>
  <c r="BE79" i="3"/>
  <c r="BE80" i="3"/>
  <c r="BE81" i="3"/>
  <c r="BE65" i="3"/>
  <c r="BE66" i="3"/>
  <c r="BE67" i="3"/>
  <c r="BE68" i="3"/>
  <c r="BE69" i="3"/>
  <c r="BE70" i="3"/>
  <c r="BE71" i="3"/>
  <c r="BE86" i="3"/>
  <c r="BF75" i="3"/>
  <c r="BF76" i="3"/>
  <c r="BF77" i="3"/>
  <c r="BF78" i="3"/>
  <c r="BF79" i="3"/>
  <c r="BF80" i="3"/>
  <c r="BF81" i="3"/>
  <c r="BF65" i="3"/>
  <c r="BF66" i="3"/>
  <c r="BF67" i="3"/>
  <c r="BF68" i="3"/>
  <c r="BF69" i="3"/>
  <c r="BF70" i="3"/>
  <c r="BF71" i="3"/>
  <c r="BF86" i="3"/>
  <c r="BG75" i="3"/>
  <c r="BG76" i="3"/>
  <c r="BG77" i="3"/>
  <c r="BG78" i="3"/>
  <c r="BG79" i="3"/>
  <c r="BG80" i="3"/>
  <c r="BG81" i="3"/>
  <c r="BG65" i="3"/>
  <c r="BG66" i="3"/>
  <c r="BG67" i="3"/>
  <c r="BG68" i="3"/>
  <c r="BG69" i="3"/>
  <c r="BG70" i="3"/>
  <c r="BG71" i="3"/>
  <c r="BG86" i="3"/>
  <c r="BH75" i="3"/>
  <c r="BH76" i="3"/>
  <c r="BH77" i="3"/>
  <c r="BH78" i="3"/>
  <c r="BH79" i="3"/>
  <c r="BH80" i="3"/>
  <c r="BH81" i="3"/>
  <c r="BH65" i="3"/>
  <c r="BH66" i="3"/>
  <c r="BH67" i="3"/>
  <c r="BH68" i="3"/>
  <c r="BH69" i="3"/>
  <c r="BH70" i="3"/>
  <c r="BH71" i="3"/>
  <c r="BH86" i="3"/>
  <c r="BI75" i="3"/>
  <c r="BI76" i="3"/>
  <c r="BI77" i="3"/>
  <c r="BI78" i="3"/>
  <c r="BI79" i="3"/>
  <c r="BI80" i="3"/>
  <c r="BI81" i="3"/>
  <c r="BI65" i="3"/>
  <c r="BI66" i="3"/>
  <c r="BI67" i="3"/>
  <c r="BI68" i="3"/>
  <c r="BI69" i="3"/>
  <c r="BI70" i="3"/>
  <c r="BI71" i="3"/>
  <c r="BI86" i="3"/>
  <c r="BJ75" i="3"/>
  <c r="BJ76" i="3"/>
  <c r="BJ77" i="3"/>
  <c r="BJ78" i="3"/>
  <c r="BJ79" i="3"/>
  <c r="BJ80" i="3"/>
  <c r="BJ81" i="3"/>
  <c r="BJ65" i="3"/>
  <c r="BJ66" i="3"/>
  <c r="BJ67" i="3"/>
  <c r="BJ68" i="3"/>
  <c r="BJ69" i="3"/>
  <c r="BJ70" i="3"/>
  <c r="BJ71" i="3"/>
  <c r="BJ86" i="3"/>
  <c r="BK75" i="3"/>
  <c r="BK76" i="3"/>
  <c r="BK77" i="3"/>
  <c r="BK78" i="3"/>
  <c r="BK79" i="3"/>
  <c r="BK80" i="3"/>
  <c r="BK81" i="3"/>
  <c r="BK65" i="3"/>
  <c r="BK66" i="3"/>
  <c r="BK67" i="3"/>
  <c r="BK68" i="3"/>
  <c r="BK69" i="3"/>
  <c r="BK70" i="3"/>
  <c r="BK71" i="3"/>
  <c r="BK86" i="3"/>
  <c r="BL75" i="3"/>
  <c r="BL76" i="3"/>
  <c r="BL77" i="3"/>
  <c r="BL78" i="3"/>
  <c r="BL79" i="3"/>
  <c r="BL80" i="3"/>
  <c r="BL81" i="3"/>
  <c r="BL65" i="3"/>
  <c r="BL66" i="3"/>
  <c r="BL67" i="3"/>
  <c r="BL68" i="3"/>
  <c r="BL69" i="3"/>
  <c r="BL70" i="3"/>
  <c r="BL71" i="3"/>
  <c r="BL86" i="3"/>
  <c r="BM75" i="3"/>
  <c r="BM76" i="3"/>
  <c r="BM77" i="3"/>
  <c r="BM78" i="3"/>
  <c r="BM79" i="3"/>
  <c r="BM80" i="3"/>
  <c r="BM81" i="3"/>
  <c r="BM65" i="3"/>
  <c r="BM66" i="3"/>
  <c r="BM67" i="3"/>
  <c r="BM68" i="3"/>
  <c r="BM69" i="3"/>
  <c r="BM70" i="3"/>
  <c r="BM71" i="3"/>
  <c r="BM86" i="3"/>
  <c r="BN75" i="3"/>
  <c r="BN76" i="3"/>
  <c r="BN77" i="3"/>
  <c r="BN78" i="3"/>
  <c r="BN79" i="3"/>
  <c r="BN80" i="3"/>
  <c r="BN81" i="3"/>
  <c r="BN65" i="3"/>
  <c r="BN66" i="3"/>
  <c r="BN67" i="3"/>
  <c r="BN68" i="3"/>
  <c r="BN69" i="3"/>
  <c r="BN70" i="3"/>
  <c r="BN71" i="3"/>
  <c r="BN86" i="3"/>
  <c r="BO75" i="3"/>
  <c r="BO76" i="3"/>
  <c r="BO77" i="3"/>
  <c r="BO78" i="3"/>
  <c r="BO79" i="3"/>
  <c r="BO80" i="3"/>
  <c r="BO81" i="3"/>
  <c r="BO65" i="3"/>
  <c r="BO66" i="3"/>
  <c r="BO67" i="3"/>
  <c r="BO68" i="3"/>
  <c r="BO69" i="3"/>
  <c r="BO70" i="3"/>
  <c r="BO71" i="3"/>
  <c r="BO86" i="3"/>
  <c r="BP75" i="3"/>
  <c r="BP76" i="3"/>
  <c r="BP77" i="3"/>
  <c r="BP78" i="3"/>
  <c r="BP79" i="3"/>
  <c r="BP80" i="3"/>
  <c r="BP81" i="3"/>
  <c r="BP65" i="3"/>
  <c r="BP66" i="3"/>
  <c r="BP67" i="3"/>
  <c r="BP68" i="3"/>
  <c r="BP69" i="3"/>
  <c r="BP70" i="3"/>
  <c r="BP71" i="3"/>
  <c r="BP86" i="3"/>
  <c r="BQ75" i="3"/>
  <c r="BQ76" i="3"/>
  <c r="BQ77" i="3"/>
  <c r="BQ78" i="3"/>
  <c r="BQ79" i="3"/>
  <c r="BQ80" i="3"/>
  <c r="BQ81" i="3"/>
  <c r="BQ65" i="3"/>
  <c r="BQ66" i="3"/>
  <c r="BQ67" i="3"/>
  <c r="BQ68" i="3"/>
  <c r="BQ69" i="3"/>
  <c r="BQ70" i="3"/>
  <c r="BQ71" i="3"/>
  <c r="BQ86" i="3"/>
  <c r="BR75" i="3"/>
  <c r="BR76" i="3"/>
  <c r="BR77" i="3"/>
  <c r="BR78" i="3"/>
  <c r="BR79" i="3"/>
  <c r="BR80" i="3"/>
  <c r="BR81" i="3"/>
  <c r="BR65" i="3"/>
  <c r="BR66" i="3"/>
  <c r="BR67" i="3"/>
  <c r="BR68" i="3"/>
  <c r="BR69" i="3"/>
  <c r="BR70" i="3"/>
  <c r="BR71" i="3"/>
  <c r="BR86" i="3"/>
  <c r="BS75" i="3"/>
  <c r="BS76" i="3"/>
  <c r="BS77" i="3"/>
  <c r="BS78" i="3"/>
  <c r="BS79" i="3"/>
  <c r="BS80" i="3"/>
  <c r="BS81" i="3"/>
  <c r="BS65" i="3"/>
  <c r="BS66" i="3"/>
  <c r="BS67" i="3"/>
  <c r="BS68" i="3"/>
  <c r="BS69" i="3"/>
  <c r="BS70" i="3"/>
  <c r="BS71" i="3"/>
  <c r="BS86" i="3"/>
  <c r="BT75" i="3"/>
  <c r="BT76" i="3"/>
  <c r="BT77" i="3"/>
  <c r="BT78" i="3"/>
  <c r="BT79" i="3"/>
  <c r="BT80" i="3"/>
  <c r="BT81" i="3"/>
  <c r="BT65" i="3"/>
  <c r="BT66" i="3"/>
  <c r="BT67" i="3"/>
  <c r="BT68" i="3"/>
  <c r="BT69" i="3"/>
  <c r="BT70" i="3"/>
  <c r="BT71" i="3"/>
  <c r="BT86" i="3"/>
  <c r="BU75" i="3"/>
  <c r="BU76" i="3"/>
  <c r="BU77" i="3"/>
  <c r="BU78" i="3"/>
  <c r="BU79" i="3"/>
  <c r="BU80" i="3"/>
  <c r="BU81" i="3"/>
  <c r="BU65" i="3"/>
  <c r="BU66" i="3"/>
  <c r="BU67" i="3"/>
  <c r="BU68" i="3"/>
  <c r="BU69" i="3"/>
  <c r="BU70" i="3"/>
  <c r="BU71" i="3"/>
  <c r="BU86" i="3"/>
  <c r="BV75" i="3"/>
  <c r="BV76" i="3"/>
  <c r="BV77" i="3"/>
  <c r="BV78" i="3"/>
  <c r="BV79" i="3"/>
  <c r="BV80" i="3"/>
  <c r="BV81" i="3"/>
  <c r="BV65" i="3"/>
  <c r="BV66" i="3"/>
  <c r="BV67" i="3"/>
  <c r="BV68" i="3"/>
  <c r="BV69" i="3"/>
  <c r="BV70" i="3"/>
  <c r="BV71" i="3"/>
  <c r="BV86" i="3"/>
  <c r="BW75" i="3"/>
  <c r="BW76" i="3"/>
  <c r="BW77" i="3"/>
  <c r="BW78" i="3"/>
  <c r="BW79" i="3"/>
  <c r="BW80" i="3"/>
  <c r="BW81" i="3"/>
  <c r="BW65" i="3"/>
  <c r="BW66" i="3"/>
  <c r="BW67" i="3"/>
  <c r="BW68" i="3"/>
  <c r="BW69" i="3"/>
  <c r="BW70" i="3"/>
  <c r="BW71" i="3"/>
  <c r="BW86" i="3"/>
  <c r="BX75" i="3"/>
  <c r="BX76" i="3"/>
  <c r="BX77" i="3"/>
  <c r="BX78" i="3"/>
  <c r="BX79" i="3"/>
  <c r="BX80" i="3"/>
  <c r="BX81" i="3"/>
  <c r="BX65" i="3"/>
  <c r="BX66" i="3"/>
  <c r="BX67" i="3"/>
  <c r="BX68" i="3"/>
  <c r="BX69" i="3"/>
  <c r="BX70" i="3"/>
  <c r="BX71" i="3"/>
  <c r="BX86" i="3"/>
  <c r="BY75" i="3"/>
  <c r="BY76" i="3"/>
  <c r="BY77" i="3"/>
  <c r="BY78" i="3"/>
  <c r="BY79" i="3"/>
  <c r="BY80" i="3"/>
  <c r="BY81" i="3"/>
  <c r="BY65" i="3"/>
  <c r="BY66" i="3"/>
  <c r="BY67" i="3"/>
  <c r="BY68" i="3"/>
  <c r="BY69" i="3"/>
  <c r="BY70" i="3"/>
  <c r="BY71" i="3"/>
  <c r="BY86" i="3"/>
  <c r="BZ75" i="3"/>
  <c r="BZ76" i="3"/>
  <c r="BZ77" i="3"/>
  <c r="BZ78" i="3"/>
  <c r="BZ79" i="3"/>
  <c r="BZ80" i="3"/>
  <c r="BZ81" i="3"/>
  <c r="BZ65" i="3"/>
  <c r="BZ66" i="3"/>
  <c r="BZ67" i="3"/>
  <c r="BZ68" i="3"/>
  <c r="BZ69" i="3"/>
  <c r="BZ70" i="3"/>
  <c r="BZ71" i="3"/>
  <c r="BZ86" i="3"/>
  <c r="CA75" i="3"/>
  <c r="CA76" i="3"/>
  <c r="CA77" i="3"/>
  <c r="CA78" i="3"/>
  <c r="CA79" i="3"/>
  <c r="CA80" i="3"/>
  <c r="CA81" i="3"/>
  <c r="CA65" i="3"/>
  <c r="CA66" i="3"/>
  <c r="CA67" i="3"/>
  <c r="CA68" i="3"/>
  <c r="CA69" i="3"/>
  <c r="CA70" i="3"/>
  <c r="CA71" i="3"/>
  <c r="CA86" i="3"/>
  <c r="CB75" i="3"/>
  <c r="CB76" i="3"/>
  <c r="CB77" i="3"/>
  <c r="CB78" i="3"/>
  <c r="CB79" i="3"/>
  <c r="CB80" i="3"/>
  <c r="CB81" i="3"/>
  <c r="CB65" i="3"/>
  <c r="CB66" i="3"/>
  <c r="CB67" i="3"/>
  <c r="CB68" i="3"/>
  <c r="CB69" i="3"/>
  <c r="CB70" i="3"/>
  <c r="CB71" i="3"/>
  <c r="CB86" i="3"/>
  <c r="CC75" i="3"/>
  <c r="CC76" i="3"/>
  <c r="CC77" i="3"/>
  <c r="CC78" i="3"/>
  <c r="CC79" i="3"/>
  <c r="CC80" i="3"/>
  <c r="CC81" i="3"/>
  <c r="CC65" i="3"/>
  <c r="CC66" i="3"/>
  <c r="CC67" i="3"/>
  <c r="CC68" i="3"/>
  <c r="CC69" i="3"/>
  <c r="CC70" i="3"/>
  <c r="CC71" i="3"/>
  <c r="CC86" i="3"/>
  <c r="CD75" i="3"/>
  <c r="CD76" i="3"/>
  <c r="CD77" i="3"/>
  <c r="CD78" i="3"/>
  <c r="CD79" i="3"/>
  <c r="CD80" i="3"/>
  <c r="CD81" i="3"/>
  <c r="CD65" i="3"/>
  <c r="CD66" i="3"/>
  <c r="CD67" i="3"/>
  <c r="CD68" i="3"/>
  <c r="CD69" i="3"/>
  <c r="CD70" i="3"/>
  <c r="CD71" i="3"/>
  <c r="CD86" i="3"/>
  <c r="CE75" i="3"/>
  <c r="CE76" i="3"/>
  <c r="CE77" i="3"/>
  <c r="CE78" i="3"/>
  <c r="CE79" i="3"/>
  <c r="CE80" i="3"/>
  <c r="CE81" i="3"/>
  <c r="CE65" i="3"/>
  <c r="CE66" i="3"/>
  <c r="CE67" i="3"/>
  <c r="CE68" i="3"/>
  <c r="CE69" i="3"/>
  <c r="CE70" i="3"/>
  <c r="CE71" i="3"/>
  <c r="CE86" i="3"/>
  <c r="CF81" i="3"/>
  <c r="CF65" i="3"/>
  <c r="CF66" i="3"/>
  <c r="CF67" i="3"/>
  <c r="CF68" i="3"/>
  <c r="CF69" i="3"/>
  <c r="CF70" i="3"/>
  <c r="CF71" i="3"/>
  <c r="CF86" i="3"/>
  <c r="CG75" i="3"/>
  <c r="CG76" i="3"/>
  <c r="CG77" i="3"/>
  <c r="CG78" i="3"/>
  <c r="CG79" i="3"/>
  <c r="CG80" i="3"/>
  <c r="CG81" i="3"/>
  <c r="CG65" i="3"/>
  <c r="CG66" i="3"/>
  <c r="CG67" i="3"/>
  <c r="CG68" i="3"/>
  <c r="CG69" i="3"/>
  <c r="CG70" i="3"/>
  <c r="CG71" i="3"/>
  <c r="CG86" i="3"/>
  <c r="CH75" i="3"/>
  <c r="CH76" i="3"/>
  <c r="CH77" i="3"/>
  <c r="CH78" i="3"/>
  <c r="CH79" i="3"/>
  <c r="CH80" i="3"/>
  <c r="CH81" i="3"/>
  <c r="CH65" i="3"/>
  <c r="CH66" i="3"/>
  <c r="CH67" i="3"/>
  <c r="CH68" i="3"/>
  <c r="CH69" i="3"/>
  <c r="CH70" i="3"/>
  <c r="CH71" i="3"/>
  <c r="CH86" i="3"/>
  <c r="CI75" i="3"/>
  <c r="CI76" i="3"/>
  <c r="CI77" i="3"/>
  <c r="CI78" i="3"/>
  <c r="CI79" i="3"/>
  <c r="CI80" i="3"/>
  <c r="CI81" i="3"/>
  <c r="CI65" i="3"/>
  <c r="CI66" i="3"/>
  <c r="CI67" i="3"/>
  <c r="CI68" i="3"/>
  <c r="CI69" i="3"/>
  <c r="CI70" i="3"/>
  <c r="CI71" i="3"/>
  <c r="CI86" i="3"/>
  <c r="CJ75" i="3"/>
  <c r="CJ76" i="3"/>
  <c r="CJ77" i="3"/>
  <c r="CJ78" i="3"/>
  <c r="CJ79" i="3"/>
  <c r="CJ80" i="3"/>
  <c r="CJ81" i="3"/>
  <c r="CJ65" i="3"/>
  <c r="CJ66" i="3"/>
  <c r="CJ67" i="3"/>
  <c r="CJ68" i="3"/>
  <c r="CJ69" i="3"/>
  <c r="CJ70" i="3"/>
  <c r="CJ71" i="3"/>
  <c r="CJ86" i="3"/>
  <c r="CK75" i="3"/>
  <c r="CK76" i="3"/>
  <c r="CK77" i="3"/>
  <c r="CK78" i="3"/>
  <c r="CK79" i="3"/>
  <c r="CK80" i="3"/>
  <c r="CK81" i="3"/>
  <c r="CK65" i="3"/>
  <c r="CK66" i="3"/>
  <c r="CK67" i="3"/>
  <c r="CK68" i="3"/>
  <c r="CK69" i="3"/>
  <c r="CK70" i="3"/>
  <c r="CK71" i="3"/>
  <c r="CK86" i="3"/>
  <c r="CL75" i="3"/>
  <c r="CL76" i="3"/>
  <c r="CL77" i="3"/>
  <c r="CL78" i="3"/>
  <c r="CL79" i="3"/>
  <c r="CL80" i="3"/>
  <c r="CL81" i="3"/>
  <c r="CL65" i="3"/>
  <c r="CL66" i="3"/>
  <c r="CL67" i="3"/>
  <c r="CL68" i="3"/>
  <c r="CL69" i="3"/>
  <c r="CL70" i="3"/>
  <c r="CL71" i="3"/>
  <c r="CL86" i="3"/>
  <c r="CM75" i="3"/>
  <c r="CM76" i="3"/>
  <c r="CM77" i="3"/>
  <c r="CM78" i="3"/>
  <c r="CM79" i="3"/>
  <c r="CM80" i="3"/>
  <c r="CM81" i="3"/>
  <c r="CM65" i="3"/>
  <c r="CM66" i="3"/>
  <c r="CM67" i="3"/>
  <c r="CM68" i="3"/>
  <c r="CM69" i="3"/>
  <c r="CM70" i="3"/>
  <c r="CM71" i="3"/>
  <c r="CM86" i="3"/>
  <c r="CN75" i="3"/>
  <c r="CN76" i="3"/>
  <c r="CN77" i="3"/>
  <c r="CN78" i="3"/>
  <c r="CN79" i="3"/>
  <c r="CN80" i="3"/>
  <c r="CN81" i="3"/>
  <c r="CN65" i="3"/>
  <c r="CN66" i="3"/>
  <c r="CN67" i="3"/>
  <c r="CN68" i="3"/>
  <c r="CN70" i="3"/>
  <c r="CN71" i="3"/>
  <c r="CN86" i="3"/>
  <c r="CO75" i="3"/>
  <c r="CO76" i="3"/>
  <c r="CO77" i="3"/>
  <c r="CO78" i="3"/>
  <c r="CO79" i="3"/>
  <c r="CO80" i="3"/>
  <c r="CO81" i="3"/>
  <c r="CO65" i="3"/>
  <c r="CO66" i="3"/>
  <c r="CO67" i="3"/>
  <c r="CO68" i="3"/>
  <c r="CO70" i="3"/>
  <c r="CO71" i="3"/>
  <c r="CO86" i="3"/>
  <c r="CQ75" i="3"/>
  <c r="CQ76" i="3"/>
  <c r="CQ77" i="3"/>
  <c r="CQ78" i="3"/>
  <c r="CQ51" i="3"/>
  <c r="CQ79" i="3"/>
  <c r="CQ52" i="3"/>
  <c r="CQ80" i="3"/>
  <c r="CQ81" i="3"/>
  <c r="CQ37" i="3"/>
  <c r="CS37" i="3"/>
  <c r="CV37" i="3"/>
  <c r="CW37" i="3"/>
  <c r="CX37" i="3"/>
  <c r="CZ37" i="3"/>
  <c r="DA37" i="3"/>
  <c r="DC37" i="3"/>
  <c r="DD37" i="3"/>
  <c r="DE37" i="3"/>
  <c r="DF37" i="3"/>
  <c r="DG37" i="3"/>
  <c r="DL37" i="3"/>
  <c r="DM37" i="3"/>
  <c r="DO37" i="3"/>
  <c r="DP37" i="3"/>
  <c r="DQ37" i="3"/>
  <c r="DR37" i="3"/>
  <c r="DX37" i="3"/>
  <c r="DY37" i="3"/>
  <c r="DZ37" i="3"/>
  <c r="EC37" i="3"/>
  <c r="ED37" i="3"/>
  <c r="EP37" i="3"/>
  <c r="CQ65" i="3"/>
  <c r="CS38" i="3"/>
  <c r="CW38" i="3"/>
  <c r="CX38" i="3"/>
  <c r="CZ38" i="3"/>
  <c r="DA38" i="3"/>
  <c r="DB38" i="3"/>
  <c r="DE38" i="3"/>
  <c r="DF38" i="3"/>
  <c r="DK38" i="3"/>
  <c r="DM38" i="3"/>
  <c r="DO38" i="3"/>
  <c r="DP38" i="3"/>
  <c r="DQ38" i="3"/>
  <c r="DR38" i="3"/>
  <c r="DS38" i="3"/>
  <c r="DT38" i="3"/>
  <c r="EC38" i="3"/>
  <c r="EE38" i="3"/>
  <c r="EO38" i="3"/>
  <c r="EP38" i="3"/>
  <c r="CQ66" i="3"/>
  <c r="CT39" i="3"/>
  <c r="CW39" i="3"/>
  <c r="CX39" i="3"/>
  <c r="CZ39" i="3"/>
  <c r="DA39" i="3"/>
  <c r="DB39" i="3"/>
  <c r="DD39" i="3"/>
  <c r="DE39" i="3"/>
  <c r="DF39" i="3"/>
  <c r="DG39" i="3"/>
  <c r="DJ39" i="3"/>
  <c r="DK39" i="3"/>
  <c r="DL39" i="3"/>
  <c r="DM39" i="3"/>
  <c r="DO39" i="3"/>
  <c r="DP39" i="3"/>
  <c r="DQ39" i="3"/>
  <c r="DR39" i="3"/>
  <c r="DU39" i="3"/>
  <c r="DX39" i="3"/>
  <c r="EC39" i="3"/>
  <c r="ED39" i="3"/>
  <c r="EE39" i="3"/>
  <c r="EF39" i="3"/>
  <c r="EG39" i="3"/>
  <c r="EH39" i="3"/>
  <c r="EL39" i="3"/>
  <c r="EO39" i="3"/>
  <c r="EP39" i="3"/>
  <c r="CQ67" i="3"/>
  <c r="CW40" i="3"/>
  <c r="CX40" i="3"/>
  <c r="CY40" i="3"/>
  <c r="CZ40" i="3"/>
  <c r="DB40" i="3"/>
  <c r="DD40" i="3"/>
  <c r="DE40" i="3"/>
  <c r="DF40" i="3"/>
  <c r="DL40" i="3"/>
  <c r="DM40" i="3"/>
  <c r="DN40" i="3"/>
  <c r="DO40" i="3"/>
  <c r="DP40" i="3"/>
  <c r="DR40" i="3"/>
  <c r="EC40" i="3"/>
  <c r="EE40" i="3"/>
  <c r="EF40" i="3"/>
  <c r="EH40" i="3"/>
  <c r="EJ40" i="3"/>
  <c r="EL40" i="3"/>
  <c r="EO40" i="3"/>
  <c r="EP40" i="3"/>
  <c r="CQ68" i="3"/>
  <c r="CS41" i="3"/>
  <c r="CU41" i="3"/>
  <c r="CW41" i="3"/>
  <c r="CX41" i="3"/>
  <c r="CZ41" i="3"/>
  <c r="DA41" i="3"/>
  <c r="DB41" i="3"/>
  <c r="DD41" i="3"/>
  <c r="DE41" i="3"/>
  <c r="DF41" i="3"/>
  <c r="DJ41" i="3"/>
  <c r="DK41" i="3"/>
  <c r="DL41" i="3"/>
  <c r="DM41" i="3"/>
  <c r="DN41" i="3"/>
  <c r="DO41" i="3"/>
  <c r="DP41" i="3"/>
  <c r="DQ41" i="3"/>
  <c r="DR41" i="3"/>
  <c r="DS41" i="3"/>
  <c r="DU41" i="3"/>
  <c r="DV41" i="3"/>
  <c r="DX41" i="3"/>
  <c r="DY41" i="3"/>
  <c r="EE41" i="3"/>
  <c r="EF41" i="3"/>
  <c r="EG41" i="3"/>
  <c r="EI41" i="3"/>
  <c r="EL41" i="3"/>
  <c r="EM41" i="3"/>
  <c r="EP41" i="3"/>
  <c r="CQ69" i="3"/>
  <c r="CS42" i="3"/>
  <c r="CT42" i="3"/>
  <c r="CV42" i="3"/>
  <c r="CW42" i="3"/>
  <c r="CX42" i="3"/>
  <c r="CY42" i="3"/>
  <c r="CZ42" i="3"/>
  <c r="DA42" i="3"/>
  <c r="DB42" i="3"/>
  <c r="DD42" i="3"/>
  <c r="DE42" i="3"/>
  <c r="DF42" i="3"/>
  <c r="DG42" i="3"/>
  <c r="DJ42" i="3"/>
  <c r="DK42" i="3"/>
  <c r="DL42" i="3"/>
  <c r="DM42" i="3"/>
  <c r="DN42" i="3"/>
  <c r="DO42" i="3"/>
  <c r="DP42" i="3"/>
  <c r="DQ42" i="3"/>
  <c r="DR42" i="3"/>
  <c r="DS42" i="3"/>
  <c r="DU42" i="3"/>
  <c r="DY42" i="3"/>
  <c r="DZ42" i="3"/>
  <c r="EA42" i="3"/>
  <c r="EC42" i="3"/>
  <c r="ED42" i="3"/>
  <c r="EE42" i="3"/>
  <c r="EF42" i="3"/>
  <c r="EG42" i="3"/>
  <c r="EH42" i="3"/>
  <c r="EP42" i="3"/>
  <c r="CQ70" i="3"/>
  <c r="CQ71" i="3"/>
  <c r="CQ86" i="3"/>
  <c r="CR75" i="3"/>
  <c r="CR76" i="3"/>
  <c r="CR77" i="3"/>
  <c r="CR78" i="3"/>
  <c r="CR51" i="3"/>
  <c r="CR79" i="3"/>
  <c r="CR52" i="3"/>
  <c r="CR80" i="3"/>
  <c r="CR81" i="3"/>
  <c r="CR65" i="3"/>
  <c r="CR66" i="3"/>
  <c r="CR67" i="3"/>
  <c r="CR68" i="3"/>
  <c r="CR69" i="3"/>
  <c r="CR70" i="3"/>
  <c r="CR71" i="3"/>
  <c r="CR86" i="3"/>
  <c r="CS75" i="3"/>
  <c r="CS48" i="3"/>
  <c r="CS76" i="3"/>
  <c r="CS77" i="3"/>
  <c r="CS78" i="3"/>
  <c r="CS79" i="3"/>
  <c r="CS52" i="3"/>
  <c r="CS80" i="3"/>
  <c r="CS81" i="3"/>
  <c r="CS65" i="3"/>
  <c r="CS66" i="3"/>
  <c r="CS67" i="3"/>
  <c r="CS68" i="3"/>
  <c r="CS69" i="3"/>
  <c r="CS70" i="3"/>
  <c r="CS71" i="3"/>
  <c r="CS86" i="3"/>
  <c r="CT47" i="3"/>
  <c r="CT75" i="3"/>
  <c r="CT48" i="3"/>
  <c r="CT76" i="3"/>
  <c r="CT49" i="3"/>
  <c r="CT77" i="3"/>
  <c r="CT78" i="3"/>
  <c r="CT79" i="3"/>
  <c r="CT52" i="3"/>
  <c r="CT80" i="3"/>
  <c r="CT81" i="3"/>
  <c r="CT65" i="3"/>
  <c r="CT66" i="3"/>
  <c r="CT67" i="3"/>
  <c r="CT68" i="3"/>
  <c r="CT69" i="3"/>
  <c r="CT70" i="3"/>
  <c r="CT71" i="3"/>
  <c r="CT86" i="3"/>
  <c r="CU75" i="3"/>
  <c r="CU76" i="3"/>
  <c r="CU77" i="3"/>
  <c r="CU78" i="3"/>
  <c r="CU79" i="3"/>
  <c r="CU52" i="3"/>
  <c r="CU80" i="3"/>
  <c r="CU81" i="3"/>
  <c r="CU65" i="3"/>
  <c r="CU66" i="3"/>
  <c r="CU67" i="3"/>
  <c r="CU68" i="3"/>
  <c r="CU69" i="3"/>
  <c r="CU70" i="3"/>
  <c r="CU71" i="3"/>
  <c r="CU86" i="3"/>
  <c r="CV75" i="3"/>
  <c r="CV76" i="3"/>
  <c r="CV77" i="3"/>
  <c r="CV78" i="3"/>
  <c r="CV51" i="3"/>
  <c r="CV79" i="3"/>
  <c r="CV52" i="3"/>
  <c r="CV80" i="3"/>
  <c r="CV81" i="3"/>
  <c r="CV65" i="3"/>
  <c r="CV66" i="3"/>
  <c r="CV67" i="3"/>
  <c r="CV68" i="3"/>
  <c r="CV69" i="3"/>
  <c r="CV70" i="3"/>
  <c r="CV71" i="3"/>
  <c r="CV86" i="3"/>
  <c r="CW75" i="3"/>
  <c r="CW48" i="3"/>
  <c r="CW76" i="3"/>
  <c r="CW49" i="3"/>
  <c r="CW77" i="3"/>
  <c r="CW78" i="3"/>
  <c r="CW51" i="3"/>
  <c r="CW79" i="3"/>
  <c r="CW52" i="3"/>
  <c r="CW80" i="3"/>
  <c r="CW81" i="3"/>
  <c r="CW65" i="3"/>
  <c r="CW66" i="3"/>
  <c r="CW67" i="3"/>
  <c r="CW68" i="3"/>
  <c r="CW69" i="3"/>
  <c r="CW70" i="3"/>
  <c r="CW71" i="3"/>
  <c r="CW86" i="3"/>
  <c r="CX47" i="3"/>
  <c r="CX75" i="3"/>
  <c r="CX48" i="3"/>
  <c r="CX76" i="3"/>
  <c r="CX49" i="3"/>
  <c r="CX77" i="3"/>
  <c r="CX50" i="3"/>
  <c r="CX78" i="3"/>
  <c r="CX51" i="3"/>
  <c r="CX79" i="3"/>
  <c r="CX52" i="3"/>
  <c r="CX80" i="3"/>
  <c r="CX81" i="3"/>
  <c r="CX65" i="3"/>
  <c r="CX66" i="3"/>
  <c r="CX67" i="3"/>
  <c r="CX68" i="3"/>
  <c r="CX69" i="3"/>
  <c r="CX70" i="3"/>
  <c r="CX71" i="3"/>
  <c r="CX86" i="3"/>
  <c r="CY81" i="3"/>
  <c r="CY65" i="3"/>
  <c r="CY66" i="3"/>
  <c r="CY67" i="3"/>
  <c r="CY68" i="3"/>
  <c r="CY69" i="3"/>
  <c r="CY70" i="3"/>
  <c r="CY71" i="3"/>
  <c r="CY86" i="3"/>
  <c r="CZ75" i="3"/>
  <c r="CZ48" i="3"/>
  <c r="CZ76" i="3"/>
  <c r="CZ49" i="3"/>
  <c r="CZ77" i="3"/>
  <c r="CZ78" i="3"/>
  <c r="CZ51" i="3"/>
  <c r="CZ79" i="3"/>
  <c r="CZ52" i="3"/>
  <c r="CZ80" i="3"/>
  <c r="CZ81" i="3"/>
  <c r="CZ65" i="3"/>
  <c r="CZ66" i="3"/>
  <c r="CZ67" i="3"/>
  <c r="CZ68" i="3"/>
  <c r="CZ69" i="3"/>
  <c r="CZ70" i="3"/>
  <c r="CZ71" i="3"/>
  <c r="CZ86" i="3"/>
  <c r="DA47" i="3"/>
  <c r="DA75" i="3"/>
  <c r="DA48" i="3"/>
  <c r="DA76" i="3"/>
  <c r="DA49" i="3"/>
  <c r="DA77" i="3"/>
  <c r="DA78" i="3"/>
  <c r="DA51" i="3"/>
  <c r="DA79" i="3"/>
  <c r="DA52" i="3"/>
  <c r="DA80" i="3"/>
  <c r="DA81" i="3"/>
  <c r="DA65" i="3"/>
  <c r="DA66" i="3"/>
  <c r="DA67" i="3"/>
  <c r="DA68" i="3"/>
  <c r="DA69" i="3"/>
  <c r="DA70" i="3"/>
  <c r="DA71" i="3"/>
  <c r="DA86" i="3"/>
  <c r="DB47" i="3"/>
  <c r="DB75" i="3"/>
  <c r="DB48" i="3"/>
  <c r="DB76" i="3"/>
  <c r="DB49" i="3"/>
  <c r="DB77" i="3"/>
  <c r="DB78" i="3"/>
  <c r="DB51" i="3"/>
  <c r="DB79" i="3"/>
  <c r="DB52" i="3"/>
  <c r="DB80" i="3"/>
  <c r="DB81" i="3"/>
  <c r="DB65" i="3"/>
  <c r="DB66" i="3"/>
  <c r="DB67" i="3"/>
  <c r="DB68" i="3"/>
  <c r="DB69" i="3"/>
  <c r="DB70" i="3"/>
  <c r="DB71" i="3"/>
  <c r="DB86" i="3"/>
  <c r="DC47" i="3"/>
  <c r="DC75" i="3"/>
  <c r="DC76" i="3"/>
  <c r="DC77" i="3"/>
  <c r="DC78" i="3"/>
  <c r="DC79" i="3"/>
  <c r="DC52" i="3"/>
  <c r="DC80" i="3"/>
  <c r="DC81" i="3"/>
  <c r="DC65" i="3"/>
  <c r="DC66" i="3"/>
  <c r="DC67" i="3"/>
  <c r="DC68" i="3"/>
  <c r="DC69" i="3"/>
  <c r="DC70" i="3"/>
  <c r="DC71" i="3"/>
  <c r="DC86" i="3"/>
  <c r="DD47" i="3"/>
  <c r="DD75" i="3"/>
  <c r="DD48" i="3"/>
  <c r="DD76" i="3"/>
  <c r="DD77" i="3"/>
  <c r="DD78" i="3"/>
  <c r="DD51" i="3"/>
  <c r="DD79" i="3"/>
  <c r="DD52" i="3"/>
  <c r="DD80" i="3"/>
  <c r="DD81" i="3"/>
  <c r="DD65" i="3"/>
  <c r="DD66" i="3"/>
  <c r="DD67" i="3"/>
  <c r="DD68" i="3"/>
  <c r="DD69" i="3"/>
  <c r="DD70" i="3"/>
  <c r="DD71" i="3"/>
  <c r="DD86" i="3"/>
  <c r="DE47" i="3"/>
  <c r="DE75" i="3"/>
  <c r="DE48" i="3"/>
  <c r="DE76" i="3"/>
  <c r="DE49" i="3"/>
  <c r="DE77" i="3"/>
  <c r="DE50" i="3"/>
  <c r="DE78" i="3"/>
  <c r="DE51" i="3"/>
  <c r="DE79" i="3"/>
  <c r="DE52" i="3"/>
  <c r="DE80" i="3"/>
  <c r="DE81" i="3"/>
  <c r="DE65" i="3"/>
  <c r="DE66" i="3"/>
  <c r="DE67" i="3"/>
  <c r="DE68" i="3"/>
  <c r="DE69" i="3"/>
  <c r="DE70" i="3"/>
  <c r="DE71" i="3"/>
  <c r="DE86" i="3"/>
  <c r="DF47" i="3"/>
  <c r="DF75" i="3"/>
  <c r="DF48" i="3"/>
  <c r="DF76" i="3"/>
  <c r="DF49" i="3"/>
  <c r="DF77" i="3"/>
  <c r="DF78" i="3"/>
  <c r="DF51" i="3"/>
  <c r="DF79" i="3"/>
  <c r="DF52" i="3"/>
  <c r="DF80" i="3"/>
  <c r="DF81" i="3"/>
  <c r="DF65" i="3"/>
  <c r="DF66" i="3"/>
  <c r="DF67" i="3"/>
  <c r="DF68" i="3"/>
  <c r="DF69" i="3"/>
  <c r="DF70" i="3"/>
  <c r="DF71" i="3"/>
  <c r="DF86" i="3"/>
  <c r="DG75" i="3"/>
  <c r="DG48" i="3"/>
  <c r="DG76" i="3"/>
  <c r="DG77" i="3"/>
  <c r="DG78" i="3"/>
  <c r="DG79" i="3"/>
  <c r="DG80" i="3"/>
  <c r="DG81" i="3"/>
  <c r="DG65" i="3"/>
  <c r="DG66" i="3"/>
  <c r="DG67" i="3"/>
  <c r="DG68" i="3"/>
  <c r="DG69" i="3"/>
  <c r="DG70" i="3"/>
  <c r="DG71" i="3"/>
  <c r="DG86" i="3"/>
  <c r="DH75" i="3"/>
  <c r="DH76" i="3"/>
  <c r="DH77" i="3"/>
  <c r="DH78" i="3"/>
  <c r="DH79" i="3"/>
  <c r="DH52" i="3"/>
  <c r="DH80" i="3"/>
  <c r="DH81" i="3"/>
  <c r="DH65" i="3"/>
  <c r="DH66" i="3"/>
  <c r="DH67" i="3"/>
  <c r="DH68" i="3"/>
  <c r="DH69" i="3"/>
  <c r="DH70" i="3"/>
  <c r="DH71" i="3"/>
  <c r="DH86" i="3"/>
  <c r="DI75" i="3"/>
  <c r="DI76" i="3"/>
  <c r="DI49" i="3"/>
  <c r="DI77" i="3"/>
  <c r="DI78" i="3"/>
  <c r="DI79" i="3"/>
  <c r="DI80" i="3"/>
  <c r="DI81" i="3"/>
  <c r="DI65" i="3"/>
  <c r="DI66" i="3"/>
  <c r="DI67" i="3"/>
  <c r="DI68" i="3"/>
  <c r="DI69" i="3"/>
  <c r="DI70" i="3"/>
  <c r="DI71" i="3"/>
  <c r="DI86" i="3"/>
  <c r="DJ47" i="3"/>
  <c r="DJ75" i="3"/>
  <c r="DJ76" i="3"/>
  <c r="DJ49" i="3"/>
  <c r="DJ77" i="3"/>
  <c r="DJ78" i="3"/>
  <c r="DJ51" i="3"/>
  <c r="DJ79" i="3"/>
  <c r="DJ80" i="3"/>
  <c r="DJ81" i="3"/>
  <c r="DJ65" i="3"/>
  <c r="DJ66" i="3"/>
  <c r="DJ67" i="3"/>
  <c r="DJ68" i="3"/>
  <c r="DJ69" i="3"/>
  <c r="DJ70" i="3"/>
  <c r="DJ71" i="3"/>
  <c r="DJ86" i="3"/>
  <c r="DK47" i="3"/>
  <c r="DK75" i="3"/>
  <c r="DK76" i="3"/>
  <c r="DK49" i="3"/>
  <c r="DK77" i="3"/>
  <c r="DK78" i="3"/>
  <c r="DK51" i="3"/>
  <c r="DK79" i="3"/>
  <c r="DK52" i="3"/>
  <c r="DK80" i="3"/>
  <c r="DK81" i="3"/>
  <c r="DK65" i="3"/>
  <c r="DK66" i="3"/>
  <c r="DK67" i="3"/>
  <c r="DK68" i="3"/>
  <c r="DK69" i="3"/>
  <c r="DK70" i="3"/>
  <c r="DK71" i="3"/>
  <c r="DK86" i="3"/>
  <c r="DL47" i="3"/>
  <c r="DL75" i="3"/>
  <c r="DL48" i="3"/>
  <c r="DL76" i="3"/>
  <c r="DL77" i="3"/>
  <c r="DL78" i="3"/>
  <c r="DL51" i="3"/>
  <c r="DL79" i="3"/>
  <c r="DL52" i="3"/>
  <c r="DL80" i="3"/>
  <c r="DL81" i="3"/>
  <c r="DL65" i="3"/>
  <c r="DL66" i="3"/>
  <c r="DL67" i="3"/>
  <c r="DL68" i="3"/>
  <c r="DL69" i="3"/>
  <c r="DL70" i="3"/>
  <c r="DL71" i="3"/>
  <c r="DL86" i="3"/>
  <c r="DM47" i="3"/>
  <c r="DM75" i="3"/>
  <c r="DM48" i="3"/>
  <c r="DM76" i="3"/>
  <c r="DM49" i="3"/>
  <c r="DM77" i="3"/>
  <c r="DM78" i="3"/>
  <c r="DM51" i="3"/>
  <c r="DM79" i="3"/>
  <c r="DM52" i="3"/>
  <c r="DM80" i="3"/>
  <c r="DM81" i="3"/>
  <c r="DM65" i="3"/>
  <c r="DM66" i="3"/>
  <c r="DM67" i="3"/>
  <c r="DM68" i="3"/>
  <c r="DM69" i="3"/>
  <c r="DM70" i="3"/>
  <c r="DM71" i="3"/>
  <c r="DM86" i="3"/>
  <c r="DN47" i="3"/>
  <c r="DN75" i="3"/>
  <c r="DN48" i="3"/>
  <c r="DN76" i="3"/>
  <c r="DN77" i="3"/>
  <c r="DN78" i="3"/>
  <c r="DN51" i="3"/>
  <c r="DN79" i="3"/>
  <c r="DN52" i="3"/>
  <c r="DN80" i="3"/>
  <c r="DN81" i="3"/>
  <c r="DN65" i="3"/>
  <c r="DN66" i="3"/>
  <c r="DN67" i="3"/>
  <c r="DN68" i="3"/>
  <c r="DN69" i="3"/>
  <c r="DN70" i="3"/>
  <c r="DN71" i="3"/>
  <c r="DN86" i="3"/>
  <c r="DO47" i="3"/>
  <c r="DO75" i="3"/>
  <c r="DO48" i="3"/>
  <c r="DO76" i="3"/>
  <c r="DO49" i="3"/>
  <c r="DO77" i="3"/>
  <c r="DO78" i="3"/>
  <c r="DO51" i="3"/>
  <c r="DO79" i="3"/>
  <c r="DO52" i="3"/>
  <c r="DO80" i="3"/>
  <c r="DO81" i="3"/>
  <c r="DO65" i="3"/>
  <c r="DO66" i="3"/>
  <c r="DO67" i="3"/>
  <c r="DO68" i="3"/>
  <c r="DO69" i="3"/>
  <c r="DO70" i="3"/>
  <c r="DO71" i="3"/>
  <c r="DO86" i="3"/>
  <c r="DP47" i="3"/>
  <c r="DP75" i="3"/>
  <c r="DP48" i="3"/>
  <c r="DP76" i="3"/>
  <c r="DP49" i="3"/>
  <c r="DP77" i="3"/>
  <c r="DP50" i="3"/>
  <c r="DP78" i="3"/>
  <c r="DP51" i="3"/>
  <c r="DP79" i="3"/>
  <c r="DP52" i="3"/>
  <c r="DP80" i="3"/>
  <c r="DP81" i="3"/>
  <c r="DP65" i="3"/>
  <c r="DP66" i="3"/>
  <c r="DP67" i="3"/>
  <c r="DP68" i="3"/>
  <c r="DP69" i="3"/>
  <c r="DP70" i="3"/>
  <c r="DP71" i="3"/>
  <c r="DP86" i="3"/>
  <c r="DQ47" i="3"/>
  <c r="DQ75" i="3"/>
  <c r="DQ48" i="3"/>
  <c r="DQ76" i="3"/>
  <c r="DQ49" i="3"/>
  <c r="DQ77" i="3"/>
  <c r="DQ50" i="3"/>
  <c r="DQ78" i="3"/>
  <c r="DQ51" i="3"/>
  <c r="DQ79" i="3"/>
  <c r="DQ52" i="3"/>
  <c r="DQ80" i="3"/>
  <c r="DQ81" i="3"/>
  <c r="DQ65" i="3"/>
  <c r="DQ66" i="3"/>
  <c r="DQ67" i="3"/>
  <c r="DQ68" i="3"/>
  <c r="DQ69" i="3"/>
  <c r="DQ70" i="3"/>
  <c r="DQ71" i="3"/>
  <c r="DQ86" i="3"/>
  <c r="DR47" i="3"/>
  <c r="DR75" i="3"/>
  <c r="DR48" i="3"/>
  <c r="DR76" i="3"/>
  <c r="DR49" i="3"/>
  <c r="DR77" i="3"/>
  <c r="DR78" i="3"/>
  <c r="DR51" i="3"/>
  <c r="DR79" i="3"/>
  <c r="DR52" i="3"/>
  <c r="DR80" i="3"/>
  <c r="DR81" i="3"/>
  <c r="DR65" i="3"/>
  <c r="DR66" i="3"/>
  <c r="DR67" i="3"/>
  <c r="DR68" i="3"/>
  <c r="DR69" i="3"/>
  <c r="DR70" i="3"/>
  <c r="DR71" i="3"/>
  <c r="DR86" i="3"/>
  <c r="DS75" i="3"/>
  <c r="DS76" i="3"/>
  <c r="DS77" i="3"/>
  <c r="DS78" i="3"/>
  <c r="DS79" i="3"/>
  <c r="DS52" i="3"/>
  <c r="DS80" i="3"/>
  <c r="DS81" i="3"/>
  <c r="DS65" i="3"/>
  <c r="DS66" i="3"/>
  <c r="DS67" i="3"/>
  <c r="DS68" i="3"/>
  <c r="DS69" i="3"/>
  <c r="DS70" i="3"/>
  <c r="DS71" i="3"/>
  <c r="DS86" i="3"/>
  <c r="DT75" i="3"/>
  <c r="DT76" i="3"/>
  <c r="DT77" i="3"/>
  <c r="DT78" i="3"/>
  <c r="DT79" i="3"/>
  <c r="DT80" i="3"/>
  <c r="DT81" i="3"/>
  <c r="DT65" i="3"/>
  <c r="DT66" i="3"/>
  <c r="DT67" i="3"/>
  <c r="DT68" i="3"/>
  <c r="DT69" i="3"/>
  <c r="DT70" i="3"/>
  <c r="DT71" i="3"/>
  <c r="DT86" i="3"/>
  <c r="DU75" i="3"/>
  <c r="DU48" i="3"/>
  <c r="DU76" i="3"/>
  <c r="DU77" i="3"/>
  <c r="DU78" i="3"/>
  <c r="DU51" i="3"/>
  <c r="DU79" i="3"/>
  <c r="DU52" i="3"/>
  <c r="DU80" i="3"/>
  <c r="DU81" i="3"/>
  <c r="DU65" i="3"/>
  <c r="DU66" i="3"/>
  <c r="DU67" i="3"/>
  <c r="DU68" i="3"/>
  <c r="DU69" i="3"/>
  <c r="DU70" i="3"/>
  <c r="DU71" i="3"/>
  <c r="DU86" i="3"/>
  <c r="DV75" i="3"/>
  <c r="DV76" i="3"/>
  <c r="DV77" i="3"/>
  <c r="DV78" i="3"/>
  <c r="DV79" i="3"/>
  <c r="DV52" i="3"/>
  <c r="DV80" i="3"/>
  <c r="DV81" i="3"/>
  <c r="DV65" i="3"/>
  <c r="DV66" i="3"/>
  <c r="DV67" i="3"/>
  <c r="DV68" i="3"/>
  <c r="DV69" i="3"/>
  <c r="DV70" i="3"/>
  <c r="DV71" i="3"/>
  <c r="DV86" i="3"/>
  <c r="DW75" i="3"/>
  <c r="DW76" i="3"/>
  <c r="DW77" i="3"/>
  <c r="DW78" i="3"/>
  <c r="DW79" i="3"/>
  <c r="DW52" i="3"/>
  <c r="DW80" i="3"/>
  <c r="DW81" i="3"/>
  <c r="DW65" i="3"/>
  <c r="DW66" i="3"/>
  <c r="DW67" i="3"/>
  <c r="DW68" i="3"/>
  <c r="DW69" i="3"/>
  <c r="DW70" i="3"/>
  <c r="DW71" i="3"/>
  <c r="DW86" i="3"/>
  <c r="DX47" i="3"/>
  <c r="DX75" i="3"/>
  <c r="DX48" i="3"/>
  <c r="DX76" i="3"/>
  <c r="DX49" i="3"/>
  <c r="DX77" i="3"/>
  <c r="DX78" i="3"/>
  <c r="DX79" i="3"/>
  <c r="DX52" i="3"/>
  <c r="DX80" i="3"/>
  <c r="DX81" i="3"/>
  <c r="DX65" i="3"/>
  <c r="DX66" i="3"/>
  <c r="DX67" i="3"/>
  <c r="DX68" i="3"/>
  <c r="DX69" i="3"/>
  <c r="DX70" i="3"/>
  <c r="DX71" i="3"/>
  <c r="DX86" i="3"/>
  <c r="DY81" i="3"/>
  <c r="DY65" i="3"/>
  <c r="DY66" i="3"/>
  <c r="DY67" i="3"/>
  <c r="DY68" i="3"/>
  <c r="DY69" i="3"/>
  <c r="DY70" i="3"/>
  <c r="DY71" i="3"/>
  <c r="DY86" i="3"/>
  <c r="DZ47" i="3"/>
  <c r="DZ75" i="3"/>
  <c r="DZ48" i="3"/>
  <c r="DZ76" i="3"/>
  <c r="DZ49" i="3"/>
  <c r="DZ77" i="3"/>
  <c r="DZ78" i="3"/>
  <c r="DZ51" i="3"/>
  <c r="DZ79" i="3"/>
  <c r="DZ52" i="3"/>
  <c r="DZ80" i="3"/>
  <c r="DZ81" i="3"/>
  <c r="DZ65" i="3"/>
  <c r="DZ66" i="3"/>
  <c r="DZ67" i="3"/>
  <c r="DZ68" i="3"/>
  <c r="DZ69" i="3"/>
  <c r="DZ70" i="3"/>
  <c r="DZ71" i="3"/>
  <c r="DZ86" i="3"/>
  <c r="EA75" i="3"/>
  <c r="EA76" i="3"/>
  <c r="EA77" i="3"/>
  <c r="EA78" i="3"/>
  <c r="EA51" i="3"/>
  <c r="EA79" i="3"/>
  <c r="EA52" i="3"/>
  <c r="EA80" i="3"/>
  <c r="EA81" i="3"/>
  <c r="EA65" i="3"/>
  <c r="EA66" i="3"/>
  <c r="EA67" i="3"/>
  <c r="EA68" i="3"/>
  <c r="EA69" i="3"/>
  <c r="EA70" i="3"/>
  <c r="EA71" i="3"/>
  <c r="EA86" i="3"/>
  <c r="EB75" i="3"/>
  <c r="EB76" i="3"/>
  <c r="EB77" i="3"/>
  <c r="EB78" i="3"/>
  <c r="EB79" i="3"/>
  <c r="EB80" i="3"/>
  <c r="EB81" i="3"/>
  <c r="EB65" i="3"/>
  <c r="EB66" i="3"/>
  <c r="EB67" i="3"/>
  <c r="EB68" i="3"/>
  <c r="EB69" i="3"/>
  <c r="EB70" i="3"/>
  <c r="EB71" i="3"/>
  <c r="EB86" i="3"/>
  <c r="EC75" i="3"/>
  <c r="EC48" i="3"/>
  <c r="EC76" i="3"/>
  <c r="EC77" i="3"/>
  <c r="EC50" i="3"/>
  <c r="EC78" i="3"/>
  <c r="EC79" i="3"/>
  <c r="EC52" i="3"/>
  <c r="EC80" i="3"/>
  <c r="EC81" i="3"/>
  <c r="EC65" i="3"/>
  <c r="EC66" i="3"/>
  <c r="EC67" i="3"/>
  <c r="EC68" i="3"/>
  <c r="EC69" i="3"/>
  <c r="EC70" i="3"/>
  <c r="EC71" i="3"/>
  <c r="EC86" i="3"/>
  <c r="ED47" i="3"/>
  <c r="ED75" i="3"/>
  <c r="ED48" i="3"/>
  <c r="ED76" i="3"/>
  <c r="ED49" i="3"/>
  <c r="ED77" i="3"/>
  <c r="ED50" i="3"/>
  <c r="ED78" i="3"/>
  <c r="ED51" i="3"/>
  <c r="ED79" i="3"/>
  <c r="ED52" i="3"/>
  <c r="ED80" i="3"/>
  <c r="ED81" i="3"/>
  <c r="ED65" i="3"/>
  <c r="ED66" i="3"/>
  <c r="ED67" i="3"/>
  <c r="ED68" i="3"/>
  <c r="ED69" i="3"/>
  <c r="ED70" i="3"/>
  <c r="ED71" i="3"/>
  <c r="ED86" i="3"/>
  <c r="EE47" i="3"/>
  <c r="EE75" i="3"/>
  <c r="EE48" i="3"/>
  <c r="EE76" i="3"/>
  <c r="EE77" i="3"/>
  <c r="EE78" i="3"/>
  <c r="EE51" i="3"/>
  <c r="EE79" i="3"/>
  <c r="EE52" i="3"/>
  <c r="EE80" i="3"/>
  <c r="EE81" i="3"/>
  <c r="EE65" i="3"/>
  <c r="EE66" i="3"/>
  <c r="EE67" i="3"/>
  <c r="EE68" i="3"/>
  <c r="EE69" i="3"/>
  <c r="EE70" i="3"/>
  <c r="EE71" i="3"/>
  <c r="EE86" i="3"/>
  <c r="EF47" i="3"/>
  <c r="EF75" i="3"/>
  <c r="EF48" i="3"/>
  <c r="EF76" i="3"/>
  <c r="EF49" i="3"/>
  <c r="EF77" i="3"/>
  <c r="EF78" i="3"/>
  <c r="EF51" i="3"/>
  <c r="EF79" i="3"/>
  <c r="EF52" i="3"/>
  <c r="EF80" i="3"/>
  <c r="EF81" i="3"/>
  <c r="EF65" i="3"/>
  <c r="EF66" i="3"/>
  <c r="EF67" i="3"/>
  <c r="EF68" i="3"/>
  <c r="EF69" i="3"/>
  <c r="EF70" i="3"/>
  <c r="EF71" i="3"/>
  <c r="EF86" i="3"/>
  <c r="EG75" i="3"/>
  <c r="EG48" i="3"/>
  <c r="EG76" i="3"/>
  <c r="EG49" i="3"/>
  <c r="EG77" i="3"/>
  <c r="EG78" i="3"/>
  <c r="EG51" i="3"/>
  <c r="EG79" i="3"/>
  <c r="EG52" i="3"/>
  <c r="EG80" i="3"/>
  <c r="EG81" i="3"/>
  <c r="EG65" i="3"/>
  <c r="EG66" i="3"/>
  <c r="EG67" i="3"/>
  <c r="EG68" i="3"/>
  <c r="EG69" i="3"/>
  <c r="EG70" i="3"/>
  <c r="EG71" i="3"/>
  <c r="EG86" i="3"/>
  <c r="EH75" i="3"/>
  <c r="EH76" i="3"/>
  <c r="EH77" i="3"/>
  <c r="EH78" i="3"/>
  <c r="EH51" i="3"/>
  <c r="EH79" i="3"/>
  <c r="EH52" i="3"/>
  <c r="EH80" i="3"/>
  <c r="EH81" i="3"/>
  <c r="EH65" i="3"/>
  <c r="EH66" i="3"/>
  <c r="EH67" i="3"/>
  <c r="EH68" i="3"/>
  <c r="EH69" i="3"/>
  <c r="EH70" i="3"/>
  <c r="EH71" i="3"/>
  <c r="EH86" i="3"/>
  <c r="EI47" i="3"/>
  <c r="EI75" i="3"/>
  <c r="EI76" i="3"/>
  <c r="EI77" i="3"/>
  <c r="EI78" i="3"/>
  <c r="EI79" i="3"/>
  <c r="EI80" i="3"/>
  <c r="EI81" i="3"/>
  <c r="EI65" i="3"/>
  <c r="EI66" i="3"/>
  <c r="EI67" i="3"/>
  <c r="EI68" i="3"/>
  <c r="EI69" i="3"/>
  <c r="EI70" i="3"/>
  <c r="EI71" i="3"/>
  <c r="EI86" i="3"/>
  <c r="EJ75" i="3"/>
  <c r="EJ76" i="3"/>
  <c r="EJ77" i="3"/>
  <c r="EJ78" i="3"/>
  <c r="EJ79" i="3"/>
  <c r="EJ80" i="3"/>
  <c r="EJ81" i="3"/>
  <c r="EJ65" i="3"/>
  <c r="EJ66" i="3"/>
  <c r="EJ67" i="3"/>
  <c r="EJ68" i="3"/>
  <c r="EJ69" i="3"/>
  <c r="EJ70" i="3"/>
  <c r="EJ71" i="3"/>
  <c r="EJ86" i="3"/>
  <c r="EK75" i="3"/>
  <c r="EK76" i="3"/>
  <c r="EK77" i="3"/>
  <c r="EK78" i="3"/>
  <c r="EK79" i="3"/>
  <c r="EK80" i="3"/>
  <c r="EK81" i="3"/>
  <c r="EK65" i="3"/>
  <c r="EK66" i="3"/>
  <c r="EK67" i="3"/>
  <c r="EK68" i="3"/>
  <c r="EK69" i="3"/>
  <c r="EK70" i="3"/>
  <c r="EK71" i="3"/>
  <c r="EK86" i="3"/>
  <c r="EL75" i="3"/>
  <c r="EL48" i="3"/>
  <c r="EL76" i="3"/>
  <c r="EL49" i="3"/>
  <c r="EL77" i="3"/>
  <c r="EL50" i="3"/>
  <c r="EL78" i="3"/>
  <c r="EL79" i="3"/>
  <c r="EL80" i="3"/>
  <c r="EL81" i="3"/>
  <c r="EL65" i="3"/>
  <c r="EL66" i="3"/>
  <c r="EL67" i="3"/>
  <c r="EL68" i="3"/>
  <c r="EL69" i="3"/>
  <c r="EL70" i="3"/>
  <c r="EL71" i="3"/>
  <c r="EL86" i="3"/>
  <c r="EM75" i="3"/>
  <c r="EM76" i="3"/>
  <c r="EM49" i="3"/>
  <c r="EM77" i="3"/>
  <c r="EM78" i="3"/>
  <c r="EM79" i="3"/>
  <c r="EM52" i="3"/>
  <c r="EM80" i="3"/>
  <c r="EM81" i="3"/>
  <c r="EM65" i="3"/>
  <c r="EM66" i="3"/>
  <c r="EM67" i="3"/>
  <c r="EM68" i="3"/>
  <c r="EM69" i="3"/>
  <c r="EM70" i="3"/>
  <c r="EM71" i="3"/>
  <c r="EM86" i="3"/>
  <c r="EN47" i="3"/>
  <c r="EN75" i="3"/>
  <c r="EN76" i="3"/>
  <c r="EN77" i="3"/>
  <c r="EN78" i="3"/>
  <c r="EN79" i="3"/>
  <c r="EN80" i="3"/>
  <c r="EN81" i="3"/>
  <c r="EN65" i="3"/>
  <c r="EN66" i="3"/>
  <c r="EN67" i="3"/>
  <c r="EN68" i="3"/>
  <c r="EN69" i="3"/>
  <c r="EN70" i="3"/>
  <c r="EN71" i="3"/>
  <c r="EN86" i="3"/>
  <c r="EO47" i="3"/>
  <c r="EO75" i="3"/>
  <c r="EO48" i="3"/>
  <c r="EO76" i="3"/>
  <c r="EO77" i="3"/>
  <c r="EO78" i="3"/>
  <c r="EO51" i="3"/>
  <c r="EO79" i="3"/>
  <c r="EO52" i="3"/>
  <c r="EO80" i="3"/>
  <c r="EO81" i="3"/>
  <c r="EO65" i="3"/>
  <c r="EO66" i="3"/>
  <c r="EO67" i="3"/>
  <c r="EO68" i="3"/>
  <c r="EO69" i="3"/>
  <c r="EO70" i="3"/>
  <c r="EO71" i="3"/>
  <c r="EO86" i="3"/>
  <c r="EQ71" i="3"/>
  <c r="EQ81" i="3"/>
  <c r="EQ86" i="3"/>
  <c r="ER71" i="3"/>
  <c r="ER81" i="3"/>
  <c r="ER86" i="3"/>
  <c r="ES71" i="3"/>
  <c r="ES81" i="3"/>
  <c r="ES86" i="3"/>
  <c r="ET71" i="3"/>
  <c r="ET81" i="3"/>
  <c r="ET86" i="3"/>
  <c r="EU71" i="3"/>
  <c r="EU81" i="3"/>
  <c r="EU86" i="3"/>
  <c r="EV71" i="3"/>
  <c r="EV81" i="3"/>
  <c r="EV86" i="3"/>
  <c r="EW71" i="3"/>
  <c r="EW81" i="3"/>
  <c r="EW86" i="3"/>
  <c r="EX71" i="3"/>
  <c r="EX81" i="3"/>
  <c r="EX86" i="3"/>
  <c r="EY71" i="3"/>
  <c r="EY81" i="3"/>
  <c r="EY86" i="3"/>
  <c r="EZ71" i="3"/>
  <c r="EZ81" i="3"/>
  <c r="EZ86" i="3"/>
  <c r="FA71" i="3"/>
  <c r="FA81" i="3"/>
  <c r="FA86" i="3"/>
  <c r="FB71" i="3"/>
  <c r="FB81" i="3"/>
  <c r="FB86" i="3"/>
  <c r="FC71" i="3"/>
  <c r="FC81" i="3"/>
  <c r="FC86" i="3"/>
  <c r="FD71" i="3"/>
  <c r="FD81" i="3"/>
  <c r="FD86" i="3"/>
  <c r="FE71" i="3"/>
  <c r="FE81" i="3"/>
  <c r="FE86" i="3"/>
  <c r="FF71" i="3"/>
  <c r="FF81" i="3"/>
  <c r="FF86" i="3"/>
  <c r="FG71" i="3"/>
  <c r="FG81" i="3"/>
  <c r="FG86" i="3"/>
  <c r="FH71" i="3"/>
  <c r="FH81" i="3"/>
  <c r="FH86" i="3"/>
  <c r="FI71" i="3"/>
  <c r="FI81" i="3"/>
  <c r="FI86" i="3"/>
  <c r="C75" i="3"/>
  <c r="C76" i="3"/>
  <c r="C77" i="3"/>
  <c r="C78" i="3"/>
  <c r="C79" i="3"/>
  <c r="C80" i="3"/>
  <c r="C81" i="3"/>
  <c r="C65" i="3"/>
  <c r="C66" i="3"/>
  <c r="C67" i="3"/>
  <c r="C68" i="3"/>
  <c r="C69" i="3"/>
  <c r="C70" i="3"/>
  <c r="C71" i="3"/>
  <c r="C86" i="3"/>
  <c r="AV69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V65" i="3"/>
  <c r="AV66" i="3"/>
  <c r="AV67" i="3"/>
  <c r="AV68" i="3"/>
  <c r="AV70" i="3"/>
  <c r="AV85" i="3"/>
  <c r="AW85" i="3"/>
  <c r="AX85" i="3"/>
  <c r="AY85" i="3"/>
  <c r="AZ85" i="3"/>
  <c r="BA85" i="3"/>
  <c r="BB85" i="3"/>
  <c r="BC85" i="3"/>
  <c r="BD85" i="3"/>
  <c r="BE85" i="3"/>
  <c r="BF85" i="3"/>
  <c r="BG85" i="3"/>
  <c r="BH85" i="3"/>
  <c r="BI85" i="3"/>
  <c r="BJ85" i="3"/>
  <c r="BK85" i="3"/>
  <c r="BL85" i="3"/>
  <c r="BM85" i="3"/>
  <c r="BN85" i="3"/>
  <c r="BO85" i="3"/>
  <c r="BP85" i="3"/>
  <c r="BQ85" i="3"/>
  <c r="BR85" i="3"/>
  <c r="BS85" i="3"/>
  <c r="BT85" i="3"/>
  <c r="BU85" i="3"/>
  <c r="BV85" i="3"/>
  <c r="BW85" i="3"/>
  <c r="BX85" i="3"/>
  <c r="BY85" i="3"/>
  <c r="BZ85" i="3"/>
  <c r="CA85" i="3"/>
  <c r="CB85" i="3"/>
  <c r="CC85" i="3"/>
  <c r="CD85" i="3"/>
  <c r="CE85" i="3"/>
  <c r="CF85" i="3"/>
  <c r="CG85" i="3"/>
  <c r="CH85" i="3"/>
  <c r="CI85" i="3"/>
  <c r="CJ85" i="3"/>
  <c r="CK85" i="3"/>
  <c r="CL85" i="3"/>
  <c r="CM85" i="3"/>
  <c r="CN85" i="3"/>
  <c r="CO85" i="3"/>
  <c r="CQ85" i="3"/>
  <c r="CR85" i="3"/>
  <c r="CS85" i="3"/>
  <c r="CT85" i="3"/>
  <c r="CU85" i="3"/>
  <c r="CV85" i="3"/>
  <c r="CW85" i="3"/>
  <c r="CX85" i="3"/>
  <c r="CY85" i="3"/>
  <c r="CZ85" i="3"/>
  <c r="DA85" i="3"/>
  <c r="DB85" i="3"/>
  <c r="DC85" i="3"/>
  <c r="DD85" i="3"/>
  <c r="DE85" i="3"/>
  <c r="DF85" i="3"/>
  <c r="DG85" i="3"/>
  <c r="DH85" i="3"/>
  <c r="DI85" i="3"/>
  <c r="DJ85" i="3"/>
  <c r="DK85" i="3"/>
  <c r="DL85" i="3"/>
  <c r="DM85" i="3"/>
  <c r="DN85" i="3"/>
  <c r="DO85" i="3"/>
  <c r="DP85" i="3"/>
  <c r="DQ85" i="3"/>
  <c r="DR85" i="3"/>
  <c r="DS85" i="3"/>
  <c r="DT85" i="3"/>
  <c r="DU85" i="3"/>
  <c r="DV85" i="3"/>
  <c r="DW85" i="3"/>
  <c r="DX85" i="3"/>
  <c r="DY85" i="3"/>
  <c r="DZ85" i="3"/>
  <c r="EA85" i="3"/>
  <c r="EB85" i="3"/>
  <c r="EC85" i="3"/>
  <c r="ED85" i="3"/>
  <c r="EE85" i="3"/>
  <c r="EF85" i="3"/>
  <c r="EG85" i="3"/>
  <c r="EH85" i="3"/>
  <c r="EI85" i="3"/>
  <c r="EJ85" i="3"/>
  <c r="EK85" i="3"/>
  <c r="EL85" i="3"/>
  <c r="EM85" i="3"/>
  <c r="EN85" i="3"/>
  <c r="EO85" i="3"/>
  <c r="EQ85" i="3"/>
  <c r="ER85" i="3"/>
  <c r="ES85" i="3"/>
  <c r="ET85" i="3"/>
  <c r="EU85" i="3"/>
  <c r="EV85" i="3"/>
  <c r="EW85" i="3"/>
  <c r="EX85" i="3"/>
  <c r="EY85" i="3"/>
  <c r="EZ85" i="3"/>
  <c r="FA85" i="3"/>
  <c r="FB85" i="3"/>
  <c r="FC85" i="3"/>
  <c r="FD85" i="3"/>
  <c r="FE85" i="3"/>
  <c r="FF85" i="3"/>
  <c r="FG85" i="3"/>
  <c r="FH85" i="3"/>
  <c r="FI85" i="3"/>
  <c r="C85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V82" i="3"/>
  <c r="AW82" i="3"/>
  <c r="AX82" i="3"/>
  <c r="AY82" i="3"/>
  <c r="AZ82" i="3"/>
  <c r="BA82" i="3"/>
  <c r="BB82" i="3"/>
  <c r="BC82" i="3"/>
  <c r="BD82" i="3"/>
  <c r="BE82" i="3"/>
  <c r="BF82" i="3"/>
  <c r="BG82" i="3"/>
  <c r="BH82" i="3"/>
  <c r="BI82" i="3"/>
  <c r="BJ82" i="3"/>
  <c r="BK82" i="3"/>
  <c r="BL82" i="3"/>
  <c r="BM82" i="3"/>
  <c r="BN82" i="3"/>
  <c r="BO82" i="3"/>
  <c r="BP82" i="3"/>
  <c r="BQ82" i="3"/>
  <c r="BR82" i="3"/>
  <c r="BS82" i="3"/>
  <c r="BT82" i="3"/>
  <c r="BU82" i="3"/>
  <c r="BV82" i="3"/>
  <c r="BW82" i="3"/>
  <c r="BX82" i="3"/>
  <c r="BY82" i="3"/>
  <c r="BZ82" i="3"/>
  <c r="CA82" i="3"/>
  <c r="CB82" i="3"/>
  <c r="CC82" i="3"/>
  <c r="CD82" i="3"/>
  <c r="CE82" i="3"/>
  <c r="CF82" i="3"/>
  <c r="CG82" i="3"/>
  <c r="CH82" i="3"/>
  <c r="CI82" i="3"/>
  <c r="CJ82" i="3"/>
  <c r="CK82" i="3"/>
  <c r="CL82" i="3"/>
  <c r="CM82" i="3"/>
  <c r="CN82" i="3"/>
  <c r="CO82" i="3"/>
  <c r="CQ82" i="3"/>
  <c r="CR82" i="3"/>
  <c r="CS82" i="3"/>
  <c r="CT82" i="3"/>
  <c r="CU82" i="3"/>
  <c r="CV82" i="3"/>
  <c r="CW82" i="3"/>
  <c r="CX82" i="3"/>
  <c r="CY82" i="3"/>
  <c r="CZ82" i="3"/>
  <c r="DA82" i="3"/>
  <c r="DB82" i="3"/>
  <c r="DC82" i="3"/>
  <c r="DD82" i="3"/>
  <c r="DE82" i="3"/>
  <c r="DF82" i="3"/>
  <c r="DG82" i="3"/>
  <c r="DH82" i="3"/>
  <c r="DI82" i="3"/>
  <c r="DJ82" i="3"/>
  <c r="DK82" i="3"/>
  <c r="DL82" i="3"/>
  <c r="DM82" i="3"/>
  <c r="DN82" i="3"/>
  <c r="DO82" i="3"/>
  <c r="DP82" i="3"/>
  <c r="DQ82" i="3"/>
  <c r="DR82" i="3"/>
  <c r="DS82" i="3"/>
  <c r="DT82" i="3"/>
  <c r="DU82" i="3"/>
  <c r="DV82" i="3"/>
  <c r="DW82" i="3"/>
  <c r="DX82" i="3"/>
  <c r="DY82" i="3"/>
  <c r="DZ82" i="3"/>
  <c r="EA82" i="3"/>
  <c r="EB82" i="3"/>
  <c r="EC82" i="3"/>
  <c r="ED82" i="3"/>
  <c r="EE82" i="3"/>
  <c r="EF82" i="3"/>
  <c r="EG82" i="3"/>
  <c r="EH82" i="3"/>
  <c r="EI82" i="3"/>
  <c r="EJ82" i="3"/>
  <c r="EK82" i="3"/>
  <c r="EL82" i="3"/>
  <c r="EM82" i="3"/>
  <c r="EN82" i="3"/>
  <c r="EO82" i="3"/>
  <c r="EQ82" i="3"/>
  <c r="ER82" i="3"/>
  <c r="ES82" i="3"/>
  <c r="ET82" i="3"/>
  <c r="EU82" i="3"/>
  <c r="EV82" i="3"/>
  <c r="EW82" i="3"/>
  <c r="EX82" i="3"/>
  <c r="EY82" i="3"/>
  <c r="EZ82" i="3"/>
  <c r="FA82" i="3"/>
  <c r="FB82" i="3"/>
  <c r="FC82" i="3"/>
  <c r="FD82" i="3"/>
  <c r="FE82" i="3"/>
  <c r="FF82" i="3"/>
  <c r="FG82" i="3"/>
  <c r="FH82" i="3"/>
  <c r="FI82" i="3"/>
  <c r="C8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BS72" i="3"/>
  <c r="BT72" i="3"/>
  <c r="BU72" i="3"/>
  <c r="BV72" i="3"/>
  <c r="BW72" i="3"/>
  <c r="BX72" i="3"/>
  <c r="BY72" i="3"/>
  <c r="BZ72" i="3"/>
  <c r="CA72" i="3"/>
  <c r="CB72" i="3"/>
  <c r="CC72" i="3"/>
  <c r="CD72" i="3"/>
  <c r="CE72" i="3"/>
  <c r="CF72" i="3"/>
  <c r="CG72" i="3"/>
  <c r="CH72" i="3"/>
  <c r="CI72" i="3"/>
  <c r="CJ72" i="3"/>
  <c r="CK72" i="3"/>
  <c r="CL72" i="3"/>
  <c r="CM72" i="3"/>
  <c r="CN72" i="3"/>
  <c r="CO72" i="3"/>
  <c r="CQ72" i="3"/>
  <c r="CR72" i="3"/>
  <c r="CS72" i="3"/>
  <c r="CT72" i="3"/>
  <c r="CU72" i="3"/>
  <c r="CV72" i="3"/>
  <c r="CW72" i="3"/>
  <c r="CX72" i="3"/>
  <c r="CY72" i="3"/>
  <c r="CZ72" i="3"/>
  <c r="DA72" i="3"/>
  <c r="DB72" i="3"/>
  <c r="DC72" i="3"/>
  <c r="DD72" i="3"/>
  <c r="DE72" i="3"/>
  <c r="DF72" i="3"/>
  <c r="DG72" i="3"/>
  <c r="DH72" i="3"/>
  <c r="DI72" i="3"/>
  <c r="DJ72" i="3"/>
  <c r="DK72" i="3"/>
  <c r="DL72" i="3"/>
  <c r="DM72" i="3"/>
  <c r="DN72" i="3"/>
  <c r="DO72" i="3"/>
  <c r="DP72" i="3"/>
  <c r="DQ72" i="3"/>
  <c r="DR72" i="3"/>
  <c r="DS72" i="3"/>
  <c r="DT72" i="3"/>
  <c r="DU72" i="3"/>
  <c r="DV72" i="3"/>
  <c r="DW72" i="3"/>
  <c r="DX72" i="3"/>
  <c r="DY72" i="3"/>
  <c r="DZ72" i="3"/>
  <c r="EA72" i="3"/>
  <c r="EB72" i="3"/>
  <c r="EC72" i="3"/>
  <c r="ED72" i="3"/>
  <c r="EE72" i="3"/>
  <c r="EF72" i="3"/>
  <c r="EG72" i="3"/>
  <c r="EH72" i="3"/>
  <c r="EI72" i="3"/>
  <c r="EJ72" i="3"/>
  <c r="EK72" i="3"/>
  <c r="EL72" i="3"/>
  <c r="EM72" i="3"/>
  <c r="EN72" i="3"/>
  <c r="EO72" i="3"/>
  <c r="EQ72" i="3"/>
  <c r="ER72" i="3"/>
  <c r="ES72" i="3"/>
  <c r="ET72" i="3"/>
  <c r="EU72" i="3"/>
  <c r="EV72" i="3"/>
  <c r="EW72" i="3"/>
  <c r="EX72" i="3"/>
  <c r="EY72" i="3"/>
  <c r="EZ72" i="3"/>
  <c r="FA72" i="3"/>
  <c r="FB72" i="3"/>
  <c r="FC72" i="3"/>
  <c r="FD72" i="3"/>
  <c r="FE72" i="3"/>
  <c r="FF72" i="3"/>
  <c r="FG72" i="3"/>
  <c r="FH72" i="3"/>
  <c r="FI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C72" i="3"/>
  <c r="FJ37" i="3"/>
  <c r="AV43" i="3"/>
  <c r="FJ48" i="3"/>
  <c r="FJ49" i="3"/>
  <c r="FJ50" i="3"/>
  <c r="FJ51" i="3"/>
  <c r="FJ52" i="3"/>
  <c r="FJ47" i="3"/>
  <c r="FJ38" i="3"/>
  <c r="FJ39" i="3"/>
  <c r="FJ40" i="3"/>
  <c r="FJ41" i="3"/>
  <c r="FJ42" i="3"/>
  <c r="CY48" i="3"/>
  <c r="DY48" i="3"/>
  <c r="EP48" i="3"/>
  <c r="DY49" i="3"/>
  <c r="EP49" i="3"/>
  <c r="EP50" i="3"/>
  <c r="CY51" i="3"/>
  <c r="DY51" i="3"/>
  <c r="EP51" i="3"/>
  <c r="DY52" i="3"/>
  <c r="EP52" i="3"/>
  <c r="DY47" i="3"/>
  <c r="EP47" i="3"/>
  <c r="D48" i="4"/>
  <c r="C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D76" i="4"/>
  <c r="D49" i="4"/>
  <c r="C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D77" i="4"/>
  <c r="D50" i="4"/>
  <c r="C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D78" i="4"/>
  <c r="D51" i="4"/>
  <c r="C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D79" i="4"/>
  <c r="D52" i="4"/>
  <c r="C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D80" i="4"/>
  <c r="D81" i="4"/>
  <c r="D36" i="4"/>
  <c r="C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D64" i="4"/>
  <c r="D37" i="4"/>
  <c r="C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D65" i="4"/>
  <c r="D38" i="4"/>
  <c r="C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D66" i="4"/>
  <c r="D39" i="4"/>
  <c r="C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D67" i="4"/>
  <c r="D40" i="4"/>
  <c r="C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D68" i="4"/>
  <c r="D41" i="4"/>
  <c r="C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D69" i="4"/>
  <c r="D70" i="4"/>
  <c r="D85" i="4"/>
  <c r="E76" i="4"/>
  <c r="E77" i="4"/>
  <c r="E78" i="4"/>
  <c r="E79" i="4"/>
  <c r="E80" i="4"/>
  <c r="E81" i="4"/>
  <c r="E64" i="4"/>
  <c r="E65" i="4"/>
  <c r="E66" i="4"/>
  <c r="E67" i="4"/>
  <c r="E68" i="4"/>
  <c r="E69" i="4"/>
  <c r="E70" i="4"/>
  <c r="E85" i="4"/>
  <c r="F76" i="4"/>
  <c r="F77" i="4"/>
  <c r="F78" i="4"/>
  <c r="F79" i="4"/>
  <c r="F80" i="4"/>
  <c r="F81" i="4"/>
  <c r="F64" i="4"/>
  <c r="F65" i="4"/>
  <c r="F66" i="4"/>
  <c r="F67" i="4"/>
  <c r="F68" i="4"/>
  <c r="F69" i="4"/>
  <c r="F70" i="4"/>
  <c r="F85" i="4"/>
  <c r="G76" i="4"/>
  <c r="G77" i="4"/>
  <c r="G78" i="4"/>
  <c r="G79" i="4"/>
  <c r="G80" i="4"/>
  <c r="G81" i="4"/>
  <c r="G64" i="4"/>
  <c r="G65" i="4"/>
  <c r="G66" i="4"/>
  <c r="G67" i="4"/>
  <c r="G68" i="4"/>
  <c r="G69" i="4"/>
  <c r="G70" i="4"/>
  <c r="G85" i="4"/>
  <c r="H76" i="4"/>
  <c r="H77" i="4"/>
  <c r="H78" i="4"/>
  <c r="H79" i="4"/>
  <c r="H80" i="4"/>
  <c r="H81" i="4"/>
  <c r="H64" i="4"/>
  <c r="H65" i="4"/>
  <c r="H66" i="4"/>
  <c r="H67" i="4"/>
  <c r="H68" i="4"/>
  <c r="H69" i="4"/>
  <c r="H70" i="4"/>
  <c r="H85" i="4"/>
  <c r="I76" i="4"/>
  <c r="I77" i="4"/>
  <c r="I78" i="4"/>
  <c r="I79" i="4"/>
  <c r="I80" i="4"/>
  <c r="I81" i="4"/>
  <c r="I64" i="4"/>
  <c r="I65" i="4"/>
  <c r="I66" i="4"/>
  <c r="I67" i="4"/>
  <c r="I68" i="4"/>
  <c r="I69" i="4"/>
  <c r="I70" i="4"/>
  <c r="I85" i="4"/>
  <c r="J76" i="4"/>
  <c r="J77" i="4"/>
  <c r="J78" i="4"/>
  <c r="J79" i="4"/>
  <c r="J80" i="4"/>
  <c r="J81" i="4"/>
  <c r="J64" i="4"/>
  <c r="J65" i="4"/>
  <c r="J66" i="4"/>
  <c r="J67" i="4"/>
  <c r="J68" i="4"/>
  <c r="J69" i="4"/>
  <c r="J70" i="4"/>
  <c r="J85" i="4"/>
  <c r="K76" i="4"/>
  <c r="K77" i="4"/>
  <c r="K78" i="4"/>
  <c r="K79" i="4"/>
  <c r="K80" i="4"/>
  <c r="K81" i="4"/>
  <c r="K64" i="4"/>
  <c r="K65" i="4"/>
  <c r="K66" i="4"/>
  <c r="K67" i="4"/>
  <c r="K68" i="4"/>
  <c r="K69" i="4"/>
  <c r="K70" i="4"/>
  <c r="K85" i="4"/>
  <c r="L76" i="4"/>
  <c r="L77" i="4"/>
  <c r="L78" i="4"/>
  <c r="L79" i="4"/>
  <c r="L80" i="4"/>
  <c r="L81" i="4"/>
  <c r="L64" i="4"/>
  <c r="L65" i="4"/>
  <c r="L66" i="4"/>
  <c r="L67" i="4"/>
  <c r="L68" i="4"/>
  <c r="L69" i="4"/>
  <c r="L70" i="4"/>
  <c r="L85" i="4"/>
  <c r="M76" i="4"/>
  <c r="M77" i="4"/>
  <c r="M78" i="4"/>
  <c r="M79" i="4"/>
  <c r="M80" i="4"/>
  <c r="M81" i="4"/>
  <c r="M64" i="4"/>
  <c r="M65" i="4"/>
  <c r="M66" i="4"/>
  <c r="M67" i="4"/>
  <c r="M68" i="4"/>
  <c r="M69" i="4"/>
  <c r="M70" i="4"/>
  <c r="M85" i="4"/>
  <c r="N76" i="4"/>
  <c r="N77" i="4"/>
  <c r="N78" i="4"/>
  <c r="N79" i="4"/>
  <c r="N80" i="4"/>
  <c r="N81" i="4"/>
  <c r="N64" i="4"/>
  <c r="N65" i="4"/>
  <c r="N66" i="4"/>
  <c r="N67" i="4"/>
  <c r="N68" i="4"/>
  <c r="N69" i="4"/>
  <c r="N70" i="4"/>
  <c r="N85" i="4"/>
  <c r="O76" i="4"/>
  <c r="O77" i="4"/>
  <c r="O78" i="4"/>
  <c r="O79" i="4"/>
  <c r="O80" i="4"/>
  <c r="O81" i="4"/>
  <c r="O64" i="4"/>
  <c r="O65" i="4"/>
  <c r="O66" i="4"/>
  <c r="O67" i="4"/>
  <c r="O68" i="4"/>
  <c r="O69" i="4"/>
  <c r="O70" i="4"/>
  <c r="O85" i="4"/>
  <c r="P76" i="4"/>
  <c r="P77" i="4"/>
  <c r="P78" i="4"/>
  <c r="P79" i="4"/>
  <c r="P80" i="4"/>
  <c r="P81" i="4"/>
  <c r="P64" i="4"/>
  <c r="P65" i="4"/>
  <c r="P66" i="4"/>
  <c r="P67" i="4"/>
  <c r="P68" i="4"/>
  <c r="P69" i="4"/>
  <c r="P70" i="4"/>
  <c r="P85" i="4"/>
  <c r="Q76" i="4"/>
  <c r="Q77" i="4"/>
  <c r="Q78" i="4"/>
  <c r="Q79" i="4"/>
  <c r="Q80" i="4"/>
  <c r="Q81" i="4"/>
  <c r="Q64" i="4"/>
  <c r="Q65" i="4"/>
  <c r="Q66" i="4"/>
  <c r="Q67" i="4"/>
  <c r="Q68" i="4"/>
  <c r="Q69" i="4"/>
  <c r="Q70" i="4"/>
  <c r="Q85" i="4"/>
  <c r="R76" i="4"/>
  <c r="R77" i="4"/>
  <c r="R78" i="4"/>
  <c r="R79" i="4"/>
  <c r="R80" i="4"/>
  <c r="R81" i="4"/>
  <c r="R64" i="4"/>
  <c r="R65" i="4"/>
  <c r="R66" i="4"/>
  <c r="R67" i="4"/>
  <c r="R68" i="4"/>
  <c r="R69" i="4"/>
  <c r="R70" i="4"/>
  <c r="R85" i="4"/>
  <c r="S76" i="4"/>
  <c r="S77" i="4"/>
  <c r="S78" i="4"/>
  <c r="S79" i="4"/>
  <c r="S80" i="4"/>
  <c r="S81" i="4"/>
  <c r="S64" i="4"/>
  <c r="S65" i="4"/>
  <c r="S66" i="4"/>
  <c r="S67" i="4"/>
  <c r="S68" i="4"/>
  <c r="S69" i="4"/>
  <c r="S70" i="4"/>
  <c r="S85" i="4"/>
  <c r="T76" i="4"/>
  <c r="T77" i="4"/>
  <c r="T78" i="4"/>
  <c r="T79" i="4"/>
  <c r="T80" i="4"/>
  <c r="T81" i="4"/>
  <c r="T64" i="4"/>
  <c r="T65" i="4"/>
  <c r="T66" i="4"/>
  <c r="T67" i="4"/>
  <c r="T68" i="4"/>
  <c r="T69" i="4"/>
  <c r="T70" i="4"/>
  <c r="T85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V76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V77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V78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V79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V80" i="4"/>
  <c r="V81" i="4"/>
  <c r="V64" i="4"/>
  <c r="V65" i="4"/>
  <c r="V66" i="4"/>
  <c r="V67" i="4"/>
  <c r="V68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V69" i="4"/>
  <c r="V70" i="4"/>
  <c r="V85" i="4"/>
  <c r="W76" i="4"/>
  <c r="W77" i="4"/>
  <c r="W78" i="4"/>
  <c r="W79" i="4"/>
  <c r="W80" i="4"/>
  <c r="W81" i="4"/>
  <c r="W64" i="4"/>
  <c r="W65" i="4"/>
  <c r="W66" i="4"/>
  <c r="W67" i="4"/>
  <c r="W68" i="4"/>
  <c r="AV41" i="4"/>
  <c r="W69" i="4"/>
  <c r="W70" i="4"/>
  <c r="W85" i="4"/>
  <c r="X76" i="4"/>
  <c r="X77" i="4"/>
  <c r="X78" i="4"/>
  <c r="X79" i="4"/>
  <c r="X80" i="4"/>
  <c r="X81" i="4"/>
  <c r="X64" i="4"/>
  <c r="X65" i="4"/>
  <c r="X66" i="4"/>
  <c r="X67" i="4"/>
  <c r="X68" i="4"/>
  <c r="AW41" i="4"/>
  <c r="X69" i="4"/>
  <c r="X70" i="4"/>
  <c r="X85" i="4"/>
  <c r="Y76" i="4"/>
  <c r="Y77" i="4"/>
  <c r="Y78" i="4"/>
  <c r="Y79" i="4"/>
  <c r="Y80" i="4"/>
  <c r="Y81" i="4"/>
  <c r="Y64" i="4"/>
  <c r="Y65" i="4"/>
  <c r="Y66" i="4"/>
  <c r="Y67" i="4"/>
  <c r="Y68" i="4"/>
  <c r="AX41" i="4"/>
  <c r="Y69" i="4"/>
  <c r="Y70" i="4"/>
  <c r="Y85" i="4"/>
  <c r="Z76" i="4"/>
  <c r="Z77" i="4"/>
  <c r="Z78" i="4"/>
  <c r="Z79" i="4"/>
  <c r="Z80" i="4"/>
  <c r="Z81" i="4"/>
  <c r="Z64" i="4"/>
  <c r="Z65" i="4"/>
  <c r="Z66" i="4"/>
  <c r="Z67" i="4"/>
  <c r="Z68" i="4"/>
  <c r="AY41" i="4"/>
  <c r="Z69" i="4"/>
  <c r="Z70" i="4"/>
  <c r="Z85" i="4"/>
  <c r="AA76" i="4"/>
  <c r="AA77" i="4"/>
  <c r="AA78" i="4"/>
  <c r="AA79" i="4"/>
  <c r="AA80" i="4"/>
  <c r="AA81" i="4"/>
  <c r="AA64" i="4"/>
  <c r="AA65" i="4"/>
  <c r="AA66" i="4"/>
  <c r="AA67" i="4"/>
  <c r="AA68" i="4"/>
  <c r="AZ41" i="4"/>
  <c r="AA69" i="4"/>
  <c r="AA70" i="4"/>
  <c r="AA85" i="4"/>
  <c r="AB76" i="4"/>
  <c r="AB77" i="4"/>
  <c r="AB78" i="4"/>
  <c r="AB79" i="4"/>
  <c r="AB80" i="4"/>
  <c r="AB81" i="4"/>
  <c r="AB64" i="4"/>
  <c r="AB65" i="4"/>
  <c r="AB66" i="4"/>
  <c r="AB67" i="4"/>
  <c r="AB68" i="4"/>
  <c r="BA41" i="4"/>
  <c r="AB69" i="4"/>
  <c r="AB70" i="4"/>
  <c r="AB85" i="4"/>
  <c r="AC76" i="4"/>
  <c r="AC77" i="4"/>
  <c r="AC78" i="4"/>
  <c r="AC79" i="4"/>
  <c r="AC80" i="4"/>
  <c r="AC81" i="4"/>
  <c r="AC64" i="4"/>
  <c r="AC65" i="4"/>
  <c r="AC66" i="4"/>
  <c r="AC67" i="4"/>
  <c r="AC68" i="4"/>
  <c r="BB41" i="4"/>
  <c r="AC69" i="4"/>
  <c r="AC70" i="4"/>
  <c r="AC85" i="4"/>
  <c r="AD76" i="4"/>
  <c r="AD77" i="4"/>
  <c r="AD78" i="4"/>
  <c r="AD79" i="4"/>
  <c r="AD80" i="4"/>
  <c r="AD81" i="4"/>
  <c r="AD64" i="4"/>
  <c r="AD65" i="4"/>
  <c r="AD66" i="4"/>
  <c r="AD67" i="4"/>
  <c r="AD68" i="4"/>
  <c r="BC41" i="4"/>
  <c r="AD69" i="4"/>
  <c r="AD70" i="4"/>
  <c r="AD85" i="4"/>
  <c r="AE76" i="4"/>
  <c r="AE77" i="4"/>
  <c r="AE78" i="4"/>
  <c r="AE79" i="4"/>
  <c r="AE80" i="4"/>
  <c r="AE81" i="4"/>
  <c r="AE64" i="4"/>
  <c r="AE65" i="4"/>
  <c r="AE66" i="4"/>
  <c r="AE67" i="4"/>
  <c r="AE68" i="4"/>
  <c r="BD41" i="4"/>
  <c r="AE69" i="4"/>
  <c r="AE70" i="4"/>
  <c r="AE85" i="4"/>
  <c r="AF76" i="4"/>
  <c r="AF77" i="4"/>
  <c r="AF78" i="4"/>
  <c r="AF79" i="4"/>
  <c r="AF80" i="4"/>
  <c r="AF81" i="4"/>
  <c r="AF64" i="4"/>
  <c r="AF65" i="4"/>
  <c r="AF66" i="4"/>
  <c r="AF67" i="4"/>
  <c r="AF68" i="4"/>
  <c r="BE41" i="4"/>
  <c r="AF69" i="4"/>
  <c r="AF70" i="4"/>
  <c r="AF85" i="4"/>
  <c r="AG76" i="4"/>
  <c r="AG77" i="4"/>
  <c r="AG78" i="4"/>
  <c r="AG79" i="4"/>
  <c r="AG80" i="4"/>
  <c r="AG81" i="4"/>
  <c r="AG64" i="4"/>
  <c r="AG65" i="4"/>
  <c r="AG66" i="4"/>
  <c r="AG67" i="4"/>
  <c r="AG68" i="4"/>
  <c r="BF41" i="4"/>
  <c r="AG69" i="4"/>
  <c r="AG70" i="4"/>
  <c r="AG85" i="4"/>
  <c r="AH76" i="4"/>
  <c r="AH77" i="4"/>
  <c r="AH78" i="4"/>
  <c r="AH79" i="4"/>
  <c r="AH80" i="4"/>
  <c r="AH81" i="4"/>
  <c r="AH64" i="4"/>
  <c r="AH65" i="4"/>
  <c r="AH66" i="4"/>
  <c r="AH67" i="4"/>
  <c r="AH68" i="4"/>
  <c r="BG41" i="4"/>
  <c r="AH69" i="4"/>
  <c r="AH70" i="4"/>
  <c r="AH85" i="4"/>
  <c r="AI76" i="4"/>
  <c r="AI77" i="4"/>
  <c r="AI78" i="4"/>
  <c r="AI79" i="4"/>
  <c r="AI80" i="4"/>
  <c r="AI81" i="4"/>
  <c r="AI64" i="4"/>
  <c r="AI65" i="4"/>
  <c r="AI66" i="4"/>
  <c r="AI67" i="4"/>
  <c r="AI68" i="4"/>
  <c r="BH41" i="4"/>
  <c r="AI69" i="4"/>
  <c r="AI70" i="4"/>
  <c r="AI85" i="4"/>
  <c r="AJ76" i="4"/>
  <c r="AJ77" i="4"/>
  <c r="AJ78" i="4"/>
  <c r="AJ79" i="4"/>
  <c r="AJ80" i="4"/>
  <c r="AJ81" i="4"/>
  <c r="AJ64" i="4"/>
  <c r="AJ65" i="4"/>
  <c r="AJ66" i="4"/>
  <c r="AJ67" i="4"/>
  <c r="AJ68" i="4"/>
  <c r="BI41" i="4"/>
  <c r="AJ69" i="4"/>
  <c r="AJ70" i="4"/>
  <c r="AJ85" i="4"/>
  <c r="AK76" i="4"/>
  <c r="AK77" i="4"/>
  <c r="AK78" i="4"/>
  <c r="AK79" i="4"/>
  <c r="AK80" i="4"/>
  <c r="AK81" i="4"/>
  <c r="AK64" i="4"/>
  <c r="AK65" i="4"/>
  <c r="AK66" i="4"/>
  <c r="AK67" i="4"/>
  <c r="AK68" i="4"/>
  <c r="BJ41" i="4"/>
  <c r="AK69" i="4"/>
  <c r="AK70" i="4"/>
  <c r="AK85" i="4"/>
  <c r="AL76" i="4"/>
  <c r="AL77" i="4"/>
  <c r="AL78" i="4"/>
  <c r="AL79" i="4"/>
  <c r="AL80" i="4"/>
  <c r="AL81" i="4"/>
  <c r="AL64" i="4"/>
  <c r="AL65" i="4"/>
  <c r="AL66" i="4"/>
  <c r="AL67" i="4"/>
  <c r="AL68" i="4"/>
  <c r="BK41" i="4"/>
  <c r="AL69" i="4"/>
  <c r="AL70" i="4"/>
  <c r="AL85" i="4"/>
  <c r="AM76" i="4"/>
  <c r="AM77" i="4"/>
  <c r="AM78" i="4"/>
  <c r="AM79" i="4"/>
  <c r="AM80" i="4"/>
  <c r="AM81" i="4"/>
  <c r="AM64" i="4"/>
  <c r="AM65" i="4"/>
  <c r="AM66" i="4"/>
  <c r="AM67" i="4"/>
  <c r="AM68" i="4"/>
  <c r="BL41" i="4"/>
  <c r="AM69" i="4"/>
  <c r="AM70" i="4"/>
  <c r="AM85" i="4"/>
  <c r="AN76" i="4"/>
  <c r="AN77" i="4"/>
  <c r="AN78" i="4"/>
  <c r="AN79" i="4"/>
  <c r="AN80" i="4"/>
  <c r="AN81" i="4"/>
  <c r="AN64" i="4"/>
  <c r="AN65" i="4"/>
  <c r="AN66" i="4"/>
  <c r="AN67" i="4"/>
  <c r="AN68" i="4"/>
  <c r="BM41" i="4"/>
  <c r="AN69" i="4"/>
  <c r="AN70" i="4"/>
  <c r="AN85" i="4"/>
  <c r="AO76" i="4"/>
  <c r="AO77" i="4"/>
  <c r="AO78" i="4"/>
  <c r="AO79" i="4"/>
  <c r="AO80" i="4"/>
  <c r="AO81" i="4"/>
  <c r="AO64" i="4"/>
  <c r="AO65" i="4"/>
  <c r="AO66" i="4"/>
  <c r="AO67" i="4"/>
  <c r="AO68" i="4"/>
  <c r="BN41" i="4"/>
  <c r="AO69" i="4"/>
  <c r="AO70" i="4"/>
  <c r="AO85" i="4"/>
  <c r="AP76" i="4"/>
  <c r="AP77" i="4"/>
  <c r="AP78" i="4"/>
  <c r="AP79" i="4"/>
  <c r="AP80" i="4"/>
  <c r="AP81" i="4"/>
  <c r="AP64" i="4"/>
  <c r="AP65" i="4"/>
  <c r="AP66" i="4"/>
  <c r="AP67" i="4"/>
  <c r="AP68" i="4"/>
  <c r="BO41" i="4"/>
  <c r="AP69" i="4"/>
  <c r="AP70" i="4"/>
  <c r="AP85" i="4"/>
  <c r="AQ76" i="4"/>
  <c r="AQ77" i="4"/>
  <c r="AQ78" i="4"/>
  <c r="AQ79" i="4"/>
  <c r="AQ80" i="4"/>
  <c r="AQ81" i="4"/>
  <c r="AQ64" i="4"/>
  <c r="AQ65" i="4"/>
  <c r="AQ66" i="4"/>
  <c r="AQ67" i="4"/>
  <c r="AQ68" i="4"/>
  <c r="BP41" i="4"/>
  <c r="AQ69" i="4"/>
  <c r="AQ70" i="4"/>
  <c r="AQ85" i="4"/>
  <c r="AR76" i="4"/>
  <c r="AR77" i="4"/>
  <c r="AR78" i="4"/>
  <c r="AR79" i="4"/>
  <c r="AR80" i="4"/>
  <c r="AR81" i="4"/>
  <c r="AR64" i="4"/>
  <c r="AR65" i="4"/>
  <c r="AR66" i="4"/>
  <c r="AR67" i="4"/>
  <c r="AR68" i="4"/>
  <c r="BQ41" i="4"/>
  <c r="AR69" i="4"/>
  <c r="AR70" i="4"/>
  <c r="AR85" i="4"/>
  <c r="AS76" i="4"/>
  <c r="AS77" i="4"/>
  <c r="AS78" i="4"/>
  <c r="AS79" i="4"/>
  <c r="AS80" i="4"/>
  <c r="AS81" i="4"/>
  <c r="AS64" i="4"/>
  <c r="AS65" i="4"/>
  <c r="AS66" i="4"/>
  <c r="AS67" i="4"/>
  <c r="AS68" i="4"/>
  <c r="BR41" i="4"/>
  <c r="AS69" i="4"/>
  <c r="AS70" i="4"/>
  <c r="AS85" i="4"/>
  <c r="AT76" i="4"/>
  <c r="AT77" i="4"/>
  <c r="AT78" i="4"/>
  <c r="AT79" i="4"/>
  <c r="AT80" i="4"/>
  <c r="AT81" i="4"/>
  <c r="AT64" i="4"/>
  <c r="AT65" i="4"/>
  <c r="AT66" i="4"/>
  <c r="AT67" i="4"/>
  <c r="AT68" i="4"/>
  <c r="BS41" i="4"/>
  <c r="AT69" i="4"/>
  <c r="AT70" i="4"/>
  <c r="AT85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BY48" i="4"/>
  <c r="BZ48" i="4"/>
  <c r="CA48" i="4"/>
  <c r="CB48" i="4"/>
  <c r="CC48" i="4"/>
  <c r="CD48" i="4"/>
  <c r="CE48" i="4"/>
  <c r="CF48" i="4"/>
  <c r="CG48" i="4"/>
  <c r="CH48" i="4"/>
  <c r="CI48" i="4"/>
  <c r="CJ48" i="4"/>
  <c r="CK48" i="4"/>
  <c r="CL48" i="4"/>
  <c r="CM48" i="4"/>
  <c r="CN48" i="4"/>
  <c r="CO48" i="4"/>
  <c r="CP48" i="4"/>
  <c r="AV76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BY49" i="4"/>
  <c r="BZ49" i="4"/>
  <c r="CA49" i="4"/>
  <c r="CB49" i="4"/>
  <c r="CC49" i="4"/>
  <c r="CD49" i="4"/>
  <c r="CE49" i="4"/>
  <c r="CF49" i="4"/>
  <c r="CG49" i="4"/>
  <c r="CH49" i="4"/>
  <c r="CI18" i="4"/>
  <c r="CI49" i="4"/>
  <c r="CL49" i="4"/>
  <c r="CM49" i="4"/>
  <c r="CN49" i="4"/>
  <c r="CO49" i="4"/>
  <c r="CP49" i="4"/>
  <c r="AV77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BY50" i="4"/>
  <c r="BZ50" i="4"/>
  <c r="CA50" i="4"/>
  <c r="CB50" i="4"/>
  <c r="CC50" i="4"/>
  <c r="CD50" i="4"/>
  <c r="CE50" i="4"/>
  <c r="CF50" i="4"/>
  <c r="CG50" i="4"/>
  <c r="CH50" i="4"/>
  <c r="CI19" i="4"/>
  <c r="CI50" i="4"/>
  <c r="CK50" i="4"/>
  <c r="CL50" i="4"/>
  <c r="CM50" i="4"/>
  <c r="CN50" i="4"/>
  <c r="CO50" i="4"/>
  <c r="CP50" i="4"/>
  <c r="AV78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BY51" i="4"/>
  <c r="BZ51" i="4"/>
  <c r="CA51" i="4"/>
  <c r="CB51" i="4"/>
  <c r="CC51" i="4"/>
  <c r="CD51" i="4"/>
  <c r="CE51" i="4"/>
  <c r="CF51" i="4"/>
  <c r="CG51" i="4"/>
  <c r="CH51" i="4"/>
  <c r="CI51" i="4"/>
  <c r="CJ51" i="4"/>
  <c r="CK51" i="4"/>
  <c r="CL51" i="4"/>
  <c r="CM51" i="4"/>
  <c r="CN51" i="4"/>
  <c r="CO51" i="4"/>
  <c r="CP51" i="4"/>
  <c r="AV79" i="4"/>
  <c r="AV52" i="4"/>
  <c r="AW52" i="4"/>
  <c r="AX52" i="4"/>
  <c r="AY52" i="4"/>
  <c r="AZ52" i="4"/>
  <c r="BA52" i="4"/>
  <c r="BB52" i="4"/>
  <c r="BC52" i="4"/>
  <c r="BD52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BY52" i="4"/>
  <c r="BZ52" i="4"/>
  <c r="CA52" i="4"/>
  <c r="CB52" i="4"/>
  <c r="CC52" i="4"/>
  <c r="CD52" i="4"/>
  <c r="CE52" i="4"/>
  <c r="CF52" i="4"/>
  <c r="CG52" i="4"/>
  <c r="CH52" i="4"/>
  <c r="CI52" i="4"/>
  <c r="CJ52" i="4"/>
  <c r="CK52" i="4"/>
  <c r="CL52" i="4"/>
  <c r="CM52" i="4"/>
  <c r="CN52" i="4"/>
  <c r="CO52" i="4"/>
  <c r="CP52" i="4"/>
  <c r="AV80" i="4"/>
  <c r="AV81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AV64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AV65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CN38" i="4"/>
  <c r="CO38" i="4"/>
  <c r="CP38" i="4"/>
  <c r="AV66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9" i="4"/>
  <c r="CI39" i="4"/>
  <c r="CK39" i="4"/>
  <c r="CL39" i="4"/>
  <c r="CM39" i="4"/>
  <c r="CN39" i="4"/>
  <c r="CO39" i="4"/>
  <c r="CP39" i="4"/>
  <c r="AV67" i="4"/>
  <c r="AV40" i="4"/>
  <c r="AW40" i="4"/>
  <c r="AX40" i="4"/>
  <c r="AY40" i="4"/>
  <c r="AZ40" i="4"/>
  <c r="BA40" i="4"/>
  <c r="BB40" i="4"/>
  <c r="BC40" i="4"/>
  <c r="BD40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BY40" i="4"/>
  <c r="BZ40" i="4"/>
  <c r="CA40" i="4"/>
  <c r="CB40" i="4"/>
  <c r="CC40" i="4"/>
  <c r="CD40" i="4"/>
  <c r="CE40" i="4"/>
  <c r="CF40" i="4"/>
  <c r="CG40" i="4"/>
  <c r="CH40" i="4"/>
  <c r="CI40" i="4"/>
  <c r="CJ40" i="4"/>
  <c r="CK40" i="4"/>
  <c r="CL40" i="4"/>
  <c r="CM40" i="4"/>
  <c r="CN40" i="4"/>
  <c r="CO40" i="4"/>
  <c r="CP40" i="4"/>
  <c r="AV68" i="4"/>
  <c r="BT41" i="4"/>
  <c r="BU41" i="4"/>
  <c r="BV41" i="4"/>
  <c r="BW41" i="4"/>
  <c r="BX41" i="4"/>
  <c r="BY41" i="4"/>
  <c r="BZ41" i="4"/>
  <c r="CA41" i="4"/>
  <c r="CB41" i="4"/>
  <c r="CC41" i="4"/>
  <c r="CD41" i="4"/>
  <c r="CE41" i="4"/>
  <c r="CF41" i="4"/>
  <c r="CG41" i="4"/>
  <c r="CH41" i="4"/>
  <c r="CI41" i="4"/>
  <c r="CJ41" i="4"/>
  <c r="CK41" i="4"/>
  <c r="CL41" i="4"/>
  <c r="CM41" i="4"/>
  <c r="CN41" i="4"/>
  <c r="CO41" i="4"/>
  <c r="CP41" i="4"/>
  <c r="AV69" i="4"/>
  <c r="AV70" i="4"/>
  <c r="AV85" i="4"/>
  <c r="AW76" i="4"/>
  <c r="AW77" i="4"/>
  <c r="AW78" i="4"/>
  <c r="AW79" i="4"/>
  <c r="AW80" i="4"/>
  <c r="AW81" i="4"/>
  <c r="AW64" i="4"/>
  <c r="AW65" i="4"/>
  <c r="AW66" i="4"/>
  <c r="AW67" i="4"/>
  <c r="AW68" i="4"/>
  <c r="AW69" i="4"/>
  <c r="AW70" i="4"/>
  <c r="AW85" i="4"/>
  <c r="AX76" i="4"/>
  <c r="AX77" i="4"/>
  <c r="AX78" i="4"/>
  <c r="AX79" i="4"/>
  <c r="AX80" i="4"/>
  <c r="AX81" i="4"/>
  <c r="AX64" i="4"/>
  <c r="AX65" i="4"/>
  <c r="AX66" i="4"/>
  <c r="AX67" i="4"/>
  <c r="AX68" i="4"/>
  <c r="AX69" i="4"/>
  <c r="AX70" i="4"/>
  <c r="AX85" i="4"/>
  <c r="AY76" i="4"/>
  <c r="AY77" i="4"/>
  <c r="AY78" i="4"/>
  <c r="AY79" i="4"/>
  <c r="AY80" i="4"/>
  <c r="AY81" i="4"/>
  <c r="AY64" i="4"/>
  <c r="AY65" i="4"/>
  <c r="AY66" i="4"/>
  <c r="AY67" i="4"/>
  <c r="AY68" i="4"/>
  <c r="AY69" i="4"/>
  <c r="AY70" i="4"/>
  <c r="AY85" i="4"/>
  <c r="AZ76" i="4"/>
  <c r="AZ77" i="4"/>
  <c r="AZ78" i="4"/>
  <c r="AZ79" i="4"/>
  <c r="AZ80" i="4"/>
  <c r="AZ81" i="4"/>
  <c r="AZ64" i="4"/>
  <c r="AZ65" i="4"/>
  <c r="AZ66" i="4"/>
  <c r="AZ67" i="4"/>
  <c r="AZ68" i="4"/>
  <c r="AZ69" i="4"/>
  <c r="AZ70" i="4"/>
  <c r="AZ85" i="4"/>
  <c r="BA76" i="4"/>
  <c r="BA77" i="4"/>
  <c r="BA78" i="4"/>
  <c r="BA79" i="4"/>
  <c r="BA80" i="4"/>
  <c r="BA81" i="4"/>
  <c r="BA64" i="4"/>
  <c r="BA65" i="4"/>
  <c r="BA66" i="4"/>
  <c r="BA67" i="4"/>
  <c r="BA68" i="4"/>
  <c r="BA69" i="4"/>
  <c r="BA70" i="4"/>
  <c r="BA85" i="4"/>
  <c r="BB76" i="4"/>
  <c r="BB77" i="4"/>
  <c r="BB78" i="4"/>
  <c r="BB79" i="4"/>
  <c r="BB80" i="4"/>
  <c r="BB81" i="4"/>
  <c r="BB64" i="4"/>
  <c r="BB65" i="4"/>
  <c r="BB66" i="4"/>
  <c r="BB67" i="4"/>
  <c r="BB68" i="4"/>
  <c r="BB69" i="4"/>
  <c r="BB70" i="4"/>
  <c r="BB85" i="4"/>
  <c r="BC76" i="4"/>
  <c r="BC77" i="4"/>
  <c r="BC78" i="4"/>
  <c r="BC79" i="4"/>
  <c r="BC80" i="4"/>
  <c r="BC81" i="4"/>
  <c r="BC64" i="4"/>
  <c r="BC65" i="4"/>
  <c r="BC66" i="4"/>
  <c r="BC67" i="4"/>
  <c r="BC68" i="4"/>
  <c r="BC69" i="4"/>
  <c r="BC70" i="4"/>
  <c r="BC85" i="4"/>
  <c r="BD76" i="4"/>
  <c r="BD77" i="4"/>
  <c r="BD78" i="4"/>
  <c r="BD79" i="4"/>
  <c r="BD80" i="4"/>
  <c r="BD81" i="4"/>
  <c r="BD64" i="4"/>
  <c r="BD65" i="4"/>
  <c r="BD66" i="4"/>
  <c r="BD67" i="4"/>
  <c r="BD68" i="4"/>
  <c r="BD69" i="4"/>
  <c r="BD70" i="4"/>
  <c r="BD85" i="4"/>
  <c r="BE76" i="4"/>
  <c r="BE77" i="4"/>
  <c r="BE78" i="4"/>
  <c r="BE79" i="4"/>
  <c r="BE80" i="4"/>
  <c r="BE81" i="4"/>
  <c r="BE64" i="4"/>
  <c r="BE65" i="4"/>
  <c r="BE66" i="4"/>
  <c r="BE67" i="4"/>
  <c r="BE68" i="4"/>
  <c r="BE69" i="4"/>
  <c r="BE70" i="4"/>
  <c r="BE85" i="4"/>
  <c r="BF76" i="4"/>
  <c r="BF77" i="4"/>
  <c r="BF78" i="4"/>
  <c r="BF79" i="4"/>
  <c r="BF80" i="4"/>
  <c r="BF81" i="4"/>
  <c r="BF64" i="4"/>
  <c r="BF65" i="4"/>
  <c r="BF66" i="4"/>
  <c r="BF67" i="4"/>
  <c r="BF68" i="4"/>
  <c r="BF69" i="4"/>
  <c r="BF70" i="4"/>
  <c r="BF85" i="4"/>
  <c r="BG76" i="4"/>
  <c r="BG77" i="4"/>
  <c r="BG78" i="4"/>
  <c r="BG79" i="4"/>
  <c r="BG80" i="4"/>
  <c r="BG81" i="4"/>
  <c r="BG64" i="4"/>
  <c r="BG65" i="4"/>
  <c r="BG66" i="4"/>
  <c r="BG67" i="4"/>
  <c r="BG68" i="4"/>
  <c r="BG69" i="4"/>
  <c r="BG70" i="4"/>
  <c r="BG85" i="4"/>
  <c r="BH76" i="4"/>
  <c r="BH77" i="4"/>
  <c r="BH78" i="4"/>
  <c r="BH79" i="4"/>
  <c r="BH80" i="4"/>
  <c r="BH81" i="4"/>
  <c r="BH64" i="4"/>
  <c r="BH65" i="4"/>
  <c r="BH66" i="4"/>
  <c r="BH67" i="4"/>
  <c r="BH68" i="4"/>
  <c r="BH69" i="4"/>
  <c r="BH70" i="4"/>
  <c r="BH85" i="4"/>
  <c r="BI76" i="4"/>
  <c r="BI77" i="4"/>
  <c r="BI78" i="4"/>
  <c r="BI79" i="4"/>
  <c r="BI80" i="4"/>
  <c r="BI81" i="4"/>
  <c r="BI64" i="4"/>
  <c r="BI65" i="4"/>
  <c r="BI66" i="4"/>
  <c r="BI67" i="4"/>
  <c r="BI68" i="4"/>
  <c r="BI69" i="4"/>
  <c r="BI70" i="4"/>
  <c r="BI85" i="4"/>
  <c r="BJ76" i="4"/>
  <c r="BJ77" i="4"/>
  <c r="BJ78" i="4"/>
  <c r="BJ79" i="4"/>
  <c r="BJ80" i="4"/>
  <c r="BJ81" i="4"/>
  <c r="BJ64" i="4"/>
  <c r="BJ65" i="4"/>
  <c r="BJ66" i="4"/>
  <c r="BJ67" i="4"/>
  <c r="BJ68" i="4"/>
  <c r="BJ69" i="4"/>
  <c r="BJ70" i="4"/>
  <c r="BJ85" i="4"/>
  <c r="BK76" i="4"/>
  <c r="BK77" i="4"/>
  <c r="BK78" i="4"/>
  <c r="BK79" i="4"/>
  <c r="BK80" i="4"/>
  <c r="BK81" i="4"/>
  <c r="BK64" i="4"/>
  <c r="BK65" i="4"/>
  <c r="BK66" i="4"/>
  <c r="BK67" i="4"/>
  <c r="BK68" i="4"/>
  <c r="BK69" i="4"/>
  <c r="BK70" i="4"/>
  <c r="BK85" i="4"/>
  <c r="BL76" i="4"/>
  <c r="BL77" i="4"/>
  <c r="BL78" i="4"/>
  <c r="BL79" i="4"/>
  <c r="BL80" i="4"/>
  <c r="BL81" i="4"/>
  <c r="BL64" i="4"/>
  <c r="BL65" i="4"/>
  <c r="BL66" i="4"/>
  <c r="BL67" i="4"/>
  <c r="BL68" i="4"/>
  <c r="BL69" i="4"/>
  <c r="BL70" i="4"/>
  <c r="BL85" i="4"/>
  <c r="BM76" i="4"/>
  <c r="BM77" i="4"/>
  <c r="BM78" i="4"/>
  <c r="BM79" i="4"/>
  <c r="BM80" i="4"/>
  <c r="BM81" i="4"/>
  <c r="BM64" i="4"/>
  <c r="BM65" i="4"/>
  <c r="BM66" i="4"/>
  <c r="BM67" i="4"/>
  <c r="BM68" i="4"/>
  <c r="BM69" i="4"/>
  <c r="BM70" i="4"/>
  <c r="BM85" i="4"/>
  <c r="BN76" i="4"/>
  <c r="BN77" i="4"/>
  <c r="BN78" i="4"/>
  <c r="BN79" i="4"/>
  <c r="BN80" i="4"/>
  <c r="BN81" i="4"/>
  <c r="BN64" i="4"/>
  <c r="BN65" i="4"/>
  <c r="BN66" i="4"/>
  <c r="BN67" i="4"/>
  <c r="BN68" i="4"/>
  <c r="BN69" i="4"/>
  <c r="BN70" i="4"/>
  <c r="BN85" i="4"/>
  <c r="BO76" i="4"/>
  <c r="BO77" i="4"/>
  <c r="BO78" i="4"/>
  <c r="BO79" i="4"/>
  <c r="BO80" i="4"/>
  <c r="BO81" i="4"/>
  <c r="BO64" i="4"/>
  <c r="BO65" i="4"/>
  <c r="BO66" i="4"/>
  <c r="BO67" i="4"/>
  <c r="BO68" i="4"/>
  <c r="BO69" i="4"/>
  <c r="BO70" i="4"/>
  <c r="BO85" i="4"/>
  <c r="BP76" i="4"/>
  <c r="BP77" i="4"/>
  <c r="BP78" i="4"/>
  <c r="BP79" i="4"/>
  <c r="BP80" i="4"/>
  <c r="BP81" i="4"/>
  <c r="BP64" i="4"/>
  <c r="BP65" i="4"/>
  <c r="BP66" i="4"/>
  <c r="BP67" i="4"/>
  <c r="BP68" i="4"/>
  <c r="BP69" i="4"/>
  <c r="BP70" i="4"/>
  <c r="BP85" i="4"/>
  <c r="BQ76" i="4"/>
  <c r="BQ77" i="4"/>
  <c r="BQ78" i="4"/>
  <c r="BQ79" i="4"/>
  <c r="BQ80" i="4"/>
  <c r="BQ81" i="4"/>
  <c r="BQ64" i="4"/>
  <c r="BQ65" i="4"/>
  <c r="BQ66" i="4"/>
  <c r="BQ67" i="4"/>
  <c r="BQ68" i="4"/>
  <c r="BQ69" i="4"/>
  <c r="BQ70" i="4"/>
  <c r="BQ85" i="4"/>
  <c r="BR76" i="4"/>
  <c r="BR77" i="4"/>
  <c r="BR78" i="4"/>
  <c r="BR79" i="4"/>
  <c r="BR80" i="4"/>
  <c r="BR81" i="4"/>
  <c r="BR64" i="4"/>
  <c r="BR65" i="4"/>
  <c r="BR66" i="4"/>
  <c r="BR67" i="4"/>
  <c r="BR68" i="4"/>
  <c r="BR69" i="4"/>
  <c r="BR70" i="4"/>
  <c r="BR85" i="4"/>
  <c r="BS76" i="4"/>
  <c r="BS77" i="4"/>
  <c r="BS78" i="4"/>
  <c r="BS79" i="4"/>
  <c r="BS80" i="4"/>
  <c r="BS81" i="4"/>
  <c r="BS64" i="4"/>
  <c r="BS65" i="4"/>
  <c r="BS66" i="4"/>
  <c r="BS67" i="4"/>
  <c r="BS68" i="4"/>
  <c r="BS69" i="4"/>
  <c r="BS70" i="4"/>
  <c r="BS85" i="4"/>
  <c r="BT76" i="4"/>
  <c r="BT77" i="4"/>
  <c r="BT78" i="4"/>
  <c r="BT79" i="4"/>
  <c r="BT80" i="4"/>
  <c r="BT81" i="4"/>
  <c r="BT64" i="4"/>
  <c r="BT65" i="4"/>
  <c r="BT66" i="4"/>
  <c r="BT67" i="4"/>
  <c r="BT68" i="4"/>
  <c r="BT69" i="4"/>
  <c r="BT70" i="4"/>
  <c r="BT85" i="4"/>
  <c r="BU76" i="4"/>
  <c r="BU77" i="4"/>
  <c r="BU78" i="4"/>
  <c r="BU79" i="4"/>
  <c r="BU80" i="4"/>
  <c r="BU81" i="4"/>
  <c r="BU64" i="4"/>
  <c r="BU65" i="4"/>
  <c r="BU66" i="4"/>
  <c r="BU67" i="4"/>
  <c r="BU68" i="4"/>
  <c r="BU69" i="4"/>
  <c r="BU70" i="4"/>
  <c r="BU85" i="4"/>
  <c r="BV76" i="4"/>
  <c r="BV77" i="4"/>
  <c r="BV78" i="4"/>
  <c r="BV79" i="4"/>
  <c r="BV80" i="4"/>
  <c r="BV81" i="4"/>
  <c r="BV64" i="4"/>
  <c r="BV65" i="4"/>
  <c r="BV66" i="4"/>
  <c r="BV67" i="4"/>
  <c r="BV68" i="4"/>
  <c r="BV69" i="4"/>
  <c r="BV70" i="4"/>
  <c r="BV85" i="4"/>
  <c r="BW76" i="4"/>
  <c r="BW77" i="4"/>
  <c r="BW78" i="4"/>
  <c r="BW79" i="4"/>
  <c r="BW80" i="4"/>
  <c r="BW81" i="4"/>
  <c r="BW64" i="4"/>
  <c r="BW65" i="4"/>
  <c r="BW66" i="4"/>
  <c r="BW67" i="4"/>
  <c r="BW68" i="4"/>
  <c r="BW69" i="4"/>
  <c r="BW70" i="4"/>
  <c r="BW85" i="4"/>
  <c r="BX76" i="4"/>
  <c r="BX77" i="4"/>
  <c r="BX78" i="4"/>
  <c r="BX79" i="4"/>
  <c r="BX80" i="4"/>
  <c r="BX81" i="4"/>
  <c r="BX64" i="4"/>
  <c r="BX65" i="4"/>
  <c r="BX66" i="4"/>
  <c r="BX67" i="4"/>
  <c r="BX68" i="4"/>
  <c r="BX69" i="4"/>
  <c r="BX70" i="4"/>
  <c r="BX85" i="4"/>
  <c r="BY76" i="4"/>
  <c r="BY77" i="4"/>
  <c r="BY78" i="4"/>
  <c r="BY79" i="4"/>
  <c r="BY80" i="4"/>
  <c r="BY81" i="4"/>
  <c r="BY64" i="4"/>
  <c r="BY65" i="4"/>
  <c r="BY66" i="4"/>
  <c r="BY67" i="4"/>
  <c r="BY68" i="4"/>
  <c r="BY69" i="4"/>
  <c r="BY70" i="4"/>
  <c r="BY85" i="4"/>
  <c r="BZ76" i="4"/>
  <c r="BZ77" i="4"/>
  <c r="BZ78" i="4"/>
  <c r="BZ79" i="4"/>
  <c r="BZ80" i="4"/>
  <c r="BZ81" i="4"/>
  <c r="BZ64" i="4"/>
  <c r="BZ65" i="4"/>
  <c r="BZ66" i="4"/>
  <c r="BZ67" i="4"/>
  <c r="BZ68" i="4"/>
  <c r="BZ69" i="4"/>
  <c r="BZ70" i="4"/>
  <c r="BZ85" i="4"/>
  <c r="CA76" i="4"/>
  <c r="CA77" i="4"/>
  <c r="CA78" i="4"/>
  <c r="CA79" i="4"/>
  <c r="CA80" i="4"/>
  <c r="CA81" i="4"/>
  <c r="CA64" i="4"/>
  <c r="CA65" i="4"/>
  <c r="CA66" i="4"/>
  <c r="CA67" i="4"/>
  <c r="CA68" i="4"/>
  <c r="CA69" i="4"/>
  <c r="CA70" i="4"/>
  <c r="CA85" i="4"/>
  <c r="CB76" i="4"/>
  <c r="CB77" i="4"/>
  <c r="CB78" i="4"/>
  <c r="CB79" i="4"/>
  <c r="CB80" i="4"/>
  <c r="CB81" i="4"/>
  <c r="CB64" i="4"/>
  <c r="CB65" i="4"/>
  <c r="CB66" i="4"/>
  <c r="CB67" i="4"/>
  <c r="CB68" i="4"/>
  <c r="CB69" i="4"/>
  <c r="CB70" i="4"/>
  <c r="CB85" i="4"/>
  <c r="CC76" i="4"/>
  <c r="CC77" i="4"/>
  <c r="CC78" i="4"/>
  <c r="CC79" i="4"/>
  <c r="CC80" i="4"/>
  <c r="CC81" i="4"/>
  <c r="CC64" i="4"/>
  <c r="CC65" i="4"/>
  <c r="CC66" i="4"/>
  <c r="CC67" i="4"/>
  <c r="CC68" i="4"/>
  <c r="CC69" i="4"/>
  <c r="CC70" i="4"/>
  <c r="CC85" i="4"/>
  <c r="CD76" i="4"/>
  <c r="CD77" i="4"/>
  <c r="CD78" i="4"/>
  <c r="CD79" i="4"/>
  <c r="CD80" i="4"/>
  <c r="CD81" i="4"/>
  <c r="CD64" i="4"/>
  <c r="CD65" i="4"/>
  <c r="CD66" i="4"/>
  <c r="CD67" i="4"/>
  <c r="CD68" i="4"/>
  <c r="CD69" i="4"/>
  <c r="CD70" i="4"/>
  <c r="CD85" i="4"/>
  <c r="CE76" i="4"/>
  <c r="CE77" i="4"/>
  <c r="CE78" i="4"/>
  <c r="CE79" i="4"/>
  <c r="CE80" i="4"/>
  <c r="CE81" i="4"/>
  <c r="CE64" i="4"/>
  <c r="CE65" i="4"/>
  <c r="CE66" i="4"/>
  <c r="CE67" i="4"/>
  <c r="CE68" i="4"/>
  <c r="CE69" i="4"/>
  <c r="CE70" i="4"/>
  <c r="CE85" i="4"/>
  <c r="CF76" i="4"/>
  <c r="CF77" i="4"/>
  <c r="CF78" i="4"/>
  <c r="CF79" i="4"/>
  <c r="CF80" i="4"/>
  <c r="CF81" i="4"/>
  <c r="CF64" i="4"/>
  <c r="CF65" i="4"/>
  <c r="CF66" i="4"/>
  <c r="CF67" i="4"/>
  <c r="CF68" i="4"/>
  <c r="CF69" i="4"/>
  <c r="CF70" i="4"/>
  <c r="CF85" i="4"/>
  <c r="CG76" i="4"/>
  <c r="CG77" i="4"/>
  <c r="CG78" i="4"/>
  <c r="CG79" i="4"/>
  <c r="CG80" i="4"/>
  <c r="CG81" i="4"/>
  <c r="CG64" i="4"/>
  <c r="CG65" i="4"/>
  <c r="CG66" i="4"/>
  <c r="CG67" i="4"/>
  <c r="CG68" i="4"/>
  <c r="CG69" i="4"/>
  <c r="CG70" i="4"/>
  <c r="CG85" i="4"/>
  <c r="CH76" i="4"/>
  <c r="CH77" i="4"/>
  <c r="CH78" i="4"/>
  <c r="CH79" i="4"/>
  <c r="CH80" i="4"/>
  <c r="CH81" i="4"/>
  <c r="CH64" i="4"/>
  <c r="CH65" i="4"/>
  <c r="CH66" i="4"/>
  <c r="CH67" i="4"/>
  <c r="CH68" i="4"/>
  <c r="CH69" i="4"/>
  <c r="CH70" i="4"/>
  <c r="CH85" i="4"/>
  <c r="CI76" i="4"/>
  <c r="CI77" i="4"/>
  <c r="CI78" i="4"/>
  <c r="CI79" i="4"/>
  <c r="CI80" i="4"/>
  <c r="CI81" i="4"/>
  <c r="CI64" i="4"/>
  <c r="CI65" i="4"/>
  <c r="CI66" i="4"/>
  <c r="CI67" i="4"/>
  <c r="CI68" i="4"/>
  <c r="CI69" i="4"/>
  <c r="CI70" i="4"/>
  <c r="CI85" i="4"/>
  <c r="CJ76" i="4"/>
  <c r="CJ77" i="4"/>
  <c r="CJ78" i="4"/>
  <c r="CJ79" i="4"/>
  <c r="CJ80" i="4"/>
  <c r="CJ81" i="4"/>
  <c r="CJ64" i="4"/>
  <c r="CJ65" i="4"/>
  <c r="CJ66" i="4"/>
  <c r="CJ67" i="4"/>
  <c r="CJ68" i="4"/>
  <c r="CJ69" i="4"/>
  <c r="CJ70" i="4"/>
  <c r="CJ85" i="4"/>
  <c r="CK76" i="4"/>
  <c r="CK77" i="4"/>
  <c r="CK78" i="4"/>
  <c r="CK79" i="4"/>
  <c r="CK80" i="4"/>
  <c r="CK81" i="4"/>
  <c r="CK64" i="4"/>
  <c r="CK65" i="4"/>
  <c r="CK66" i="4"/>
  <c r="CK67" i="4"/>
  <c r="CK68" i="4"/>
  <c r="CK69" i="4"/>
  <c r="CK70" i="4"/>
  <c r="CK85" i="4"/>
  <c r="CL76" i="4"/>
  <c r="CL77" i="4"/>
  <c r="CL78" i="4"/>
  <c r="CL79" i="4"/>
  <c r="CL80" i="4"/>
  <c r="CL81" i="4"/>
  <c r="CL64" i="4"/>
  <c r="CL65" i="4"/>
  <c r="CL66" i="4"/>
  <c r="CL67" i="4"/>
  <c r="CL68" i="4"/>
  <c r="CL69" i="4"/>
  <c r="CL70" i="4"/>
  <c r="CL85" i="4"/>
  <c r="CM76" i="4"/>
  <c r="CM77" i="4"/>
  <c r="CM78" i="4"/>
  <c r="CM79" i="4"/>
  <c r="CM80" i="4"/>
  <c r="CM81" i="4"/>
  <c r="CM64" i="4"/>
  <c r="CM65" i="4"/>
  <c r="CM66" i="4"/>
  <c r="CM67" i="4"/>
  <c r="CM68" i="4"/>
  <c r="CM69" i="4"/>
  <c r="CM70" i="4"/>
  <c r="CM85" i="4"/>
  <c r="CN76" i="4"/>
  <c r="CN77" i="4"/>
  <c r="CN78" i="4"/>
  <c r="CN79" i="4"/>
  <c r="CN80" i="4"/>
  <c r="CN81" i="4"/>
  <c r="CN64" i="4"/>
  <c r="CN65" i="4"/>
  <c r="CN66" i="4"/>
  <c r="CN67" i="4"/>
  <c r="CN68" i="4"/>
  <c r="CN69" i="4"/>
  <c r="CN70" i="4"/>
  <c r="CN85" i="4"/>
  <c r="CO76" i="4"/>
  <c r="CO77" i="4"/>
  <c r="CO78" i="4"/>
  <c r="CO79" i="4"/>
  <c r="CO80" i="4"/>
  <c r="CO81" i="4"/>
  <c r="CO64" i="4"/>
  <c r="CO65" i="4"/>
  <c r="CO66" i="4"/>
  <c r="CO67" i="4"/>
  <c r="CO68" i="4"/>
  <c r="CO69" i="4"/>
  <c r="CO70" i="4"/>
  <c r="CO85" i="4"/>
  <c r="CQ48" i="4"/>
  <c r="CR48" i="4"/>
  <c r="CS48" i="4"/>
  <c r="CT48" i="4"/>
  <c r="CV48" i="4"/>
  <c r="CW48" i="4"/>
  <c r="CX48" i="4"/>
  <c r="CY48" i="4"/>
  <c r="CZ48" i="4"/>
  <c r="DA48" i="4"/>
  <c r="DB48" i="4"/>
  <c r="DC48" i="4"/>
  <c r="DD48" i="4"/>
  <c r="DE48" i="4"/>
  <c r="DF48" i="4"/>
  <c r="DG48" i="4"/>
  <c r="DH48" i="4"/>
  <c r="DI48" i="4"/>
  <c r="DJ48" i="4"/>
  <c r="DK48" i="4"/>
  <c r="DL48" i="4"/>
  <c r="DM48" i="4"/>
  <c r="DN48" i="4"/>
  <c r="DO48" i="4"/>
  <c r="DP48" i="4"/>
  <c r="DQ48" i="4"/>
  <c r="DR48" i="4"/>
  <c r="DS48" i="4"/>
  <c r="DT48" i="4"/>
  <c r="DU48" i="4"/>
  <c r="DV48" i="4"/>
  <c r="DW48" i="4"/>
  <c r="DX48" i="4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EL48" i="4"/>
  <c r="EM48" i="4"/>
  <c r="EN48" i="4"/>
  <c r="EO48" i="4"/>
  <c r="EP48" i="4"/>
  <c r="CQ76" i="4"/>
  <c r="CQ49" i="4"/>
  <c r="CR49" i="4"/>
  <c r="CS49" i="4"/>
  <c r="CT49" i="4"/>
  <c r="CU49" i="4"/>
  <c r="CV49" i="4"/>
  <c r="CW49" i="4"/>
  <c r="CX49" i="4"/>
  <c r="CY49" i="4"/>
  <c r="CZ49" i="4"/>
  <c r="DA49" i="4"/>
  <c r="DB49" i="4"/>
  <c r="DC49" i="4"/>
  <c r="DD49" i="4"/>
  <c r="DE49" i="4"/>
  <c r="DF49" i="4"/>
  <c r="DG49" i="4"/>
  <c r="DH49" i="4"/>
  <c r="DI49" i="4"/>
  <c r="DJ49" i="4"/>
  <c r="DK49" i="4"/>
  <c r="DL49" i="4"/>
  <c r="DM49" i="4"/>
  <c r="DN49" i="4"/>
  <c r="DO49" i="4"/>
  <c r="DP49" i="4"/>
  <c r="DQ49" i="4"/>
  <c r="DR49" i="4"/>
  <c r="DS49" i="4"/>
  <c r="DT49" i="4"/>
  <c r="DU49" i="4"/>
  <c r="DV49" i="4"/>
  <c r="DW49" i="4"/>
  <c r="DX49" i="4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EL49" i="4"/>
  <c r="EM49" i="4"/>
  <c r="EN49" i="4"/>
  <c r="EO49" i="4"/>
  <c r="EP49" i="4"/>
  <c r="CQ77" i="4"/>
  <c r="CQ50" i="4"/>
  <c r="CR50" i="4"/>
  <c r="CS50" i="4"/>
  <c r="CT50" i="4"/>
  <c r="CV50" i="4"/>
  <c r="CW50" i="4"/>
  <c r="CX50" i="4"/>
  <c r="CY50" i="4"/>
  <c r="CZ50" i="4"/>
  <c r="DA50" i="4"/>
  <c r="DB50" i="4"/>
  <c r="DC50" i="4"/>
  <c r="DD50" i="4"/>
  <c r="DE50" i="4"/>
  <c r="DF50" i="4"/>
  <c r="DG50" i="4"/>
  <c r="DH50" i="4"/>
  <c r="DI50" i="4"/>
  <c r="DJ50" i="4"/>
  <c r="DK50" i="4"/>
  <c r="DL50" i="4"/>
  <c r="DM50" i="4"/>
  <c r="DN50" i="4"/>
  <c r="DO50" i="4"/>
  <c r="DP50" i="4"/>
  <c r="DQ50" i="4"/>
  <c r="DR50" i="4"/>
  <c r="DS50" i="4"/>
  <c r="DT50" i="4"/>
  <c r="DU50" i="4"/>
  <c r="DV50" i="4"/>
  <c r="DW50" i="4"/>
  <c r="DX50" i="4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EL50" i="4"/>
  <c r="EM50" i="4"/>
  <c r="EN50" i="4"/>
  <c r="EO50" i="4"/>
  <c r="EP50" i="4"/>
  <c r="CQ78" i="4"/>
  <c r="CQ51" i="4"/>
  <c r="CR51" i="4"/>
  <c r="CS51" i="4"/>
  <c r="CT51" i="4"/>
  <c r="CU51" i="4"/>
  <c r="CV51" i="4"/>
  <c r="CW51" i="4"/>
  <c r="CX51" i="4"/>
  <c r="CY51" i="4"/>
  <c r="CZ51" i="4"/>
  <c r="DA51" i="4"/>
  <c r="DB51" i="4"/>
  <c r="DC51" i="4"/>
  <c r="DD51" i="4"/>
  <c r="DE51" i="4"/>
  <c r="DF51" i="4"/>
  <c r="DG51" i="4"/>
  <c r="DH51" i="4"/>
  <c r="DI51" i="4"/>
  <c r="DJ51" i="4"/>
  <c r="DK51" i="4"/>
  <c r="DL51" i="4"/>
  <c r="DM51" i="4"/>
  <c r="DN51" i="4"/>
  <c r="DO51" i="4"/>
  <c r="DP51" i="4"/>
  <c r="DQ51" i="4"/>
  <c r="DR51" i="4"/>
  <c r="DS51" i="4"/>
  <c r="DT51" i="4"/>
  <c r="DU51" i="4"/>
  <c r="DV51" i="4"/>
  <c r="DW51" i="4"/>
  <c r="DX51" i="4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EL51" i="4"/>
  <c r="EM51" i="4"/>
  <c r="EN51" i="4"/>
  <c r="EO51" i="4"/>
  <c r="EP51" i="4"/>
  <c r="CQ79" i="4"/>
  <c r="CQ52" i="4"/>
  <c r="CR52" i="4"/>
  <c r="CS52" i="4"/>
  <c r="CT52" i="4"/>
  <c r="CU52" i="4"/>
  <c r="CV52" i="4"/>
  <c r="CW52" i="4"/>
  <c r="CX52" i="4"/>
  <c r="CY52" i="4"/>
  <c r="CZ52" i="4"/>
  <c r="DA52" i="4"/>
  <c r="DB52" i="4"/>
  <c r="DC52" i="4"/>
  <c r="DD52" i="4"/>
  <c r="DE52" i="4"/>
  <c r="DF52" i="4"/>
  <c r="DG52" i="4"/>
  <c r="DH52" i="4"/>
  <c r="DI52" i="4"/>
  <c r="DJ52" i="4"/>
  <c r="DK52" i="4"/>
  <c r="DL52" i="4"/>
  <c r="DM52" i="4"/>
  <c r="DN52" i="4"/>
  <c r="DO52" i="4"/>
  <c r="DP52" i="4"/>
  <c r="DQ52" i="4"/>
  <c r="DR52" i="4"/>
  <c r="DS52" i="4"/>
  <c r="DT52" i="4"/>
  <c r="DU52" i="4"/>
  <c r="DV52" i="4"/>
  <c r="DW52" i="4"/>
  <c r="DX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EL52" i="4"/>
  <c r="EM52" i="4"/>
  <c r="EN52" i="4"/>
  <c r="EO52" i="4"/>
  <c r="EP52" i="4"/>
  <c r="CQ80" i="4"/>
  <c r="CQ81" i="4"/>
  <c r="CQ36" i="4"/>
  <c r="CR36" i="4"/>
  <c r="CS36" i="4"/>
  <c r="CT36" i="4"/>
  <c r="CU36" i="4"/>
  <c r="CV36" i="4"/>
  <c r="CW36" i="4"/>
  <c r="CX36" i="4"/>
  <c r="CY36" i="4"/>
  <c r="CZ36" i="4"/>
  <c r="DA36" i="4"/>
  <c r="DB36" i="4"/>
  <c r="DC36" i="4"/>
  <c r="DD36" i="4"/>
  <c r="DE36" i="4"/>
  <c r="DF36" i="4"/>
  <c r="DG36" i="4"/>
  <c r="DH36" i="4"/>
  <c r="DI36" i="4"/>
  <c r="DJ36" i="4"/>
  <c r="DK36" i="4"/>
  <c r="DL36" i="4"/>
  <c r="DM36" i="4"/>
  <c r="DN36" i="4"/>
  <c r="DO36" i="4"/>
  <c r="DP36" i="4"/>
  <c r="DQ36" i="4"/>
  <c r="DR36" i="4"/>
  <c r="DS36" i="4"/>
  <c r="DT36" i="4"/>
  <c r="DU36" i="4"/>
  <c r="DV36" i="4"/>
  <c r="DW36" i="4"/>
  <c r="DX36" i="4"/>
  <c r="DY36" i="4"/>
  <c r="DZ36" i="4"/>
  <c r="EA36" i="4"/>
  <c r="EB36" i="4"/>
  <c r="EC36" i="4"/>
  <c r="ED36" i="4"/>
  <c r="EE36" i="4"/>
  <c r="EF36" i="4"/>
  <c r="EG36" i="4"/>
  <c r="EH36" i="4"/>
  <c r="EI36" i="4"/>
  <c r="EJ36" i="4"/>
  <c r="EK36" i="4"/>
  <c r="EL36" i="4"/>
  <c r="EM36" i="4"/>
  <c r="EN36" i="4"/>
  <c r="EO36" i="4"/>
  <c r="EP36" i="4"/>
  <c r="CQ64" i="4"/>
  <c r="CQ37" i="4"/>
  <c r="CR37" i="4"/>
  <c r="CS37" i="4"/>
  <c r="CT37" i="4"/>
  <c r="CU37" i="4"/>
  <c r="CV37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DI37" i="4"/>
  <c r="DJ37" i="4"/>
  <c r="DK37" i="4"/>
  <c r="DL37" i="4"/>
  <c r="DM37" i="4"/>
  <c r="DN37" i="4"/>
  <c r="DO37" i="4"/>
  <c r="DP37" i="4"/>
  <c r="DQ37" i="4"/>
  <c r="DR37" i="4"/>
  <c r="DS37" i="4"/>
  <c r="DT37" i="4"/>
  <c r="DU37" i="4"/>
  <c r="DV37" i="4"/>
  <c r="DW37" i="4"/>
  <c r="DX37" i="4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EP37" i="4"/>
  <c r="CQ65" i="4"/>
  <c r="CQ38" i="4"/>
  <c r="CR38" i="4"/>
  <c r="CS38" i="4"/>
  <c r="CT38" i="4"/>
  <c r="CU38" i="4"/>
  <c r="CV38" i="4"/>
  <c r="CW38" i="4"/>
  <c r="CX38" i="4"/>
  <c r="CY38" i="4"/>
  <c r="CZ38" i="4"/>
  <c r="DA38" i="4"/>
  <c r="DB38" i="4"/>
  <c r="DC38" i="4"/>
  <c r="DD38" i="4"/>
  <c r="DE38" i="4"/>
  <c r="DF38" i="4"/>
  <c r="DG38" i="4"/>
  <c r="DH38" i="4"/>
  <c r="DI38" i="4"/>
  <c r="DJ38" i="4"/>
  <c r="DK38" i="4"/>
  <c r="DL38" i="4"/>
  <c r="DM38" i="4"/>
  <c r="DN38" i="4"/>
  <c r="DO38" i="4"/>
  <c r="DP38" i="4"/>
  <c r="DQ38" i="4"/>
  <c r="DR38" i="4"/>
  <c r="DS38" i="4"/>
  <c r="DT38" i="4"/>
  <c r="DU38" i="4"/>
  <c r="DV38" i="4"/>
  <c r="DW38" i="4"/>
  <c r="DX38" i="4"/>
  <c r="DY38" i="4"/>
  <c r="DZ38" i="4"/>
  <c r="EA38" i="4"/>
  <c r="EB38" i="4"/>
  <c r="EC38" i="4"/>
  <c r="ED38" i="4"/>
  <c r="EE38" i="4"/>
  <c r="EF38" i="4"/>
  <c r="EG38" i="4"/>
  <c r="EH38" i="4"/>
  <c r="EI38" i="4"/>
  <c r="EJ38" i="4"/>
  <c r="EK38" i="4"/>
  <c r="EL38" i="4"/>
  <c r="EM38" i="4"/>
  <c r="EN38" i="4"/>
  <c r="EO38" i="4"/>
  <c r="EP38" i="4"/>
  <c r="CQ66" i="4"/>
  <c r="CQ39" i="4"/>
  <c r="CR39" i="4"/>
  <c r="CS39" i="4"/>
  <c r="CT39" i="4"/>
  <c r="CU39" i="4"/>
  <c r="CV39" i="4"/>
  <c r="CW39" i="4"/>
  <c r="CX39" i="4"/>
  <c r="CY39" i="4"/>
  <c r="CZ39" i="4"/>
  <c r="DA39" i="4"/>
  <c r="DB39" i="4"/>
  <c r="DC39" i="4"/>
  <c r="DD39" i="4"/>
  <c r="DE39" i="4"/>
  <c r="DF39" i="4"/>
  <c r="DG39" i="4"/>
  <c r="DH39" i="4"/>
  <c r="DI39" i="4"/>
  <c r="DJ39" i="4"/>
  <c r="DK39" i="4"/>
  <c r="DL39" i="4"/>
  <c r="DM39" i="4"/>
  <c r="DN39" i="4"/>
  <c r="DO39" i="4"/>
  <c r="DP39" i="4"/>
  <c r="DQ39" i="4"/>
  <c r="DR39" i="4"/>
  <c r="DS39" i="4"/>
  <c r="DT39" i="4"/>
  <c r="DU39" i="4"/>
  <c r="DV39" i="4"/>
  <c r="DW39" i="4"/>
  <c r="DX39" i="4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EP39" i="4"/>
  <c r="CQ67" i="4"/>
  <c r="CQ40" i="4"/>
  <c r="CR40" i="4"/>
  <c r="CS40" i="4"/>
  <c r="CT40" i="4"/>
  <c r="CV40" i="4"/>
  <c r="CW40" i="4"/>
  <c r="CX40" i="4"/>
  <c r="CY40" i="4"/>
  <c r="CZ40" i="4"/>
  <c r="DA40" i="4"/>
  <c r="DB40" i="4"/>
  <c r="DC40" i="4"/>
  <c r="DD40" i="4"/>
  <c r="DE40" i="4"/>
  <c r="DF40" i="4"/>
  <c r="DG40" i="4"/>
  <c r="DH40" i="4"/>
  <c r="DI40" i="4"/>
  <c r="DJ40" i="4"/>
  <c r="DK40" i="4"/>
  <c r="DL40" i="4"/>
  <c r="DM40" i="4"/>
  <c r="DN40" i="4"/>
  <c r="DO40" i="4"/>
  <c r="DP40" i="4"/>
  <c r="DQ40" i="4"/>
  <c r="DR40" i="4"/>
  <c r="DS40" i="4"/>
  <c r="DT40" i="4"/>
  <c r="DU40" i="4"/>
  <c r="DV40" i="4"/>
  <c r="DW40" i="4"/>
  <c r="DX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EL40" i="4"/>
  <c r="EM40" i="4"/>
  <c r="EN40" i="4"/>
  <c r="EO40" i="4"/>
  <c r="EP40" i="4"/>
  <c r="CQ68" i="4"/>
  <c r="CQ41" i="4"/>
  <c r="CR41" i="4"/>
  <c r="CS41" i="4"/>
  <c r="CT41" i="4"/>
  <c r="CU41" i="4"/>
  <c r="CV41" i="4"/>
  <c r="CW41" i="4"/>
  <c r="CX41" i="4"/>
  <c r="CY41" i="4"/>
  <c r="CZ41" i="4"/>
  <c r="DA41" i="4"/>
  <c r="DB41" i="4"/>
  <c r="DC41" i="4"/>
  <c r="DD41" i="4"/>
  <c r="DE41" i="4"/>
  <c r="DF41" i="4"/>
  <c r="DG41" i="4"/>
  <c r="DH41" i="4"/>
  <c r="DI41" i="4"/>
  <c r="DJ41" i="4"/>
  <c r="DK41" i="4"/>
  <c r="DL41" i="4"/>
  <c r="DM41" i="4"/>
  <c r="DN41" i="4"/>
  <c r="DO41" i="4"/>
  <c r="DP41" i="4"/>
  <c r="DQ41" i="4"/>
  <c r="DR41" i="4"/>
  <c r="DS41" i="4"/>
  <c r="DT41" i="4"/>
  <c r="DU41" i="4"/>
  <c r="DV41" i="4"/>
  <c r="DW41" i="4"/>
  <c r="DX41" i="4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EL41" i="4"/>
  <c r="EM41" i="4"/>
  <c r="EN41" i="4"/>
  <c r="EO41" i="4"/>
  <c r="EP41" i="4"/>
  <c r="CQ69" i="4"/>
  <c r="CQ70" i="4"/>
  <c r="CQ85" i="4"/>
  <c r="CR76" i="4"/>
  <c r="CR77" i="4"/>
  <c r="CR78" i="4"/>
  <c r="CR79" i="4"/>
  <c r="CR80" i="4"/>
  <c r="CR81" i="4"/>
  <c r="CR64" i="4"/>
  <c r="CR65" i="4"/>
  <c r="CR66" i="4"/>
  <c r="CR67" i="4"/>
  <c r="CR68" i="4"/>
  <c r="CR69" i="4"/>
  <c r="CR70" i="4"/>
  <c r="CR85" i="4"/>
  <c r="CS76" i="4"/>
  <c r="CS77" i="4"/>
  <c r="CS78" i="4"/>
  <c r="CS79" i="4"/>
  <c r="CS80" i="4"/>
  <c r="CS81" i="4"/>
  <c r="CS64" i="4"/>
  <c r="CS65" i="4"/>
  <c r="CS66" i="4"/>
  <c r="CS67" i="4"/>
  <c r="CS68" i="4"/>
  <c r="CS69" i="4"/>
  <c r="CS70" i="4"/>
  <c r="CS85" i="4"/>
  <c r="CT76" i="4"/>
  <c r="CT77" i="4"/>
  <c r="CT78" i="4"/>
  <c r="CT79" i="4"/>
  <c r="CT80" i="4"/>
  <c r="CT81" i="4"/>
  <c r="CT64" i="4"/>
  <c r="CT65" i="4"/>
  <c r="CT66" i="4"/>
  <c r="CT67" i="4"/>
  <c r="CT68" i="4"/>
  <c r="CT69" i="4"/>
  <c r="CT70" i="4"/>
  <c r="CT85" i="4"/>
  <c r="CU76" i="4"/>
  <c r="CU77" i="4"/>
  <c r="CU78" i="4"/>
  <c r="CU79" i="4"/>
  <c r="CU80" i="4"/>
  <c r="CU81" i="4"/>
  <c r="CU64" i="4"/>
  <c r="CU65" i="4"/>
  <c r="CU66" i="4"/>
  <c r="CU67" i="4"/>
  <c r="CU68" i="4"/>
  <c r="CU69" i="4"/>
  <c r="CU70" i="4"/>
  <c r="CU85" i="4"/>
  <c r="CV76" i="4"/>
  <c r="CV77" i="4"/>
  <c r="CV78" i="4"/>
  <c r="CV79" i="4"/>
  <c r="CV80" i="4"/>
  <c r="CV81" i="4"/>
  <c r="CV64" i="4"/>
  <c r="CV65" i="4"/>
  <c r="CV66" i="4"/>
  <c r="CV67" i="4"/>
  <c r="CV68" i="4"/>
  <c r="CV69" i="4"/>
  <c r="CV70" i="4"/>
  <c r="CV85" i="4"/>
  <c r="CW76" i="4"/>
  <c r="CW77" i="4"/>
  <c r="CW78" i="4"/>
  <c r="CW79" i="4"/>
  <c r="CW80" i="4"/>
  <c r="CW81" i="4"/>
  <c r="CW64" i="4"/>
  <c r="CW65" i="4"/>
  <c r="CW66" i="4"/>
  <c r="CW67" i="4"/>
  <c r="CW68" i="4"/>
  <c r="CW69" i="4"/>
  <c r="CW70" i="4"/>
  <c r="CW85" i="4"/>
  <c r="CX76" i="4"/>
  <c r="CX77" i="4"/>
  <c r="CX78" i="4"/>
  <c r="CX79" i="4"/>
  <c r="CX80" i="4"/>
  <c r="CX81" i="4"/>
  <c r="CX64" i="4"/>
  <c r="CX65" i="4"/>
  <c r="CX66" i="4"/>
  <c r="CX67" i="4"/>
  <c r="CX68" i="4"/>
  <c r="CX69" i="4"/>
  <c r="CX70" i="4"/>
  <c r="CX85" i="4"/>
  <c r="CY76" i="4"/>
  <c r="CY77" i="4"/>
  <c r="CY78" i="4"/>
  <c r="CY79" i="4"/>
  <c r="CY80" i="4"/>
  <c r="CY81" i="4"/>
  <c r="CY64" i="4"/>
  <c r="CY65" i="4"/>
  <c r="CY66" i="4"/>
  <c r="CY67" i="4"/>
  <c r="CY68" i="4"/>
  <c r="CY69" i="4"/>
  <c r="CY70" i="4"/>
  <c r="CY85" i="4"/>
  <c r="CZ76" i="4"/>
  <c r="CZ77" i="4"/>
  <c r="CZ78" i="4"/>
  <c r="CZ79" i="4"/>
  <c r="CZ80" i="4"/>
  <c r="CZ81" i="4"/>
  <c r="CZ64" i="4"/>
  <c r="CZ65" i="4"/>
  <c r="CZ66" i="4"/>
  <c r="CZ67" i="4"/>
  <c r="CZ68" i="4"/>
  <c r="CZ69" i="4"/>
  <c r="CZ70" i="4"/>
  <c r="CZ85" i="4"/>
  <c r="DA76" i="4"/>
  <c r="DA77" i="4"/>
  <c r="DA78" i="4"/>
  <c r="DA79" i="4"/>
  <c r="DA80" i="4"/>
  <c r="DA81" i="4"/>
  <c r="DA64" i="4"/>
  <c r="DA65" i="4"/>
  <c r="DA66" i="4"/>
  <c r="DA67" i="4"/>
  <c r="DA68" i="4"/>
  <c r="DA69" i="4"/>
  <c r="DA70" i="4"/>
  <c r="DA85" i="4"/>
  <c r="DB76" i="4"/>
  <c r="DB77" i="4"/>
  <c r="DB78" i="4"/>
  <c r="DB79" i="4"/>
  <c r="DB80" i="4"/>
  <c r="DB81" i="4"/>
  <c r="DB64" i="4"/>
  <c r="DB65" i="4"/>
  <c r="DB66" i="4"/>
  <c r="DB67" i="4"/>
  <c r="DB68" i="4"/>
  <c r="DB69" i="4"/>
  <c r="DB70" i="4"/>
  <c r="DB85" i="4"/>
  <c r="DC76" i="4"/>
  <c r="DC77" i="4"/>
  <c r="DC78" i="4"/>
  <c r="DC79" i="4"/>
  <c r="DC80" i="4"/>
  <c r="DC81" i="4"/>
  <c r="DC64" i="4"/>
  <c r="DC65" i="4"/>
  <c r="DC66" i="4"/>
  <c r="DC67" i="4"/>
  <c r="DC68" i="4"/>
  <c r="DC69" i="4"/>
  <c r="DC70" i="4"/>
  <c r="DC85" i="4"/>
  <c r="DD76" i="4"/>
  <c r="DD77" i="4"/>
  <c r="DD78" i="4"/>
  <c r="DD79" i="4"/>
  <c r="DD80" i="4"/>
  <c r="DD81" i="4"/>
  <c r="DD64" i="4"/>
  <c r="DD65" i="4"/>
  <c r="DD66" i="4"/>
  <c r="DD67" i="4"/>
  <c r="DD68" i="4"/>
  <c r="DD69" i="4"/>
  <c r="DD70" i="4"/>
  <c r="DD85" i="4"/>
  <c r="DE76" i="4"/>
  <c r="DE77" i="4"/>
  <c r="DE78" i="4"/>
  <c r="DE79" i="4"/>
  <c r="DE80" i="4"/>
  <c r="DE81" i="4"/>
  <c r="DE64" i="4"/>
  <c r="DE65" i="4"/>
  <c r="DE66" i="4"/>
  <c r="DE67" i="4"/>
  <c r="DE68" i="4"/>
  <c r="DE69" i="4"/>
  <c r="DE70" i="4"/>
  <c r="DE85" i="4"/>
  <c r="DF76" i="4"/>
  <c r="DF77" i="4"/>
  <c r="DF78" i="4"/>
  <c r="DF79" i="4"/>
  <c r="DF80" i="4"/>
  <c r="DF81" i="4"/>
  <c r="DF64" i="4"/>
  <c r="DF65" i="4"/>
  <c r="DF66" i="4"/>
  <c r="DF67" i="4"/>
  <c r="DF68" i="4"/>
  <c r="DF69" i="4"/>
  <c r="DF70" i="4"/>
  <c r="DF85" i="4"/>
  <c r="DG76" i="4"/>
  <c r="DG77" i="4"/>
  <c r="DG78" i="4"/>
  <c r="DG79" i="4"/>
  <c r="DG80" i="4"/>
  <c r="DG81" i="4"/>
  <c r="DG64" i="4"/>
  <c r="DG65" i="4"/>
  <c r="DG66" i="4"/>
  <c r="DG67" i="4"/>
  <c r="DG68" i="4"/>
  <c r="DG69" i="4"/>
  <c r="DG70" i="4"/>
  <c r="DG85" i="4"/>
  <c r="DH76" i="4"/>
  <c r="DH77" i="4"/>
  <c r="DH78" i="4"/>
  <c r="DH79" i="4"/>
  <c r="DH80" i="4"/>
  <c r="DH81" i="4"/>
  <c r="DH64" i="4"/>
  <c r="DH65" i="4"/>
  <c r="DH66" i="4"/>
  <c r="DH67" i="4"/>
  <c r="DH68" i="4"/>
  <c r="DH69" i="4"/>
  <c r="DH70" i="4"/>
  <c r="DH85" i="4"/>
  <c r="DI76" i="4"/>
  <c r="DI77" i="4"/>
  <c r="DI78" i="4"/>
  <c r="DI79" i="4"/>
  <c r="DI80" i="4"/>
  <c r="DI81" i="4"/>
  <c r="DI64" i="4"/>
  <c r="DI65" i="4"/>
  <c r="DI66" i="4"/>
  <c r="DI67" i="4"/>
  <c r="DI68" i="4"/>
  <c r="DI69" i="4"/>
  <c r="DI70" i="4"/>
  <c r="DI85" i="4"/>
  <c r="DJ76" i="4"/>
  <c r="DJ77" i="4"/>
  <c r="DJ78" i="4"/>
  <c r="DJ79" i="4"/>
  <c r="DJ80" i="4"/>
  <c r="DJ81" i="4"/>
  <c r="DJ64" i="4"/>
  <c r="DJ65" i="4"/>
  <c r="DJ66" i="4"/>
  <c r="DJ67" i="4"/>
  <c r="DJ68" i="4"/>
  <c r="DJ69" i="4"/>
  <c r="DJ70" i="4"/>
  <c r="DJ85" i="4"/>
  <c r="DK76" i="4"/>
  <c r="DK77" i="4"/>
  <c r="DK78" i="4"/>
  <c r="DK79" i="4"/>
  <c r="DK80" i="4"/>
  <c r="DK81" i="4"/>
  <c r="DK64" i="4"/>
  <c r="DK65" i="4"/>
  <c r="DK66" i="4"/>
  <c r="DK67" i="4"/>
  <c r="DK68" i="4"/>
  <c r="DK69" i="4"/>
  <c r="DK70" i="4"/>
  <c r="DK85" i="4"/>
  <c r="DL76" i="4"/>
  <c r="DL77" i="4"/>
  <c r="DL78" i="4"/>
  <c r="DL79" i="4"/>
  <c r="DL80" i="4"/>
  <c r="DL81" i="4"/>
  <c r="DL64" i="4"/>
  <c r="DL65" i="4"/>
  <c r="DL66" i="4"/>
  <c r="DL67" i="4"/>
  <c r="DL68" i="4"/>
  <c r="DL69" i="4"/>
  <c r="DL70" i="4"/>
  <c r="DL85" i="4"/>
  <c r="DM76" i="4"/>
  <c r="DM77" i="4"/>
  <c r="DM78" i="4"/>
  <c r="DM79" i="4"/>
  <c r="DM80" i="4"/>
  <c r="DM81" i="4"/>
  <c r="DM64" i="4"/>
  <c r="DM65" i="4"/>
  <c r="DM66" i="4"/>
  <c r="DM67" i="4"/>
  <c r="DM68" i="4"/>
  <c r="DM69" i="4"/>
  <c r="DM70" i="4"/>
  <c r="DM85" i="4"/>
  <c r="DN76" i="4"/>
  <c r="DN77" i="4"/>
  <c r="DN78" i="4"/>
  <c r="DN79" i="4"/>
  <c r="DN80" i="4"/>
  <c r="DN81" i="4"/>
  <c r="DN64" i="4"/>
  <c r="DN65" i="4"/>
  <c r="DN66" i="4"/>
  <c r="DN67" i="4"/>
  <c r="DN68" i="4"/>
  <c r="DN69" i="4"/>
  <c r="DN70" i="4"/>
  <c r="DN85" i="4"/>
  <c r="DO76" i="4"/>
  <c r="DO77" i="4"/>
  <c r="DO78" i="4"/>
  <c r="DO79" i="4"/>
  <c r="DO80" i="4"/>
  <c r="DO81" i="4"/>
  <c r="DO64" i="4"/>
  <c r="DO65" i="4"/>
  <c r="DO66" i="4"/>
  <c r="DO67" i="4"/>
  <c r="DO68" i="4"/>
  <c r="DO69" i="4"/>
  <c r="DO70" i="4"/>
  <c r="DO85" i="4"/>
  <c r="DP76" i="4"/>
  <c r="DP77" i="4"/>
  <c r="DP78" i="4"/>
  <c r="DP79" i="4"/>
  <c r="DP80" i="4"/>
  <c r="DP81" i="4"/>
  <c r="DP64" i="4"/>
  <c r="DP65" i="4"/>
  <c r="DP66" i="4"/>
  <c r="DP67" i="4"/>
  <c r="DP68" i="4"/>
  <c r="DP69" i="4"/>
  <c r="DP70" i="4"/>
  <c r="DP85" i="4"/>
  <c r="DQ76" i="4"/>
  <c r="DQ77" i="4"/>
  <c r="DQ78" i="4"/>
  <c r="DQ79" i="4"/>
  <c r="DQ80" i="4"/>
  <c r="DQ81" i="4"/>
  <c r="DQ64" i="4"/>
  <c r="DQ65" i="4"/>
  <c r="DQ66" i="4"/>
  <c r="DQ67" i="4"/>
  <c r="DQ68" i="4"/>
  <c r="DQ69" i="4"/>
  <c r="DQ70" i="4"/>
  <c r="DQ85" i="4"/>
  <c r="DR76" i="4"/>
  <c r="DR77" i="4"/>
  <c r="DR78" i="4"/>
  <c r="DR79" i="4"/>
  <c r="DR80" i="4"/>
  <c r="DR81" i="4"/>
  <c r="DR64" i="4"/>
  <c r="DR65" i="4"/>
  <c r="DR66" i="4"/>
  <c r="DR67" i="4"/>
  <c r="DR68" i="4"/>
  <c r="DR69" i="4"/>
  <c r="DR70" i="4"/>
  <c r="DR85" i="4"/>
  <c r="DS76" i="4"/>
  <c r="DS77" i="4"/>
  <c r="DS78" i="4"/>
  <c r="DS79" i="4"/>
  <c r="DS80" i="4"/>
  <c r="DS81" i="4"/>
  <c r="DS64" i="4"/>
  <c r="DS65" i="4"/>
  <c r="DS66" i="4"/>
  <c r="DS67" i="4"/>
  <c r="DS68" i="4"/>
  <c r="DS69" i="4"/>
  <c r="DS70" i="4"/>
  <c r="DS85" i="4"/>
  <c r="DT76" i="4"/>
  <c r="DT77" i="4"/>
  <c r="DT78" i="4"/>
  <c r="DT79" i="4"/>
  <c r="DT80" i="4"/>
  <c r="DT81" i="4"/>
  <c r="DT64" i="4"/>
  <c r="DT65" i="4"/>
  <c r="DT66" i="4"/>
  <c r="DT67" i="4"/>
  <c r="DT68" i="4"/>
  <c r="DT69" i="4"/>
  <c r="DT70" i="4"/>
  <c r="DT85" i="4"/>
  <c r="DU76" i="4"/>
  <c r="DU77" i="4"/>
  <c r="DU78" i="4"/>
  <c r="DU79" i="4"/>
  <c r="DU80" i="4"/>
  <c r="DU81" i="4"/>
  <c r="DU64" i="4"/>
  <c r="DU65" i="4"/>
  <c r="DU66" i="4"/>
  <c r="DU67" i="4"/>
  <c r="DU68" i="4"/>
  <c r="DU69" i="4"/>
  <c r="DU70" i="4"/>
  <c r="DU85" i="4"/>
  <c r="DV76" i="4"/>
  <c r="DV77" i="4"/>
  <c r="DV78" i="4"/>
  <c r="DV79" i="4"/>
  <c r="DV80" i="4"/>
  <c r="DV81" i="4"/>
  <c r="DV64" i="4"/>
  <c r="DV65" i="4"/>
  <c r="DV66" i="4"/>
  <c r="DV67" i="4"/>
  <c r="DV68" i="4"/>
  <c r="DV69" i="4"/>
  <c r="DV70" i="4"/>
  <c r="DV85" i="4"/>
  <c r="DW76" i="4"/>
  <c r="DW77" i="4"/>
  <c r="DW78" i="4"/>
  <c r="DW79" i="4"/>
  <c r="DW80" i="4"/>
  <c r="DW81" i="4"/>
  <c r="DW64" i="4"/>
  <c r="DW65" i="4"/>
  <c r="DW66" i="4"/>
  <c r="DW67" i="4"/>
  <c r="DW68" i="4"/>
  <c r="DW69" i="4"/>
  <c r="DW70" i="4"/>
  <c r="DW85" i="4"/>
  <c r="DX76" i="4"/>
  <c r="DX77" i="4"/>
  <c r="DX78" i="4"/>
  <c r="DX79" i="4"/>
  <c r="DX80" i="4"/>
  <c r="DX81" i="4"/>
  <c r="DX64" i="4"/>
  <c r="DX65" i="4"/>
  <c r="DX66" i="4"/>
  <c r="DX67" i="4"/>
  <c r="DX68" i="4"/>
  <c r="DX69" i="4"/>
  <c r="DX70" i="4"/>
  <c r="DX85" i="4"/>
  <c r="DY76" i="4"/>
  <c r="DY77" i="4"/>
  <c r="DY78" i="4"/>
  <c r="DY79" i="4"/>
  <c r="DY80" i="4"/>
  <c r="DY81" i="4"/>
  <c r="DY64" i="4"/>
  <c r="DY65" i="4"/>
  <c r="DY66" i="4"/>
  <c r="DY67" i="4"/>
  <c r="DY68" i="4"/>
  <c r="DY69" i="4"/>
  <c r="DY70" i="4"/>
  <c r="DY85" i="4"/>
  <c r="DZ76" i="4"/>
  <c r="DZ77" i="4"/>
  <c r="DZ78" i="4"/>
  <c r="DZ79" i="4"/>
  <c r="DZ80" i="4"/>
  <c r="DZ81" i="4"/>
  <c r="DZ64" i="4"/>
  <c r="DZ65" i="4"/>
  <c r="DZ66" i="4"/>
  <c r="DZ67" i="4"/>
  <c r="DZ68" i="4"/>
  <c r="DZ69" i="4"/>
  <c r="DZ70" i="4"/>
  <c r="DZ85" i="4"/>
  <c r="EA76" i="4"/>
  <c r="EA77" i="4"/>
  <c r="EA78" i="4"/>
  <c r="EA79" i="4"/>
  <c r="EA80" i="4"/>
  <c r="EA81" i="4"/>
  <c r="EA64" i="4"/>
  <c r="EA65" i="4"/>
  <c r="EA66" i="4"/>
  <c r="EA67" i="4"/>
  <c r="EA68" i="4"/>
  <c r="EA69" i="4"/>
  <c r="EA70" i="4"/>
  <c r="EA85" i="4"/>
  <c r="EB76" i="4"/>
  <c r="EB77" i="4"/>
  <c r="EB78" i="4"/>
  <c r="EB79" i="4"/>
  <c r="EB80" i="4"/>
  <c r="EB81" i="4"/>
  <c r="EB64" i="4"/>
  <c r="EB65" i="4"/>
  <c r="EB66" i="4"/>
  <c r="EB67" i="4"/>
  <c r="EB68" i="4"/>
  <c r="EB69" i="4"/>
  <c r="EB70" i="4"/>
  <c r="EB85" i="4"/>
  <c r="EC76" i="4"/>
  <c r="EC77" i="4"/>
  <c r="EC78" i="4"/>
  <c r="EC79" i="4"/>
  <c r="EC80" i="4"/>
  <c r="EC81" i="4"/>
  <c r="EC64" i="4"/>
  <c r="EC65" i="4"/>
  <c r="EC66" i="4"/>
  <c r="EC67" i="4"/>
  <c r="EC68" i="4"/>
  <c r="EC69" i="4"/>
  <c r="EC70" i="4"/>
  <c r="EC85" i="4"/>
  <c r="ED76" i="4"/>
  <c r="ED77" i="4"/>
  <c r="ED78" i="4"/>
  <c r="ED79" i="4"/>
  <c r="ED80" i="4"/>
  <c r="ED81" i="4"/>
  <c r="ED64" i="4"/>
  <c r="ED65" i="4"/>
  <c r="ED66" i="4"/>
  <c r="ED67" i="4"/>
  <c r="ED68" i="4"/>
  <c r="ED69" i="4"/>
  <c r="ED70" i="4"/>
  <c r="ED85" i="4"/>
  <c r="EE76" i="4"/>
  <c r="EE77" i="4"/>
  <c r="EE78" i="4"/>
  <c r="EE79" i="4"/>
  <c r="EE80" i="4"/>
  <c r="EE81" i="4"/>
  <c r="EE64" i="4"/>
  <c r="EE65" i="4"/>
  <c r="EE66" i="4"/>
  <c r="EE67" i="4"/>
  <c r="EE68" i="4"/>
  <c r="EE69" i="4"/>
  <c r="EE70" i="4"/>
  <c r="EE85" i="4"/>
  <c r="EF76" i="4"/>
  <c r="EF77" i="4"/>
  <c r="EF78" i="4"/>
  <c r="EF79" i="4"/>
  <c r="EF80" i="4"/>
  <c r="EF81" i="4"/>
  <c r="EF64" i="4"/>
  <c r="EF65" i="4"/>
  <c r="EF66" i="4"/>
  <c r="EF67" i="4"/>
  <c r="EF68" i="4"/>
  <c r="EF69" i="4"/>
  <c r="EF70" i="4"/>
  <c r="EF85" i="4"/>
  <c r="EG76" i="4"/>
  <c r="EG77" i="4"/>
  <c r="EG78" i="4"/>
  <c r="EG79" i="4"/>
  <c r="EG80" i="4"/>
  <c r="EG81" i="4"/>
  <c r="EG64" i="4"/>
  <c r="EG65" i="4"/>
  <c r="EG66" i="4"/>
  <c r="EG67" i="4"/>
  <c r="EG68" i="4"/>
  <c r="EG69" i="4"/>
  <c r="EG70" i="4"/>
  <c r="EG85" i="4"/>
  <c r="EH76" i="4"/>
  <c r="EH77" i="4"/>
  <c r="EH78" i="4"/>
  <c r="EH79" i="4"/>
  <c r="EH80" i="4"/>
  <c r="EH81" i="4"/>
  <c r="EH64" i="4"/>
  <c r="EH65" i="4"/>
  <c r="EH66" i="4"/>
  <c r="EH67" i="4"/>
  <c r="EH68" i="4"/>
  <c r="EH69" i="4"/>
  <c r="EH70" i="4"/>
  <c r="EH85" i="4"/>
  <c r="EI76" i="4"/>
  <c r="EI77" i="4"/>
  <c r="EI78" i="4"/>
  <c r="EI79" i="4"/>
  <c r="EI80" i="4"/>
  <c r="EI81" i="4"/>
  <c r="EI64" i="4"/>
  <c r="EI65" i="4"/>
  <c r="EI66" i="4"/>
  <c r="EI67" i="4"/>
  <c r="EI68" i="4"/>
  <c r="EI69" i="4"/>
  <c r="EI70" i="4"/>
  <c r="EI85" i="4"/>
  <c r="EJ76" i="4"/>
  <c r="EJ77" i="4"/>
  <c r="EJ78" i="4"/>
  <c r="EJ79" i="4"/>
  <c r="EJ80" i="4"/>
  <c r="EJ81" i="4"/>
  <c r="EJ64" i="4"/>
  <c r="EJ65" i="4"/>
  <c r="EJ66" i="4"/>
  <c r="EJ67" i="4"/>
  <c r="EJ68" i="4"/>
  <c r="EJ69" i="4"/>
  <c r="EJ70" i="4"/>
  <c r="EJ85" i="4"/>
  <c r="EK76" i="4"/>
  <c r="EK77" i="4"/>
  <c r="EK78" i="4"/>
  <c r="EK79" i="4"/>
  <c r="EK80" i="4"/>
  <c r="EK81" i="4"/>
  <c r="EK64" i="4"/>
  <c r="EK65" i="4"/>
  <c r="EK66" i="4"/>
  <c r="EK67" i="4"/>
  <c r="EK68" i="4"/>
  <c r="EK69" i="4"/>
  <c r="EK70" i="4"/>
  <c r="EK85" i="4"/>
  <c r="EL76" i="4"/>
  <c r="EL77" i="4"/>
  <c r="EL78" i="4"/>
  <c r="EL79" i="4"/>
  <c r="EL80" i="4"/>
  <c r="EL81" i="4"/>
  <c r="EL64" i="4"/>
  <c r="EL65" i="4"/>
  <c r="EL66" i="4"/>
  <c r="EL67" i="4"/>
  <c r="EL68" i="4"/>
  <c r="EL69" i="4"/>
  <c r="EL70" i="4"/>
  <c r="EL85" i="4"/>
  <c r="EM76" i="4"/>
  <c r="EM77" i="4"/>
  <c r="EM78" i="4"/>
  <c r="EM79" i="4"/>
  <c r="EM80" i="4"/>
  <c r="EM81" i="4"/>
  <c r="EM64" i="4"/>
  <c r="EM65" i="4"/>
  <c r="EM66" i="4"/>
  <c r="EM67" i="4"/>
  <c r="EM68" i="4"/>
  <c r="EM69" i="4"/>
  <c r="EM70" i="4"/>
  <c r="EM85" i="4"/>
  <c r="EN76" i="4"/>
  <c r="EN77" i="4"/>
  <c r="EN78" i="4"/>
  <c r="EN79" i="4"/>
  <c r="EN80" i="4"/>
  <c r="EN81" i="4"/>
  <c r="EN64" i="4"/>
  <c r="EN65" i="4"/>
  <c r="EN66" i="4"/>
  <c r="EN67" i="4"/>
  <c r="EN68" i="4"/>
  <c r="EN69" i="4"/>
  <c r="EN70" i="4"/>
  <c r="EN85" i="4"/>
  <c r="EO76" i="4"/>
  <c r="EO77" i="4"/>
  <c r="EO78" i="4"/>
  <c r="EO79" i="4"/>
  <c r="EO80" i="4"/>
  <c r="EO81" i="4"/>
  <c r="EO64" i="4"/>
  <c r="EO65" i="4"/>
  <c r="EO66" i="4"/>
  <c r="EO67" i="4"/>
  <c r="EO68" i="4"/>
  <c r="EO69" i="4"/>
  <c r="EO70" i="4"/>
  <c r="EO85" i="4"/>
  <c r="EQ48" i="4"/>
  <c r="ER48" i="4"/>
  <c r="ES48" i="4"/>
  <c r="ET48" i="4"/>
  <c r="EU48" i="4"/>
  <c r="EV48" i="4"/>
  <c r="EW48" i="4"/>
  <c r="EX48" i="4"/>
  <c r="EY48" i="4"/>
  <c r="EZ48" i="4"/>
  <c r="FA48" i="4"/>
  <c r="FB48" i="4"/>
  <c r="FC48" i="4"/>
  <c r="FD48" i="4"/>
  <c r="FE48" i="4"/>
  <c r="FF48" i="4"/>
  <c r="FG48" i="4"/>
  <c r="FH48" i="4"/>
  <c r="FI48" i="4"/>
  <c r="FJ48" i="4"/>
  <c r="EQ76" i="4"/>
  <c r="EQ49" i="4"/>
  <c r="ER49" i="4"/>
  <c r="ES49" i="4"/>
  <c r="ET49" i="4"/>
  <c r="EU49" i="4"/>
  <c r="EV49" i="4"/>
  <c r="EW49" i="4"/>
  <c r="EX49" i="4"/>
  <c r="EY49" i="4"/>
  <c r="EZ49" i="4"/>
  <c r="FA49" i="4"/>
  <c r="FB49" i="4"/>
  <c r="FC49" i="4"/>
  <c r="FD49" i="4"/>
  <c r="FE49" i="4"/>
  <c r="FF49" i="4"/>
  <c r="FG49" i="4"/>
  <c r="FH49" i="4"/>
  <c r="FI49" i="4"/>
  <c r="FJ49" i="4"/>
  <c r="EQ77" i="4"/>
  <c r="EQ50" i="4"/>
  <c r="ER50" i="4"/>
  <c r="ES50" i="4"/>
  <c r="ET50" i="4"/>
  <c r="EU50" i="4"/>
  <c r="EV50" i="4"/>
  <c r="EW50" i="4"/>
  <c r="EX50" i="4"/>
  <c r="EY50" i="4"/>
  <c r="EZ50" i="4"/>
  <c r="FA50" i="4"/>
  <c r="FB50" i="4"/>
  <c r="FC50" i="4"/>
  <c r="FD50" i="4"/>
  <c r="FE50" i="4"/>
  <c r="FF50" i="4"/>
  <c r="FG50" i="4"/>
  <c r="FH50" i="4"/>
  <c r="FI50" i="4"/>
  <c r="FJ50" i="4"/>
  <c r="EQ78" i="4"/>
  <c r="EQ51" i="4"/>
  <c r="ER51" i="4"/>
  <c r="ES51" i="4"/>
  <c r="ET51" i="4"/>
  <c r="EU51" i="4"/>
  <c r="EV51" i="4"/>
  <c r="EW51" i="4"/>
  <c r="EX51" i="4"/>
  <c r="EY51" i="4"/>
  <c r="EZ51" i="4"/>
  <c r="FA51" i="4"/>
  <c r="FB51" i="4"/>
  <c r="FC51" i="4"/>
  <c r="FD51" i="4"/>
  <c r="FE51" i="4"/>
  <c r="FF51" i="4"/>
  <c r="FG51" i="4"/>
  <c r="FH51" i="4"/>
  <c r="FI51" i="4"/>
  <c r="FJ51" i="4"/>
  <c r="EQ79" i="4"/>
  <c r="EQ52" i="4"/>
  <c r="ER52" i="4"/>
  <c r="ES52" i="4"/>
  <c r="ET52" i="4"/>
  <c r="EU52" i="4"/>
  <c r="EV52" i="4"/>
  <c r="EW52" i="4"/>
  <c r="EX52" i="4"/>
  <c r="EY52" i="4"/>
  <c r="EZ52" i="4"/>
  <c r="FA52" i="4"/>
  <c r="FB52" i="4"/>
  <c r="FC52" i="4"/>
  <c r="FD52" i="4"/>
  <c r="FE52" i="4"/>
  <c r="FF52" i="4"/>
  <c r="FG52" i="4"/>
  <c r="FH52" i="4"/>
  <c r="FI52" i="4"/>
  <c r="FJ52" i="4"/>
  <c r="EQ80" i="4"/>
  <c r="EQ81" i="4"/>
  <c r="EQ36" i="4"/>
  <c r="ER36" i="4"/>
  <c r="ES36" i="4"/>
  <c r="ET36" i="4"/>
  <c r="EU36" i="4"/>
  <c r="EV36" i="4"/>
  <c r="EW36" i="4"/>
  <c r="EX36" i="4"/>
  <c r="EY36" i="4"/>
  <c r="EZ36" i="4"/>
  <c r="FA36" i="4"/>
  <c r="FB36" i="4"/>
  <c r="FC36" i="4"/>
  <c r="FD36" i="4"/>
  <c r="FE36" i="4"/>
  <c r="FF36" i="4"/>
  <c r="FG36" i="4"/>
  <c r="FH36" i="4"/>
  <c r="FI36" i="4"/>
  <c r="FJ36" i="4"/>
  <c r="EQ64" i="4"/>
  <c r="EQ37" i="4"/>
  <c r="ER37" i="4"/>
  <c r="ES37" i="4"/>
  <c r="ET37" i="4"/>
  <c r="EU37" i="4"/>
  <c r="EV37" i="4"/>
  <c r="EW37" i="4"/>
  <c r="EX37" i="4"/>
  <c r="EY37" i="4"/>
  <c r="EZ37" i="4"/>
  <c r="FA37" i="4"/>
  <c r="FB37" i="4"/>
  <c r="FC37" i="4"/>
  <c r="FD37" i="4"/>
  <c r="FE37" i="4"/>
  <c r="FF37" i="4"/>
  <c r="FG37" i="4"/>
  <c r="FH37" i="4"/>
  <c r="FI37" i="4"/>
  <c r="FJ37" i="4"/>
  <c r="EQ65" i="4"/>
  <c r="EQ38" i="4"/>
  <c r="ER38" i="4"/>
  <c r="ES38" i="4"/>
  <c r="ET38" i="4"/>
  <c r="EU38" i="4"/>
  <c r="EV38" i="4"/>
  <c r="EW38" i="4"/>
  <c r="EX38" i="4"/>
  <c r="EY38" i="4"/>
  <c r="EZ38" i="4"/>
  <c r="FA38" i="4"/>
  <c r="FB38" i="4"/>
  <c r="FC38" i="4"/>
  <c r="FD38" i="4"/>
  <c r="FE38" i="4"/>
  <c r="FF38" i="4"/>
  <c r="FG38" i="4"/>
  <c r="FH38" i="4"/>
  <c r="FI38" i="4"/>
  <c r="FJ38" i="4"/>
  <c r="EQ66" i="4"/>
  <c r="EQ39" i="4"/>
  <c r="ER39" i="4"/>
  <c r="ES39" i="4"/>
  <c r="ET39" i="4"/>
  <c r="EU39" i="4"/>
  <c r="EV39" i="4"/>
  <c r="EW39" i="4"/>
  <c r="EX39" i="4"/>
  <c r="EY39" i="4"/>
  <c r="EZ39" i="4"/>
  <c r="FA39" i="4"/>
  <c r="FB39" i="4"/>
  <c r="FC39" i="4"/>
  <c r="FD39" i="4"/>
  <c r="FE39" i="4"/>
  <c r="FF39" i="4"/>
  <c r="FG39" i="4"/>
  <c r="FH39" i="4"/>
  <c r="FI39" i="4"/>
  <c r="FJ39" i="4"/>
  <c r="EQ67" i="4"/>
  <c r="EQ40" i="4"/>
  <c r="ER40" i="4"/>
  <c r="ES40" i="4"/>
  <c r="ET40" i="4"/>
  <c r="EU40" i="4"/>
  <c r="EV40" i="4"/>
  <c r="EW40" i="4"/>
  <c r="EX40" i="4"/>
  <c r="EY40" i="4"/>
  <c r="EZ40" i="4"/>
  <c r="FA40" i="4"/>
  <c r="FB40" i="4"/>
  <c r="FC40" i="4"/>
  <c r="FD40" i="4"/>
  <c r="FE40" i="4"/>
  <c r="FF40" i="4"/>
  <c r="FG40" i="4"/>
  <c r="FH40" i="4"/>
  <c r="FI40" i="4"/>
  <c r="FJ40" i="4"/>
  <c r="EQ68" i="4"/>
  <c r="EQ41" i="4"/>
  <c r="ER41" i="4"/>
  <c r="ES41" i="4"/>
  <c r="ET41" i="4"/>
  <c r="EU41" i="4"/>
  <c r="EV41" i="4"/>
  <c r="EW41" i="4"/>
  <c r="EX41" i="4"/>
  <c r="EY41" i="4"/>
  <c r="EZ41" i="4"/>
  <c r="FA41" i="4"/>
  <c r="FB41" i="4"/>
  <c r="FC41" i="4"/>
  <c r="FD41" i="4"/>
  <c r="FE41" i="4"/>
  <c r="FF41" i="4"/>
  <c r="FG41" i="4"/>
  <c r="FH41" i="4"/>
  <c r="FI41" i="4"/>
  <c r="FJ41" i="4"/>
  <c r="EQ69" i="4"/>
  <c r="EQ70" i="4"/>
  <c r="EQ85" i="4"/>
  <c r="ER76" i="4"/>
  <c r="ER77" i="4"/>
  <c r="ER78" i="4"/>
  <c r="ER79" i="4"/>
  <c r="ER80" i="4"/>
  <c r="ER81" i="4"/>
  <c r="ER64" i="4"/>
  <c r="ER65" i="4"/>
  <c r="ER66" i="4"/>
  <c r="ER67" i="4"/>
  <c r="ER68" i="4"/>
  <c r="ER69" i="4"/>
  <c r="ER70" i="4"/>
  <c r="ER85" i="4"/>
  <c r="ES76" i="4"/>
  <c r="ES77" i="4"/>
  <c r="ES78" i="4"/>
  <c r="ES79" i="4"/>
  <c r="ES80" i="4"/>
  <c r="ES81" i="4"/>
  <c r="ES64" i="4"/>
  <c r="ES65" i="4"/>
  <c r="ES66" i="4"/>
  <c r="ES67" i="4"/>
  <c r="ES68" i="4"/>
  <c r="ES69" i="4"/>
  <c r="ES70" i="4"/>
  <c r="ES85" i="4"/>
  <c r="ET76" i="4"/>
  <c r="ET77" i="4"/>
  <c r="ET78" i="4"/>
  <c r="ET79" i="4"/>
  <c r="ET80" i="4"/>
  <c r="ET81" i="4"/>
  <c r="ET64" i="4"/>
  <c r="ET65" i="4"/>
  <c r="ET66" i="4"/>
  <c r="ET67" i="4"/>
  <c r="ET68" i="4"/>
  <c r="ET69" i="4"/>
  <c r="ET70" i="4"/>
  <c r="ET85" i="4"/>
  <c r="EU76" i="4"/>
  <c r="EU77" i="4"/>
  <c r="EU78" i="4"/>
  <c r="EU79" i="4"/>
  <c r="EU80" i="4"/>
  <c r="EU81" i="4"/>
  <c r="EU64" i="4"/>
  <c r="EU65" i="4"/>
  <c r="EU66" i="4"/>
  <c r="EU67" i="4"/>
  <c r="EU68" i="4"/>
  <c r="EU69" i="4"/>
  <c r="EU70" i="4"/>
  <c r="EU85" i="4"/>
  <c r="EV76" i="4"/>
  <c r="EV77" i="4"/>
  <c r="EV78" i="4"/>
  <c r="EV79" i="4"/>
  <c r="EV80" i="4"/>
  <c r="EV81" i="4"/>
  <c r="EV64" i="4"/>
  <c r="EV65" i="4"/>
  <c r="EV66" i="4"/>
  <c r="EV67" i="4"/>
  <c r="EV68" i="4"/>
  <c r="EV69" i="4"/>
  <c r="EV70" i="4"/>
  <c r="EV85" i="4"/>
  <c r="EW76" i="4"/>
  <c r="EW77" i="4"/>
  <c r="EW78" i="4"/>
  <c r="EW79" i="4"/>
  <c r="EW80" i="4"/>
  <c r="EW81" i="4"/>
  <c r="EW64" i="4"/>
  <c r="EW65" i="4"/>
  <c r="EW66" i="4"/>
  <c r="EW67" i="4"/>
  <c r="EW68" i="4"/>
  <c r="EW69" i="4"/>
  <c r="EW70" i="4"/>
  <c r="EW85" i="4"/>
  <c r="EX76" i="4"/>
  <c r="EX77" i="4"/>
  <c r="EX78" i="4"/>
  <c r="EX79" i="4"/>
  <c r="EX80" i="4"/>
  <c r="EX81" i="4"/>
  <c r="EX64" i="4"/>
  <c r="EX65" i="4"/>
  <c r="EX66" i="4"/>
  <c r="EX67" i="4"/>
  <c r="EX68" i="4"/>
  <c r="EX69" i="4"/>
  <c r="EX70" i="4"/>
  <c r="EX85" i="4"/>
  <c r="EY76" i="4"/>
  <c r="EY77" i="4"/>
  <c r="EY78" i="4"/>
  <c r="EY79" i="4"/>
  <c r="EY80" i="4"/>
  <c r="EY81" i="4"/>
  <c r="EY64" i="4"/>
  <c r="EY65" i="4"/>
  <c r="EY66" i="4"/>
  <c r="EY67" i="4"/>
  <c r="EY68" i="4"/>
  <c r="EY69" i="4"/>
  <c r="EY70" i="4"/>
  <c r="EY85" i="4"/>
  <c r="EZ76" i="4"/>
  <c r="EZ77" i="4"/>
  <c r="EZ78" i="4"/>
  <c r="EZ79" i="4"/>
  <c r="EZ80" i="4"/>
  <c r="EZ81" i="4"/>
  <c r="EZ64" i="4"/>
  <c r="EZ65" i="4"/>
  <c r="EZ66" i="4"/>
  <c r="EZ67" i="4"/>
  <c r="EZ68" i="4"/>
  <c r="EZ69" i="4"/>
  <c r="EZ70" i="4"/>
  <c r="EZ85" i="4"/>
  <c r="FA76" i="4"/>
  <c r="FA77" i="4"/>
  <c r="FA78" i="4"/>
  <c r="FA79" i="4"/>
  <c r="FA80" i="4"/>
  <c r="FA81" i="4"/>
  <c r="FA64" i="4"/>
  <c r="FA65" i="4"/>
  <c r="FA66" i="4"/>
  <c r="FA67" i="4"/>
  <c r="FA68" i="4"/>
  <c r="FA69" i="4"/>
  <c r="FA70" i="4"/>
  <c r="FA85" i="4"/>
  <c r="FB76" i="4"/>
  <c r="FB77" i="4"/>
  <c r="FB78" i="4"/>
  <c r="FB79" i="4"/>
  <c r="FB80" i="4"/>
  <c r="FB81" i="4"/>
  <c r="FB64" i="4"/>
  <c r="FB65" i="4"/>
  <c r="FB66" i="4"/>
  <c r="FB67" i="4"/>
  <c r="FB68" i="4"/>
  <c r="FB69" i="4"/>
  <c r="FB70" i="4"/>
  <c r="FB85" i="4"/>
  <c r="FC76" i="4"/>
  <c r="FC77" i="4"/>
  <c r="FC78" i="4"/>
  <c r="FC79" i="4"/>
  <c r="FC80" i="4"/>
  <c r="FC81" i="4"/>
  <c r="FC64" i="4"/>
  <c r="FC65" i="4"/>
  <c r="FC66" i="4"/>
  <c r="FC67" i="4"/>
  <c r="FC68" i="4"/>
  <c r="FC69" i="4"/>
  <c r="FC70" i="4"/>
  <c r="FC85" i="4"/>
  <c r="FD76" i="4"/>
  <c r="FD77" i="4"/>
  <c r="FD78" i="4"/>
  <c r="FD79" i="4"/>
  <c r="FD80" i="4"/>
  <c r="FD81" i="4"/>
  <c r="FD64" i="4"/>
  <c r="FD65" i="4"/>
  <c r="FD66" i="4"/>
  <c r="FD67" i="4"/>
  <c r="FD68" i="4"/>
  <c r="FD69" i="4"/>
  <c r="FD70" i="4"/>
  <c r="FD85" i="4"/>
  <c r="FE76" i="4"/>
  <c r="FE77" i="4"/>
  <c r="FE78" i="4"/>
  <c r="FE79" i="4"/>
  <c r="FE80" i="4"/>
  <c r="FE81" i="4"/>
  <c r="FE64" i="4"/>
  <c r="FE65" i="4"/>
  <c r="FE66" i="4"/>
  <c r="FE67" i="4"/>
  <c r="FE68" i="4"/>
  <c r="FE69" i="4"/>
  <c r="FE70" i="4"/>
  <c r="FE85" i="4"/>
  <c r="FF76" i="4"/>
  <c r="FF77" i="4"/>
  <c r="FF78" i="4"/>
  <c r="FF79" i="4"/>
  <c r="FF80" i="4"/>
  <c r="FF81" i="4"/>
  <c r="FF64" i="4"/>
  <c r="FF65" i="4"/>
  <c r="FF66" i="4"/>
  <c r="FF67" i="4"/>
  <c r="FF68" i="4"/>
  <c r="FF69" i="4"/>
  <c r="FF70" i="4"/>
  <c r="FF85" i="4"/>
  <c r="FG76" i="4"/>
  <c r="FG77" i="4"/>
  <c r="FG78" i="4"/>
  <c r="FG79" i="4"/>
  <c r="FG80" i="4"/>
  <c r="FG81" i="4"/>
  <c r="FG64" i="4"/>
  <c r="FG65" i="4"/>
  <c r="FG66" i="4"/>
  <c r="FG67" i="4"/>
  <c r="FG68" i="4"/>
  <c r="FG69" i="4"/>
  <c r="FG70" i="4"/>
  <c r="FG85" i="4"/>
  <c r="FH76" i="4"/>
  <c r="FH77" i="4"/>
  <c r="FH78" i="4"/>
  <c r="FH79" i="4"/>
  <c r="FH80" i="4"/>
  <c r="FH81" i="4"/>
  <c r="FH64" i="4"/>
  <c r="FH65" i="4"/>
  <c r="FH66" i="4"/>
  <c r="FH67" i="4"/>
  <c r="FH68" i="4"/>
  <c r="FH69" i="4"/>
  <c r="FH70" i="4"/>
  <c r="FH85" i="4"/>
  <c r="FI76" i="4"/>
  <c r="FI77" i="4"/>
  <c r="FI78" i="4"/>
  <c r="FI79" i="4"/>
  <c r="FI80" i="4"/>
  <c r="FI81" i="4"/>
  <c r="FI64" i="4"/>
  <c r="FI65" i="4"/>
  <c r="FI66" i="4"/>
  <c r="FI67" i="4"/>
  <c r="FI68" i="4"/>
  <c r="FI69" i="4"/>
  <c r="FI70" i="4"/>
  <c r="FI85" i="4"/>
  <c r="C76" i="4"/>
  <c r="C77" i="4"/>
  <c r="C78" i="4"/>
  <c r="C79" i="4"/>
  <c r="C80" i="4"/>
  <c r="C81" i="4"/>
  <c r="C64" i="4"/>
  <c r="C65" i="4"/>
  <c r="C66" i="4"/>
  <c r="C67" i="4"/>
  <c r="C68" i="4"/>
  <c r="C69" i="4"/>
  <c r="C70" i="4"/>
  <c r="C85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V84" i="4"/>
  <c r="AW84" i="4"/>
  <c r="AX84" i="4"/>
  <c r="AY84" i="4"/>
  <c r="AZ84" i="4"/>
  <c r="BA84" i="4"/>
  <c r="BB84" i="4"/>
  <c r="BC84" i="4"/>
  <c r="BD84" i="4"/>
  <c r="BE84" i="4"/>
  <c r="BF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BY84" i="4"/>
  <c r="BZ84" i="4"/>
  <c r="CA84" i="4"/>
  <c r="CB84" i="4"/>
  <c r="CC84" i="4"/>
  <c r="CD84" i="4"/>
  <c r="CE84" i="4"/>
  <c r="CF84" i="4"/>
  <c r="CG84" i="4"/>
  <c r="CH84" i="4"/>
  <c r="CI84" i="4"/>
  <c r="CJ84" i="4"/>
  <c r="CK84" i="4"/>
  <c r="CL84" i="4"/>
  <c r="CM84" i="4"/>
  <c r="CN84" i="4"/>
  <c r="CO84" i="4"/>
  <c r="CQ84" i="4"/>
  <c r="CR84" i="4"/>
  <c r="CS84" i="4"/>
  <c r="CT84" i="4"/>
  <c r="CU84" i="4"/>
  <c r="CV84" i="4"/>
  <c r="CW84" i="4"/>
  <c r="CX84" i="4"/>
  <c r="CY84" i="4"/>
  <c r="CZ84" i="4"/>
  <c r="DA84" i="4"/>
  <c r="DB84" i="4"/>
  <c r="DC84" i="4"/>
  <c r="DD84" i="4"/>
  <c r="DE84" i="4"/>
  <c r="DF84" i="4"/>
  <c r="DG84" i="4"/>
  <c r="DH84" i="4"/>
  <c r="DI84" i="4"/>
  <c r="DJ84" i="4"/>
  <c r="DK84" i="4"/>
  <c r="DL84" i="4"/>
  <c r="DM84" i="4"/>
  <c r="DN84" i="4"/>
  <c r="DO84" i="4"/>
  <c r="DP84" i="4"/>
  <c r="DQ84" i="4"/>
  <c r="DR84" i="4"/>
  <c r="DS84" i="4"/>
  <c r="DT84" i="4"/>
  <c r="DU84" i="4"/>
  <c r="DV84" i="4"/>
  <c r="DW84" i="4"/>
  <c r="DX84" i="4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EL84" i="4"/>
  <c r="EM84" i="4"/>
  <c r="EN84" i="4"/>
  <c r="EO84" i="4"/>
  <c r="EQ84" i="4"/>
  <c r="ER84" i="4"/>
  <c r="ES84" i="4"/>
  <c r="ET84" i="4"/>
  <c r="EU84" i="4"/>
  <c r="EV84" i="4"/>
  <c r="EW84" i="4"/>
  <c r="EX84" i="4"/>
  <c r="EY84" i="4"/>
  <c r="EZ84" i="4"/>
  <c r="FA84" i="4"/>
  <c r="FB84" i="4"/>
  <c r="FC84" i="4"/>
  <c r="FD84" i="4"/>
  <c r="FE84" i="4"/>
  <c r="FF84" i="4"/>
  <c r="FG84" i="4"/>
  <c r="FH84" i="4"/>
  <c r="FI84" i="4"/>
  <c r="C84" i="4"/>
  <c r="ER82" i="4"/>
  <c r="ES82" i="4"/>
  <c r="ET82" i="4"/>
  <c r="EU82" i="4"/>
  <c r="EV82" i="4"/>
  <c r="EW82" i="4"/>
  <c r="EX82" i="4"/>
  <c r="EY82" i="4"/>
  <c r="EZ82" i="4"/>
  <c r="FA82" i="4"/>
  <c r="FB82" i="4"/>
  <c r="FC82" i="4"/>
  <c r="FD82" i="4"/>
  <c r="FE82" i="4"/>
  <c r="FF82" i="4"/>
  <c r="FG82" i="4"/>
  <c r="FH82" i="4"/>
  <c r="FI82" i="4"/>
  <c r="EQ82" i="4"/>
  <c r="ER71" i="4"/>
  <c r="ES71" i="4"/>
  <c r="ET71" i="4"/>
  <c r="EU71" i="4"/>
  <c r="EV71" i="4"/>
  <c r="EW71" i="4"/>
  <c r="EX71" i="4"/>
  <c r="EY71" i="4"/>
  <c r="EZ71" i="4"/>
  <c r="FA71" i="4"/>
  <c r="FB71" i="4"/>
  <c r="FC71" i="4"/>
  <c r="FD71" i="4"/>
  <c r="FE71" i="4"/>
  <c r="FF71" i="4"/>
  <c r="FG71" i="4"/>
  <c r="FH71" i="4"/>
  <c r="FI71" i="4"/>
  <c r="EQ71" i="4"/>
  <c r="CR82" i="4"/>
  <c r="CS82" i="4"/>
  <c r="CT82" i="4"/>
  <c r="CU82" i="4"/>
  <c r="CV82" i="4"/>
  <c r="CW82" i="4"/>
  <c r="CX82" i="4"/>
  <c r="CY82" i="4"/>
  <c r="CZ82" i="4"/>
  <c r="DA82" i="4"/>
  <c r="DB82" i="4"/>
  <c r="DC82" i="4"/>
  <c r="DD82" i="4"/>
  <c r="DE82" i="4"/>
  <c r="DF82" i="4"/>
  <c r="DG82" i="4"/>
  <c r="DH82" i="4"/>
  <c r="DI82" i="4"/>
  <c r="DJ82" i="4"/>
  <c r="DK82" i="4"/>
  <c r="DL82" i="4"/>
  <c r="DM82" i="4"/>
  <c r="DN82" i="4"/>
  <c r="DO82" i="4"/>
  <c r="DP82" i="4"/>
  <c r="DQ82" i="4"/>
  <c r="DR82" i="4"/>
  <c r="DS82" i="4"/>
  <c r="DT82" i="4"/>
  <c r="DU82" i="4"/>
  <c r="DV82" i="4"/>
  <c r="DW82" i="4"/>
  <c r="DX82" i="4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EL82" i="4"/>
  <c r="EM82" i="4"/>
  <c r="EN82" i="4"/>
  <c r="EO82" i="4"/>
  <c r="CQ82" i="4"/>
  <c r="CR71" i="4"/>
  <c r="CS71" i="4"/>
  <c r="CT71" i="4"/>
  <c r="CU71" i="4"/>
  <c r="CV71" i="4"/>
  <c r="CW71" i="4"/>
  <c r="CX71" i="4"/>
  <c r="CY71" i="4"/>
  <c r="CZ71" i="4"/>
  <c r="DA71" i="4"/>
  <c r="DB71" i="4"/>
  <c r="DC71" i="4"/>
  <c r="DD71" i="4"/>
  <c r="DE71" i="4"/>
  <c r="DF71" i="4"/>
  <c r="DG71" i="4"/>
  <c r="DH71" i="4"/>
  <c r="DI71" i="4"/>
  <c r="DJ71" i="4"/>
  <c r="DK71" i="4"/>
  <c r="DL71" i="4"/>
  <c r="DM71" i="4"/>
  <c r="DN71" i="4"/>
  <c r="DO71" i="4"/>
  <c r="DP71" i="4"/>
  <c r="DQ71" i="4"/>
  <c r="DR71" i="4"/>
  <c r="DS71" i="4"/>
  <c r="DT71" i="4"/>
  <c r="DU71" i="4"/>
  <c r="DV71" i="4"/>
  <c r="DW71" i="4"/>
  <c r="DX71" i="4"/>
  <c r="DY71" i="4"/>
  <c r="DZ71" i="4"/>
  <c r="EA71" i="4"/>
  <c r="EB71" i="4"/>
  <c r="EC71" i="4"/>
  <c r="ED71" i="4"/>
  <c r="EE71" i="4"/>
  <c r="EF71" i="4"/>
  <c r="EG71" i="4"/>
  <c r="EH71" i="4"/>
  <c r="EI71" i="4"/>
  <c r="EJ71" i="4"/>
  <c r="EK71" i="4"/>
  <c r="EL71" i="4"/>
  <c r="EM71" i="4"/>
  <c r="EN71" i="4"/>
  <c r="EO71" i="4"/>
  <c r="CQ71" i="4"/>
  <c r="AW82" i="4"/>
  <c r="AX82" i="4"/>
  <c r="AY82" i="4"/>
  <c r="AZ82" i="4"/>
  <c r="BA82" i="4"/>
  <c r="BB82" i="4"/>
  <c r="BC82" i="4"/>
  <c r="BD82" i="4"/>
  <c r="BE82" i="4"/>
  <c r="BF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BY82" i="4"/>
  <c r="BZ82" i="4"/>
  <c r="CA82" i="4"/>
  <c r="CB82" i="4"/>
  <c r="CC82" i="4"/>
  <c r="CD82" i="4"/>
  <c r="CE82" i="4"/>
  <c r="CF82" i="4"/>
  <c r="CG82" i="4"/>
  <c r="CH82" i="4"/>
  <c r="CI82" i="4"/>
  <c r="CJ82" i="4"/>
  <c r="CK82" i="4"/>
  <c r="CL82" i="4"/>
  <c r="CM82" i="4"/>
  <c r="CN82" i="4"/>
  <c r="CO82" i="4"/>
  <c r="AV82" i="4"/>
  <c r="AW71" i="4"/>
  <c r="AX71" i="4"/>
  <c r="AY71" i="4"/>
  <c r="AZ71" i="4"/>
  <c r="BA71" i="4"/>
  <c r="BB71" i="4"/>
  <c r="BC71" i="4"/>
  <c r="BD71" i="4"/>
  <c r="BE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BY71" i="4"/>
  <c r="BZ71" i="4"/>
  <c r="CA71" i="4"/>
  <c r="CB71" i="4"/>
  <c r="CC71" i="4"/>
  <c r="CD71" i="4"/>
  <c r="CE71" i="4"/>
  <c r="CF71" i="4"/>
  <c r="CG71" i="4"/>
  <c r="CH71" i="4"/>
  <c r="CI71" i="4"/>
  <c r="CJ71" i="4"/>
  <c r="CK71" i="4"/>
  <c r="CL71" i="4"/>
  <c r="CM71" i="4"/>
  <c r="CN71" i="4"/>
  <c r="CO71" i="4"/>
  <c r="AV71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V82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V71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C82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C71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D14" i="4"/>
  <c r="D56" i="4"/>
  <c r="E14" i="4"/>
  <c r="E56" i="4"/>
  <c r="F14" i="4"/>
  <c r="F56" i="4"/>
  <c r="G14" i="4"/>
  <c r="G56" i="4"/>
  <c r="H14" i="4"/>
  <c r="H56" i="4"/>
  <c r="I14" i="4"/>
  <c r="I56" i="4"/>
  <c r="J14" i="4"/>
  <c r="J56" i="4"/>
  <c r="K14" i="4"/>
  <c r="K56" i="4"/>
  <c r="L14" i="4"/>
  <c r="L56" i="4"/>
  <c r="M14" i="4"/>
  <c r="M56" i="4"/>
  <c r="N14" i="4"/>
  <c r="N56" i="4"/>
  <c r="O14" i="4"/>
  <c r="O56" i="4"/>
  <c r="P14" i="4"/>
  <c r="P56" i="4"/>
  <c r="Q14" i="4"/>
  <c r="Q56" i="4"/>
  <c r="R14" i="4"/>
  <c r="R56" i="4"/>
  <c r="S14" i="4"/>
  <c r="S56" i="4"/>
  <c r="T14" i="4"/>
  <c r="T56" i="4"/>
  <c r="V14" i="4"/>
  <c r="V56" i="4"/>
  <c r="W14" i="4"/>
  <c r="W56" i="4"/>
  <c r="X14" i="4"/>
  <c r="X56" i="4"/>
  <c r="Y14" i="4"/>
  <c r="Y56" i="4"/>
  <c r="Z14" i="4"/>
  <c r="Z56" i="4"/>
  <c r="AA14" i="4"/>
  <c r="AA56" i="4"/>
  <c r="AB14" i="4"/>
  <c r="AB56" i="4"/>
  <c r="AC14" i="4"/>
  <c r="AC56" i="4"/>
  <c r="AD14" i="4"/>
  <c r="AD56" i="4"/>
  <c r="AE14" i="4"/>
  <c r="AE56" i="4"/>
  <c r="AF14" i="4"/>
  <c r="AF56" i="4"/>
  <c r="AG14" i="4"/>
  <c r="AG56" i="4"/>
  <c r="AH14" i="4"/>
  <c r="AH56" i="4"/>
  <c r="AI14" i="4"/>
  <c r="AI56" i="4"/>
  <c r="AJ14" i="4"/>
  <c r="AJ56" i="4"/>
  <c r="AK14" i="4"/>
  <c r="AK56" i="4"/>
  <c r="AL14" i="4"/>
  <c r="AL56" i="4"/>
  <c r="AM14" i="4"/>
  <c r="AM56" i="4"/>
  <c r="AN14" i="4"/>
  <c r="AN56" i="4"/>
  <c r="AO14" i="4"/>
  <c r="AO56" i="4"/>
  <c r="AP14" i="4"/>
  <c r="AP56" i="4"/>
  <c r="AQ14" i="4"/>
  <c r="AQ56" i="4"/>
  <c r="AR14" i="4"/>
  <c r="AR56" i="4"/>
  <c r="AS14" i="4"/>
  <c r="AS56" i="4"/>
  <c r="AT14" i="4"/>
  <c r="AT56" i="4"/>
  <c r="AV14" i="4"/>
  <c r="AV56" i="4"/>
  <c r="AW14" i="4"/>
  <c r="AW56" i="4"/>
  <c r="AX14" i="4"/>
  <c r="AX56" i="4"/>
  <c r="AY14" i="4"/>
  <c r="AY56" i="4"/>
  <c r="AZ14" i="4"/>
  <c r="AZ56" i="4"/>
  <c r="BA14" i="4"/>
  <c r="BA56" i="4"/>
  <c r="BB14" i="4"/>
  <c r="BB56" i="4"/>
  <c r="BC14" i="4"/>
  <c r="BC56" i="4"/>
  <c r="BD14" i="4"/>
  <c r="BD56" i="4"/>
  <c r="BE14" i="4"/>
  <c r="BE56" i="4"/>
  <c r="BF14" i="4"/>
  <c r="BF56" i="4"/>
  <c r="BG14" i="4"/>
  <c r="BG56" i="4"/>
  <c r="BH14" i="4"/>
  <c r="BH56" i="4"/>
  <c r="BI14" i="4"/>
  <c r="BI56" i="4"/>
  <c r="BJ14" i="4"/>
  <c r="BJ56" i="4"/>
  <c r="BK14" i="4"/>
  <c r="BK56" i="4"/>
  <c r="BL14" i="4"/>
  <c r="BL56" i="4"/>
  <c r="BM14" i="4"/>
  <c r="BM56" i="4"/>
  <c r="BN14" i="4"/>
  <c r="BN56" i="4"/>
  <c r="BO14" i="4"/>
  <c r="BO56" i="4"/>
  <c r="BP14" i="4"/>
  <c r="BP56" i="4"/>
  <c r="BQ14" i="4"/>
  <c r="BQ56" i="4"/>
  <c r="BR14" i="4"/>
  <c r="BR56" i="4"/>
  <c r="BS14" i="4"/>
  <c r="BS56" i="4"/>
  <c r="BT14" i="4"/>
  <c r="BT56" i="4"/>
  <c r="BU14" i="4"/>
  <c r="BU56" i="4"/>
  <c r="BV14" i="4"/>
  <c r="BV56" i="4"/>
  <c r="BW14" i="4"/>
  <c r="BW56" i="4"/>
  <c r="BX14" i="4"/>
  <c r="BX56" i="4"/>
  <c r="BY14" i="4"/>
  <c r="BY56" i="4"/>
  <c r="BZ14" i="4"/>
  <c r="BZ56" i="4"/>
  <c r="CA14" i="4"/>
  <c r="CA56" i="4"/>
  <c r="CB14" i="4"/>
  <c r="CB56" i="4"/>
  <c r="CC14" i="4"/>
  <c r="CC56" i="4"/>
  <c r="CD14" i="4"/>
  <c r="CD56" i="4"/>
  <c r="CE14" i="4"/>
  <c r="CE56" i="4"/>
  <c r="CF14" i="4"/>
  <c r="CF56" i="4"/>
  <c r="CG14" i="4"/>
  <c r="CG56" i="4"/>
  <c r="CH14" i="4"/>
  <c r="CH56" i="4"/>
  <c r="CI14" i="4"/>
  <c r="CI56" i="4"/>
  <c r="CJ14" i="4"/>
  <c r="CJ56" i="4"/>
  <c r="CK14" i="4"/>
  <c r="CK56" i="4"/>
  <c r="CL14" i="4"/>
  <c r="CL56" i="4"/>
  <c r="CM14" i="4"/>
  <c r="CM56" i="4"/>
  <c r="CN14" i="4"/>
  <c r="CN56" i="4"/>
  <c r="CO14" i="4"/>
  <c r="CO56" i="4"/>
  <c r="CQ14" i="4"/>
  <c r="CQ56" i="4"/>
  <c r="CR14" i="4"/>
  <c r="CR56" i="4"/>
  <c r="CS14" i="4"/>
  <c r="CS56" i="4"/>
  <c r="CT14" i="4"/>
  <c r="CT56" i="4"/>
  <c r="CV14" i="4"/>
  <c r="CV56" i="4"/>
  <c r="CW14" i="4"/>
  <c r="CW56" i="4"/>
  <c r="CX14" i="4"/>
  <c r="CX56" i="4"/>
  <c r="CY14" i="4"/>
  <c r="CY56" i="4"/>
  <c r="CZ14" i="4"/>
  <c r="CZ56" i="4"/>
  <c r="DA14" i="4"/>
  <c r="DA56" i="4"/>
  <c r="DB14" i="4"/>
  <c r="DB56" i="4"/>
  <c r="DC14" i="4"/>
  <c r="DC56" i="4"/>
  <c r="DD14" i="4"/>
  <c r="DD56" i="4"/>
  <c r="DE14" i="4"/>
  <c r="DE56" i="4"/>
  <c r="DF14" i="4"/>
  <c r="DF56" i="4"/>
  <c r="DG14" i="4"/>
  <c r="DG56" i="4"/>
  <c r="DH14" i="4"/>
  <c r="DH56" i="4"/>
  <c r="DI14" i="4"/>
  <c r="DI56" i="4"/>
  <c r="DJ14" i="4"/>
  <c r="DJ56" i="4"/>
  <c r="DK14" i="4"/>
  <c r="DK56" i="4"/>
  <c r="DL14" i="4"/>
  <c r="DL56" i="4"/>
  <c r="DM14" i="4"/>
  <c r="DM56" i="4"/>
  <c r="DN14" i="4"/>
  <c r="DN56" i="4"/>
  <c r="DO14" i="4"/>
  <c r="DO56" i="4"/>
  <c r="DP14" i="4"/>
  <c r="DP56" i="4"/>
  <c r="DQ14" i="4"/>
  <c r="DQ56" i="4"/>
  <c r="DR14" i="4"/>
  <c r="DR56" i="4"/>
  <c r="DS14" i="4"/>
  <c r="DS56" i="4"/>
  <c r="DT14" i="4"/>
  <c r="DT56" i="4"/>
  <c r="DU14" i="4"/>
  <c r="DU56" i="4"/>
  <c r="DV14" i="4"/>
  <c r="DV56" i="4"/>
  <c r="DW14" i="4"/>
  <c r="DW56" i="4"/>
  <c r="DX14" i="4"/>
  <c r="DX56" i="4"/>
  <c r="DY14" i="4"/>
  <c r="DY56" i="4"/>
  <c r="DZ14" i="4"/>
  <c r="DZ56" i="4"/>
  <c r="EA14" i="4"/>
  <c r="EA56" i="4"/>
  <c r="EB14" i="4"/>
  <c r="EB56" i="4"/>
  <c r="EC14" i="4"/>
  <c r="EC56" i="4"/>
  <c r="ED14" i="4"/>
  <c r="ED56" i="4"/>
  <c r="EE14" i="4"/>
  <c r="EE56" i="4"/>
  <c r="EF14" i="4"/>
  <c r="EF56" i="4"/>
  <c r="EG14" i="4"/>
  <c r="EG56" i="4"/>
  <c r="EH14" i="4"/>
  <c r="EH56" i="4"/>
  <c r="EI14" i="4"/>
  <c r="EI56" i="4"/>
  <c r="EJ14" i="4"/>
  <c r="EJ56" i="4"/>
  <c r="EK14" i="4"/>
  <c r="EK56" i="4"/>
  <c r="EL14" i="4"/>
  <c r="EL56" i="4"/>
  <c r="EM14" i="4"/>
  <c r="EM56" i="4"/>
  <c r="EN14" i="4"/>
  <c r="EN56" i="4"/>
  <c r="EO14" i="4"/>
  <c r="EO56" i="4"/>
  <c r="EQ14" i="4"/>
  <c r="EQ56" i="4"/>
  <c r="ER14" i="4"/>
  <c r="ER56" i="4"/>
  <c r="ES14" i="4"/>
  <c r="ES56" i="4"/>
  <c r="ET14" i="4"/>
  <c r="ET56" i="4"/>
  <c r="EU14" i="4"/>
  <c r="EU56" i="4"/>
  <c r="EV14" i="4"/>
  <c r="EV56" i="4"/>
  <c r="EW14" i="4"/>
  <c r="EW56" i="4"/>
  <c r="EX14" i="4"/>
  <c r="EX56" i="4"/>
  <c r="EY14" i="4"/>
  <c r="EY56" i="4"/>
  <c r="EZ14" i="4"/>
  <c r="EZ56" i="4"/>
  <c r="FA14" i="4"/>
  <c r="FA56" i="4"/>
  <c r="FB14" i="4"/>
  <c r="FB56" i="4"/>
  <c r="FC14" i="4"/>
  <c r="FC56" i="4"/>
  <c r="FD14" i="4"/>
  <c r="FD56" i="4"/>
  <c r="FE14" i="4"/>
  <c r="FE56" i="4"/>
  <c r="FF14" i="4"/>
  <c r="FF56" i="4"/>
  <c r="FG14" i="4"/>
  <c r="FG56" i="4"/>
  <c r="FH14" i="4"/>
  <c r="FH56" i="4"/>
  <c r="FI14" i="4"/>
  <c r="FI56" i="4"/>
  <c r="C5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Q26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DH26" i="4"/>
  <c r="DI26" i="4"/>
  <c r="DJ26" i="4"/>
  <c r="DK26" i="4"/>
  <c r="DL26" i="4"/>
  <c r="DM26" i="4"/>
  <c r="DN26" i="4"/>
  <c r="DO26" i="4"/>
  <c r="DP26" i="4"/>
  <c r="DQ26" i="4"/>
  <c r="DR26" i="4"/>
  <c r="DS26" i="4"/>
  <c r="DT26" i="4"/>
  <c r="DU26" i="4"/>
  <c r="DV26" i="4"/>
  <c r="DW26" i="4"/>
  <c r="DX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Q26" i="4"/>
  <c r="ER26" i="4"/>
  <c r="ES26" i="4"/>
  <c r="ET26" i="4"/>
  <c r="EU26" i="4"/>
  <c r="EV26" i="4"/>
  <c r="EW26" i="4"/>
  <c r="EX26" i="4"/>
  <c r="EY26" i="4"/>
  <c r="EZ26" i="4"/>
  <c r="FA26" i="4"/>
  <c r="FB26" i="4"/>
  <c r="FC26" i="4"/>
  <c r="FD26" i="4"/>
  <c r="FE26" i="4"/>
  <c r="FF26" i="4"/>
  <c r="FG26" i="4"/>
  <c r="FH26" i="4"/>
  <c r="FI26" i="4"/>
  <c r="C26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V53" i="4"/>
  <c r="AW53" i="4"/>
  <c r="AX53" i="4"/>
  <c r="AY53" i="4"/>
  <c r="AZ53" i="4"/>
  <c r="BA53" i="4"/>
  <c r="BB53" i="4"/>
  <c r="BC53" i="4"/>
  <c r="BD53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BY53" i="4"/>
  <c r="BZ53" i="4"/>
  <c r="CA53" i="4"/>
  <c r="CB53" i="4"/>
  <c r="CC53" i="4"/>
  <c r="CD53" i="4"/>
  <c r="CE53" i="4"/>
  <c r="CF53" i="4"/>
  <c r="CG53" i="4"/>
  <c r="CH53" i="4"/>
  <c r="CI53" i="4"/>
  <c r="CJ53" i="4"/>
  <c r="CK53" i="4"/>
  <c r="CL53" i="4"/>
  <c r="CM53" i="4"/>
  <c r="CN53" i="4"/>
  <c r="CO53" i="4"/>
  <c r="CQ53" i="4"/>
  <c r="CR53" i="4"/>
  <c r="CS53" i="4"/>
  <c r="CT53" i="4"/>
  <c r="CU24" i="4"/>
  <c r="CU53" i="4"/>
  <c r="CV53" i="4"/>
  <c r="CW53" i="4"/>
  <c r="CX53" i="4"/>
  <c r="CY53" i="4"/>
  <c r="CZ53" i="4"/>
  <c r="DA53" i="4"/>
  <c r="DB53" i="4"/>
  <c r="DC53" i="4"/>
  <c r="DD53" i="4"/>
  <c r="DE53" i="4"/>
  <c r="DF53" i="4"/>
  <c r="DG53" i="4"/>
  <c r="DH53" i="4"/>
  <c r="DI53" i="4"/>
  <c r="DJ53" i="4"/>
  <c r="DK53" i="4"/>
  <c r="DL53" i="4"/>
  <c r="DM53" i="4"/>
  <c r="DN53" i="4"/>
  <c r="DO53" i="4"/>
  <c r="DP53" i="4"/>
  <c r="DQ53" i="4"/>
  <c r="DR53" i="4"/>
  <c r="DS53" i="4"/>
  <c r="DT53" i="4"/>
  <c r="DU53" i="4"/>
  <c r="DV53" i="4"/>
  <c r="DW53" i="4"/>
  <c r="DX53" i="4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EL53" i="4"/>
  <c r="EM53" i="4"/>
  <c r="EN53" i="4"/>
  <c r="EO53" i="4"/>
  <c r="EQ53" i="4"/>
  <c r="ER53" i="4"/>
  <c r="ES53" i="4"/>
  <c r="ET53" i="4"/>
  <c r="EU53" i="4"/>
  <c r="EV53" i="4"/>
  <c r="EW53" i="4"/>
  <c r="EX53" i="4"/>
  <c r="EY53" i="4"/>
  <c r="EZ53" i="4"/>
  <c r="FA53" i="4"/>
  <c r="FB53" i="4"/>
  <c r="FC53" i="4"/>
  <c r="FD53" i="4"/>
  <c r="FE53" i="4"/>
  <c r="FF53" i="4"/>
  <c r="FG53" i="4"/>
  <c r="FH53" i="4"/>
  <c r="FI53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BY54" i="4"/>
  <c r="BZ54" i="4"/>
  <c r="CA54" i="4"/>
  <c r="CB54" i="4"/>
  <c r="CC54" i="4"/>
  <c r="CD54" i="4"/>
  <c r="CE54" i="4"/>
  <c r="CF54" i="4"/>
  <c r="CG54" i="4"/>
  <c r="CH54" i="4"/>
  <c r="CI54" i="4"/>
  <c r="CJ54" i="4"/>
  <c r="CK54" i="4"/>
  <c r="CL54" i="4"/>
  <c r="CM54" i="4"/>
  <c r="CN54" i="4"/>
  <c r="CO54" i="4"/>
  <c r="CQ54" i="4"/>
  <c r="CR54" i="4"/>
  <c r="CS54" i="4"/>
  <c r="CT54" i="4"/>
  <c r="CU54" i="4"/>
  <c r="CV54" i="4"/>
  <c r="CW54" i="4"/>
  <c r="CX54" i="4"/>
  <c r="CY54" i="4"/>
  <c r="CZ54" i="4"/>
  <c r="DA54" i="4"/>
  <c r="DB54" i="4"/>
  <c r="DC54" i="4"/>
  <c r="DD54" i="4"/>
  <c r="DE54" i="4"/>
  <c r="DF54" i="4"/>
  <c r="DG54" i="4"/>
  <c r="DH54" i="4"/>
  <c r="DI54" i="4"/>
  <c r="DJ54" i="4"/>
  <c r="DK54" i="4"/>
  <c r="DL54" i="4"/>
  <c r="DM54" i="4"/>
  <c r="DN54" i="4"/>
  <c r="DO54" i="4"/>
  <c r="DP54" i="4"/>
  <c r="DQ54" i="4"/>
  <c r="DR54" i="4"/>
  <c r="DS54" i="4"/>
  <c r="DT54" i="4"/>
  <c r="DU54" i="4"/>
  <c r="DV54" i="4"/>
  <c r="DW54" i="4"/>
  <c r="DX54" i="4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EL54" i="4"/>
  <c r="EM54" i="4"/>
  <c r="EN54" i="4"/>
  <c r="EO54" i="4"/>
  <c r="EQ54" i="4"/>
  <c r="ER54" i="4"/>
  <c r="ES54" i="4"/>
  <c r="ET54" i="4"/>
  <c r="EU54" i="4"/>
  <c r="EV54" i="4"/>
  <c r="EW54" i="4"/>
  <c r="EX54" i="4"/>
  <c r="EY54" i="4"/>
  <c r="EZ54" i="4"/>
  <c r="FA54" i="4"/>
  <c r="FB54" i="4"/>
  <c r="FC54" i="4"/>
  <c r="FD54" i="4"/>
  <c r="FE54" i="4"/>
  <c r="FF54" i="4"/>
  <c r="FG54" i="4"/>
  <c r="FH54" i="4"/>
  <c r="FI54" i="4"/>
  <c r="C53" i="4"/>
  <c r="C54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BY42" i="4"/>
  <c r="BZ42" i="4"/>
  <c r="CA42" i="4"/>
  <c r="CB42" i="4"/>
  <c r="CC42" i="4"/>
  <c r="CD42" i="4"/>
  <c r="CE42" i="4"/>
  <c r="CF42" i="4"/>
  <c r="CG42" i="4"/>
  <c r="CH42" i="4"/>
  <c r="CI42" i="4"/>
  <c r="CJ42" i="4"/>
  <c r="CK42" i="4"/>
  <c r="CL42" i="4"/>
  <c r="CM42" i="4"/>
  <c r="CN42" i="4"/>
  <c r="CO42" i="4"/>
  <c r="CQ42" i="4"/>
  <c r="CR42" i="4"/>
  <c r="CS42" i="4"/>
  <c r="CT42" i="4"/>
  <c r="CU14" i="4"/>
  <c r="CU42" i="4"/>
  <c r="CV42" i="4"/>
  <c r="CW42" i="4"/>
  <c r="CX42" i="4"/>
  <c r="CY42" i="4"/>
  <c r="CZ42" i="4"/>
  <c r="DA42" i="4"/>
  <c r="DB42" i="4"/>
  <c r="DC42" i="4"/>
  <c r="DD42" i="4"/>
  <c r="DE42" i="4"/>
  <c r="DF42" i="4"/>
  <c r="DG42" i="4"/>
  <c r="DH42" i="4"/>
  <c r="DI42" i="4"/>
  <c r="DJ42" i="4"/>
  <c r="DK42" i="4"/>
  <c r="DL42" i="4"/>
  <c r="DM42" i="4"/>
  <c r="DN42" i="4"/>
  <c r="DO42" i="4"/>
  <c r="DP42" i="4"/>
  <c r="DQ42" i="4"/>
  <c r="DR42" i="4"/>
  <c r="DS42" i="4"/>
  <c r="DT42" i="4"/>
  <c r="DU42" i="4"/>
  <c r="DV42" i="4"/>
  <c r="DW42" i="4"/>
  <c r="DX42" i="4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EL42" i="4"/>
  <c r="EM42" i="4"/>
  <c r="EN42" i="4"/>
  <c r="EO42" i="4"/>
  <c r="EQ42" i="4"/>
  <c r="ER42" i="4"/>
  <c r="ES42" i="4"/>
  <c r="ET42" i="4"/>
  <c r="EU42" i="4"/>
  <c r="EV42" i="4"/>
  <c r="EW42" i="4"/>
  <c r="EX42" i="4"/>
  <c r="EY42" i="4"/>
  <c r="EZ42" i="4"/>
  <c r="FA42" i="4"/>
  <c r="FB42" i="4"/>
  <c r="FC42" i="4"/>
  <c r="FD42" i="4"/>
  <c r="FE42" i="4"/>
  <c r="FF42" i="4"/>
  <c r="FG42" i="4"/>
  <c r="FH42" i="4"/>
  <c r="FI42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BY43" i="4"/>
  <c r="BZ43" i="4"/>
  <c r="CA43" i="4"/>
  <c r="CB43" i="4"/>
  <c r="CC43" i="4"/>
  <c r="CD43" i="4"/>
  <c r="CE43" i="4"/>
  <c r="CF43" i="4"/>
  <c r="CG43" i="4"/>
  <c r="CH43" i="4"/>
  <c r="CI43" i="4"/>
  <c r="CJ43" i="4"/>
  <c r="CK43" i="4"/>
  <c r="CL43" i="4"/>
  <c r="CM43" i="4"/>
  <c r="CN43" i="4"/>
  <c r="CO43" i="4"/>
  <c r="CQ43" i="4"/>
  <c r="CR43" i="4"/>
  <c r="CS43" i="4"/>
  <c r="CT43" i="4"/>
  <c r="CU43" i="4"/>
  <c r="CV43" i="4"/>
  <c r="CW43" i="4"/>
  <c r="CX43" i="4"/>
  <c r="CY43" i="4"/>
  <c r="CZ43" i="4"/>
  <c r="DA43" i="4"/>
  <c r="DB43" i="4"/>
  <c r="DC43" i="4"/>
  <c r="DD43" i="4"/>
  <c r="DE43" i="4"/>
  <c r="DF43" i="4"/>
  <c r="DG43" i="4"/>
  <c r="DH43" i="4"/>
  <c r="DI43" i="4"/>
  <c r="DJ43" i="4"/>
  <c r="DK43" i="4"/>
  <c r="DL43" i="4"/>
  <c r="DM43" i="4"/>
  <c r="DN43" i="4"/>
  <c r="DO43" i="4"/>
  <c r="DP43" i="4"/>
  <c r="DQ43" i="4"/>
  <c r="DR43" i="4"/>
  <c r="DS43" i="4"/>
  <c r="DT43" i="4"/>
  <c r="DU43" i="4"/>
  <c r="DV43" i="4"/>
  <c r="DW43" i="4"/>
  <c r="DX43" i="4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EL43" i="4"/>
  <c r="EM43" i="4"/>
  <c r="EN43" i="4"/>
  <c r="EO43" i="4"/>
  <c r="EQ43" i="4"/>
  <c r="ER43" i="4"/>
  <c r="ES43" i="4"/>
  <c r="ET43" i="4"/>
  <c r="EU43" i="4"/>
  <c r="EV43" i="4"/>
  <c r="EW43" i="4"/>
  <c r="EX43" i="4"/>
  <c r="EY43" i="4"/>
  <c r="EZ43" i="4"/>
  <c r="FA43" i="4"/>
  <c r="FB43" i="4"/>
  <c r="FC43" i="4"/>
  <c r="FD43" i="4"/>
  <c r="FE43" i="4"/>
  <c r="FF43" i="4"/>
  <c r="FG43" i="4"/>
  <c r="FH43" i="4"/>
  <c r="FI43" i="4"/>
  <c r="C43" i="4"/>
  <c r="C4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Q22" i="4"/>
  <c r="ER22" i="4"/>
  <c r="ES22" i="4"/>
  <c r="ET22" i="4"/>
  <c r="EU22" i="4"/>
  <c r="EV22" i="4"/>
  <c r="EW22" i="4"/>
  <c r="EX22" i="4"/>
  <c r="EY22" i="4"/>
  <c r="EZ22" i="4"/>
  <c r="FA22" i="4"/>
  <c r="FB22" i="4"/>
  <c r="FC22" i="4"/>
  <c r="FD22" i="4"/>
  <c r="FE22" i="4"/>
  <c r="FF22" i="4"/>
  <c r="FG22" i="4"/>
  <c r="FH22" i="4"/>
  <c r="FI22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Q23" i="4"/>
  <c r="ER23" i="4"/>
  <c r="ES23" i="4"/>
  <c r="ET23" i="4"/>
  <c r="EU23" i="4"/>
  <c r="EV23" i="4"/>
  <c r="EW23" i="4"/>
  <c r="EX23" i="4"/>
  <c r="EY23" i="4"/>
  <c r="EZ23" i="4"/>
  <c r="FA23" i="4"/>
  <c r="FB23" i="4"/>
  <c r="FC23" i="4"/>
  <c r="FD23" i="4"/>
  <c r="FE23" i="4"/>
  <c r="FF23" i="4"/>
  <c r="FG23" i="4"/>
  <c r="FH23" i="4"/>
  <c r="FI23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Q24" i="4"/>
  <c r="CR24" i="4"/>
  <c r="CS24" i="4"/>
  <c r="CT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Q24" i="4"/>
  <c r="ER24" i="4"/>
  <c r="ES24" i="4"/>
  <c r="ET24" i="4"/>
  <c r="EU24" i="4"/>
  <c r="EV24" i="4"/>
  <c r="EW24" i="4"/>
  <c r="EX24" i="4"/>
  <c r="EY24" i="4"/>
  <c r="EZ24" i="4"/>
  <c r="FA24" i="4"/>
  <c r="FB24" i="4"/>
  <c r="FC24" i="4"/>
  <c r="FD24" i="4"/>
  <c r="FE24" i="4"/>
  <c r="FF24" i="4"/>
  <c r="FG24" i="4"/>
  <c r="FH24" i="4"/>
  <c r="FI24" i="4"/>
  <c r="C24" i="4"/>
  <c r="C23" i="4"/>
  <c r="C2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EB12" i="4"/>
  <c r="EC12" i="4"/>
  <c r="ED12" i="4"/>
  <c r="EE12" i="4"/>
  <c r="EF12" i="4"/>
  <c r="EG12" i="4"/>
  <c r="EH12" i="4"/>
  <c r="EI12" i="4"/>
  <c r="EJ12" i="4"/>
  <c r="EK12" i="4"/>
  <c r="EL12" i="4"/>
  <c r="EM12" i="4"/>
  <c r="EN12" i="4"/>
  <c r="EO12" i="4"/>
  <c r="EQ12" i="4"/>
  <c r="ER12" i="4"/>
  <c r="ES12" i="4"/>
  <c r="ET12" i="4"/>
  <c r="EU12" i="4"/>
  <c r="EV12" i="4"/>
  <c r="EW12" i="4"/>
  <c r="EX12" i="4"/>
  <c r="EY12" i="4"/>
  <c r="EZ12" i="4"/>
  <c r="FA12" i="4"/>
  <c r="FB12" i="4"/>
  <c r="FC12" i="4"/>
  <c r="FD12" i="4"/>
  <c r="FE12" i="4"/>
  <c r="FF12" i="4"/>
  <c r="FG12" i="4"/>
  <c r="FH12" i="4"/>
  <c r="FI12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Q13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EB13" i="4"/>
  <c r="EC13" i="4"/>
  <c r="ED13" i="4"/>
  <c r="EE13" i="4"/>
  <c r="EF13" i="4"/>
  <c r="EG13" i="4"/>
  <c r="EH13" i="4"/>
  <c r="EI13" i="4"/>
  <c r="EJ13" i="4"/>
  <c r="EK13" i="4"/>
  <c r="EL13" i="4"/>
  <c r="EM13" i="4"/>
  <c r="EN13" i="4"/>
  <c r="EO13" i="4"/>
  <c r="EQ13" i="4"/>
  <c r="ER13" i="4"/>
  <c r="ES13" i="4"/>
  <c r="ET13" i="4"/>
  <c r="EU13" i="4"/>
  <c r="EV13" i="4"/>
  <c r="EW13" i="4"/>
  <c r="EX13" i="4"/>
  <c r="EY13" i="4"/>
  <c r="EZ13" i="4"/>
  <c r="FA13" i="4"/>
  <c r="FB13" i="4"/>
  <c r="FC13" i="4"/>
  <c r="FD13" i="4"/>
  <c r="FE13" i="4"/>
  <c r="FF13" i="4"/>
  <c r="FG13" i="4"/>
  <c r="FH13" i="4"/>
  <c r="FI13" i="4"/>
  <c r="C14" i="4"/>
  <c r="C13" i="4"/>
  <c r="C12" i="4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C54" i="3"/>
  <c r="CD54" i="3"/>
  <c r="CE54" i="3"/>
  <c r="CF54" i="3"/>
  <c r="CG54" i="3"/>
  <c r="CH54" i="3"/>
  <c r="CI54" i="3"/>
  <c r="CJ54" i="3"/>
  <c r="CK54" i="3"/>
  <c r="CL54" i="3"/>
  <c r="CM54" i="3"/>
  <c r="CN54" i="3"/>
  <c r="CO54" i="3"/>
  <c r="CQ54" i="3"/>
  <c r="CR54" i="3"/>
  <c r="CS54" i="3"/>
  <c r="CT54" i="3"/>
  <c r="CU54" i="3"/>
  <c r="CV54" i="3"/>
  <c r="CW54" i="3"/>
  <c r="CX54" i="3"/>
  <c r="CY54" i="3"/>
  <c r="CZ54" i="3"/>
  <c r="DA54" i="3"/>
  <c r="DB54" i="3"/>
  <c r="DC54" i="3"/>
  <c r="DD54" i="3"/>
  <c r="DE54" i="3"/>
  <c r="DF54" i="3"/>
  <c r="DG54" i="3"/>
  <c r="DH54" i="3"/>
  <c r="DI54" i="3"/>
  <c r="DJ54" i="3"/>
  <c r="DK54" i="3"/>
  <c r="DL54" i="3"/>
  <c r="DM54" i="3"/>
  <c r="DN54" i="3"/>
  <c r="DO54" i="3"/>
  <c r="DP54" i="3"/>
  <c r="DQ54" i="3"/>
  <c r="DR54" i="3"/>
  <c r="DS54" i="3"/>
  <c r="DT54" i="3"/>
  <c r="DU54" i="3"/>
  <c r="DV54" i="3"/>
  <c r="DW54" i="3"/>
  <c r="DX54" i="3"/>
  <c r="DY54" i="3"/>
  <c r="DZ54" i="3"/>
  <c r="EA54" i="3"/>
  <c r="EB54" i="3"/>
  <c r="EC54" i="3"/>
  <c r="ED54" i="3"/>
  <c r="EE54" i="3"/>
  <c r="EF54" i="3"/>
  <c r="EG54" i="3"/>
  <c r="EH54" i="3"/>
  <c r="EI54" i="3"/>
  <c r="EJ54" i="3"/>
  <c r="EK54" i="3"/>
  <c r="EL54" i="3"/>
  <c r="EM54" i="3"/>
  <c r="EN54" i="3"/>
  <c r="EO54" i="3"/>
  <c r="EQ54" i="3"/>
  <c r="ER54" i="3"/>
  <c r="ES54" i="3"/>
  <c r="ET54" i="3"/>
  <c r="EU54" i="3"/>
  <c r="EV54" i="3"/>
  <c r="EW54" i="3"/>
  <c r="EX54" i="3"/>
  <c r="EY54" i="3"/>
  <c r="EZ54" i="3"/>
  <c r="FA54" i="3"/>
  <c r="FB54" i="3"/>
  <c r="FC54" i="3"/>
  <c r="FD54" i="3"/>
  <c r="FE54" i="3"/>
  <c r="FF54" i="3"/>
  <c r="FG54" i="3"/>
  <c r="FH54" i="3"/>
  <c r="FI54" i="3"/>
  <c r="C54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Q43" i="3"/>
  <c r="CR43" i="3"/>
  <c r="CS43" i="3"/>
  <c r="CT43" i="3"/>
  <c r="CU43" i="3"/>
  <c r="CV43" i="3"/>
  <c r="CW43" i="3"/>
  <c r="CX43" i="3"/>
  <c r="CY43" i="3"/>
  <c r="CZ43" i="3"/>
  <c r="DA43" i="3"/>
  <c r="DB43" i="3"/>
  <c r="DC43" i="3"/>
  <c r="DD43" i="3"/>
  <c r="DE43" i="3"/>
  <c r="DF43" i="3"/>
  <c r="DG43" i="3"/>
  <c r="DH43" i="3"/>
  <c r="DI43" i="3"/>
  <c r="DJ43" i="3"/>
  <c r="DK43" i="3"/>
  <c r="DL43" i="3"/>
  <c r="DM43" i="3"/>
  <c r="DN43" i="3"/>
  <c r="DO43" i="3"/>
  <c r="DP43" i="3"/>
  <c r="DQ43" i="3"/>
  <c r="DR43" i="3"/>
  <c r="DS43" i="3"/>
  <c r="DT43" i="3"/>
  <c r="DU43" i="3"/>
  <c r="DV43" i="3"/>
  <c r="DW43" i="3"/>
  <c r="DX43" i="3"/>
  <c r="DY43" i="3"/>
  <c r="DZ43" i="3"/>
  <c r="EA43" i="3"/>
  <c r="EB43" i="3"/>
  <c r="EC43" i="3"/>
  <c r="ED43" i="3"/>
  <c r="EE43" i="3"/>
  <c r="EF43" i="3"/>
  <c r="EG43" i="3"/>
  <c r="EH43" i="3"/>
  <c r="EI43" i="3"/>
  <c r="EJ43" i="3"/>
  <c r="EK43" i="3"/>
  <c r="EL43" i="3"/>
  <c r="EM43" i="3"/>
  <c r="EN43" i="3"/>
  <c r="EO43" i="3"/>
  <c r="EQ43" i="3"/>
  <c r="ER43" i="3"/>
  <c r="ES43" i="3"/>
  <c r="ET43" i="3"/>
  <c r="EU43" i="3"/>
  <c r="EW43" i="3"/>
  <c r="EX43" i="3"/>
  <c r="EY43" i="3"/>
  <c r="EZ43" i="3"/>
  <c r="FA43" i="3"/>
  <c r="FB43" i="3"/>
  <c r="FC43" i="3"/>
  <c r="FD43" i="3"/>
  <c r="FE43" i="3"/>
  <c r="FF43" i="3"/>
  <c r="FG43" i="3"/>
  <c r="FH43" i="3"/>
  <c r="FI43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C44" i="3"/>
  <c r="CD44" i="3"/>
  <c r="CE44" i="3"/>
  <c r="CF44" i="3"/>
  <c r="CG44" i="3"/>
  <c r="CH44" i="3"/>
  <c r="CI44" i="3"/>
  <c r="CJ44" i="3"/>
  <c r="CK44" i="3"/>
  <c r="CL44" i="3"/>
  <c r="CM44" i="3"/>
  <c r="CN44" i="3"/>
  <c r="CO44" i="3"/>
  <c r="CQ44" i="3"/>
  <c r="CR44" i="3"/>
  <c r="CS44" i="3"/>
  <c r="CT44" i="3"/>
  <c r="CU44" i="3"/>
  <c r="CV44" i="3"/>
  <c r="CW44" i="3"/>
  <c r="CX44" i="3"/>
  <c r="CY44" i="3"/>
  <c r="CZ44" i="3"/>
  <c r="DA44" i="3"/>
  <c r="DB44" i="3"/>
  <c r="DC44" i="3"/>
  <c r="DD44" i="3"/>
  <c r="DE44" i="3"/>
  <c r="DF44" i="3"/>
  <c r="DG44" i="3"/>
  <c r="DH44" i="3"/>
  <c r="DI44" i="3"/>
  <c r="DJ44" i="3"/>
  <c r="DK44" i="3"/>
  <c r="DL44" i="3"/>
  <c r="DM44" i="3"/>
  <c r="DN44" i="3"/>
  <c r="DO44" i="3"/>
  <c r="DP44" i="3"/>
  <c r="DQ44" i="3"/>
  <c r="DR44" i="3"/>
  <c r="DS44" i="3"/>
  <c r="DT44" i="3"/>
  <c r="DU44" i="3"/>
  <c r="DV44" i="3"/>
  <c r="DW44" i="3"/>
  <c r="DX44" i="3"/>
  <c r="DY44" i="3"/>
  <c r="DZ44" i="3"/>
  <c r="EA44" i="3"/>
  <c r="EB44" i="3"/>
  <c r="EC44" i="3"/>
  <c r="ED44" i="3"/>
  <c r="EE44" i="3"/>
  <c r="EF44" i="3"/>
  <c r="EG44" i="3"/>
  <c r="EH44" i="3"/>
  <c r="EI44" i="3"/>
  <c r="EJ44" i="3"/>
  <c r="EK44" i="3"/>
  <c r="EL44" i="3"/>
  <c r="EM44" i="3"/>
  <c r="EN44" i="3"/>
  <c r="EO44" i="3"/>
  <c r="EQ44" i="3"/>
  <c r="ER44" i="3"/>
  <c r="ES44" i="3"/>
  <c r="ET44" i="3"/>
  <c r="EU44" i="3"/>
  <c r="EV44" i="3"/>
  <c r="EW44" i="3"/>
  <c r="EX44" i="3"/>
  <c r="EY44" i="3"/>
  <c r="EZ44" i="3"/>
  <c r="FA44" i="3"/>
  <c r="FB44" i="3"/>
  <c r="FC44" i="3"/>
  <c r="FD44" i="3"/>
  <c r="FE44" i="3"/>
  <c r="FF44" i="3"/>
  <c r="FG44" i="3"/>
  <c r="FH44" i="3"/>
  <c r="FI44" i="3"/>
  <c r="D43" i="3"/>
  <c r="E43" i="3"/>
  <c r="D44" i="3"/>
  <c r="E44" i="3"/>
  <c r="C44" i="3"/>
  <c r="C43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CC28" i="3"/>
  <c r="CD28" i="3"/>
  <c r="CE28" i="3"/>
  <c r="CF28" i="3"/>
  <c r="CG28" i="3"/>
  <c r="CH28" i="3"/>
  <c r="CI28" i="3"/>
  <c r="CJ28" i="3"/>
  <c r="CK28" i="3"/>
  <c r="CL28" i="3"/>
  <c r="CM28" i="3"/>
  <c r="CN28" i="3"/>
  <c r="CO28" i="3"/>
  <c r="CQ28" i="3"/>
  <c r="CR28" i="3"/>
  <c r="CS28" i="3"/>
  <c r="CT28" i="3"/>
  <c r="CU28" i="3"/>
  <c r="CV28" i="3"/>
  <c r="CW28" i="3"/>
  <c r="CX28" i="3"/>
  <c r="CY28" i="3"/>
  <c r="CZ28" i="3"/>
  <c r="DA28" i="3"/>
  <c r="DB28" i="3"/>
  <c r="DC28" i="3"/>
  <c r="DD28" i="3"/>
  <c r="DE28" i="3"/>
  <c r="DF28" i="3"/>
  <c r="DG28" i="3"/>
  <c r="DH28" i="3"/>
  <c r="DI28" i="3"/>
  <c r="DJ28" i="3"/>
  <c r="DK28" i="3"/>
  <c r="DL28" i="3"/>
  <c r="DM28" i="3"/>
  <c r="DN28" i="3"/>
  <c r="DO28" i="3"/>
  <c r="DP28" i="3"/>
  <c r="DQ28" i="3"/>
  <c r="DR28" i="3"/>
  <c r="DS28" i="3"/>
  <c r="DT28" i="3"/>
  <c r="DU28" i="3"/>
  <c r="DV28" i="3"/>
  <c r="DW28" i="3"/>
  <c r="DX28" i="3"/>
  <c r="DY28" i="3"/>
  <c r="DZ28" i="3"/>
  <c r="EA28" i="3"/>
  <c r="EB28" i="3"/>
  <c r="EC28" i="3"/>
  <c r="ED28" i="3"/>
  <c r="EE28" i="3"/>
  <c r="EF28" i="3"/>
  <c r="EG28" i="3"/>
  <c r="EH28" i="3"/>
  <c r="EI28" i="3"/>
  <c r="EJ28" i="3"/>
  <c r="EK28" i="3"/>
  <c r="EL28" i="3"/>
  <c r="EM28" i="3"/>
  <c r="EN28" i="3"/>
  <c r="EO28" i="3"/>
  <c r="EQ28" i="3"/>
  <c r="ER28" i="3"/>
  <c r="ES28" i="3"/>
  <c r="ET28" i="3"/>
  <c r="EU28" i="3"/>
  <c r="EV28" i="3"/>
  <c r="EW28" i="3"/>
  <c r="EX28" i="3"/>
  <c r="EY28" i="3"/>
  <c r="EZ28" i="3"/>
  <c r="FA28" i="3"/>
  <c r="FB28" i="3"/>
  <c r="FC28" i="3"/>
  <c r="FD28" i="3"/>
  <c r="FE28" i="3"/>
  <c r="FF28" i="3"/>
  <c r="FG28" i="3"/>
  <c r="FH28" i="3"/>
  <c r="FI28" i="3"/>
  <c r="C28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Q24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DD24" i="3"/>
  <c r="DE24" i="3"/>
  <c r="DF24" i="3"/>
  <c r="DG24" i="3"/>
  <c r="DH24" i="3"/>
  <c r="DI24" i="3"/>
  <c r="DJ24" i="3"/>
  <c r="DK24" i="3"/>
  <c r="DL24" i="3"/>
  <c r="DM24" i="3"/>
  <c r="DN24" i="3"/>
  <c r="DO24" i="3"/>
  <c r="DP24" i="3"/>
  <c r="DQ24" i="3"/>
  <c r="DR24" i="3"/>
  <c r="DS24" i="3"/>
  <c r="DT24" i="3"/>
  <c r="DU24" i="3"/>
  <c r="DV24" i="3"/>
  <c r="DW24" i="3"/>
  <c r="DX24" i="3"/>
  <c r="DY24" i="3"/>
  <c r="DZ24" i="3"/>
  <c r="EA24" i="3"/>
  <c r="EB24" i="3"/>
  <c r="EC24" i="3"/>
  <c r="ED24" i="3"/>
  <c r="EE24" i="3"/>
  <c r="EF24" i="3"/>
  <c r="EG24" i="3"/>
  <c r="EH24" i="3"/>
  <c r="EI24" i="3"/>
  <c r="EJ24" i="3"/>
  <c r="EK24" i="3"/>
  <c r="EL24" i="3"/>
  <c r="EM24" i="3"/>
  <c r="EN24" i="3"/>
  <c r="EO24" i="3"/>
  <c r="EQ24" i="3"/>
  <c r="ER24" i="3"/>
  <c r="ES24" i="3"/>
  <c r="ET24" i="3"/>
  <c r="EU24" i="3"/>
  <c r="EV24" i="3"/>
  <c r="EW24" i="3"/>
  <c r="EX24" i="3"/>
  <c r="EY24" i="3"/>
  <c r="EZ24" i="3"/>
  <c r="FA24" i="3"/>
  <c r="FB24" i="3"/>
  <c r="FC24" i="3"/>
  <c r="FD24" i="3"/>
  <c r="FE24" i="3"/>
  <c r="FF24" i="3"/>
  <c r="FG24" i="3"/>
  <c r="FH24" i="3"/>
  <c r="FI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Q25" i="3"/>
  <c r="CR25" i="3"/>
  <c r="CS25" i="3"/>
  <c r="CT25" i="3"/>
  <c r="CU25" i="3"/>
  <c r="CV25" i="3"/>
  <c r="CW25" i="3"/>
  <c r="CX25" i="3"/>
  <c r="CY25" i="3"/>
  <c r="CZ25" i="3"/>
  <c r="DA25" i="3"/>
  <c r="DB25" i="3"/>
  <c r="DC25" i="3"/>
  <c r="DD25" i="3"/>
  <c r="DE25" i="3"/>
  <c r="DF25" i="3"/>
  <c r="DG25" i="3"/>
  <c r="DH25" i="3"/>
  <c r="DI25" i="3"/>
  <c r="DJ25" i="3"/>
  <c r="DK25" i="3"/>
  <c r="DL25" i="3"/>
  <c r="DM25" i="3"/>
  <c r="DN25" i="3"/>
  <c r="DO25" i="3"/>
  <c r="DP25" i="3"/>
  <c r="DQ25" i="3"/>
  <c r="DR25" i="3"/>
  <c r="DS25" i="3"/>
  <c r="DT25" i="3"/>
  <c r="DU25" i="3"/>
  <c r="DV25" i="3"/>
  <c r="DW25" i="3"/>
  <c r="DX25" i="3"/>
  <c r="DY25" i="3"/>
  <c r="DZ25" i="3"/>
  <c r="EA25" i="3"/>
  <c r="EB25" i="3"/>
  <c r="EC25" i="3"/>
  <c r="ED25" i="3"/>
  <c r="EE25" i="3"/>
  <c r="EF25" i="3"/>
  <c r="EG25" i="3"/>
  <c r="EH25" i="3"/>
  <c r="EI25" i="3"/>
  <c r="EJ25" i="3"/>
  <c r="EK25" i="3"/>
  <c r="EL25" i="3"/>
  <c r="EM25" i="3"/>
  <c r="EN25" i="3"/>
  <c r="EO25" i="3"/>
  <c r="EQ25" i="3"/>
  <c r="ER25" i="3"/>
  <c r="ES25" i="3"/>
  <c r="ET25" i="3"/>
  <c r="EU25" i="3"/>
  <c r="EV25" i="3"/>
  <c r="EW25" i="3"/>
  <c r="EX25" i="3"/>
  <c r="EY25" i="3"/>
  <c r="EZ25" i="3"/>
  <c r="FA25" i="3"/>
  <c r="FB25" i="3"/>
  <c r="FC25" i="3"/>
  <c r="FD25" i="3"/>
  <c r="FE25" i="3"/>
  <c r="FF25" i="3"/>
  <c r="FG25" i="3"/>
  <c r="FH25" i="3"/>
  <c r="FI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DJ26" i="3"/>
  <c r="DK26" i="3"/>
  <c r="DL26" i="3"/>
  <c r="DM26" i="3"/>
  <c r="DN26" i="3"/>
  <c r="DO26" i="3"/>
  <c r="DP26" i="3"/>
  <c r="DQ26" i="3"/>
  <c r="DR26" i="3"/>
  <c r="DS26" i="3"/>
  <c r="DT26" i="3"/>
  <c r="DU26" i="3"/>
  <c r="DV26" i="3"/>
  <c r="DW26" i="3"/>
  <c r="DX26" i="3"/>
  <c r="DY26" i="3"/>
  <c r="DZ26" i="3"/>
  <c r="EA26" i="3"/>
  <c r="EB26" i="3"/>
  <c r="EC26" i="3"/>
  <c r="ED26" i="3"/>
  <c r="EE26" i="3"/>
  <c r="EF26" i="3"/>
  <c r="EG26" i="3"/>
  <c r="EH26" i="3"/>
  <c r="EI26" i="3"/>
  <c r="EJ26" i="3"/>
  <c r="EK26" i="3"/>
  <c r="EL26" i="3"/>
  <c r="EM26" i="3"/>
  <c r="EN26" i="3"/>
  <c r="EO26" i="3"/>
  <c r="EQ26" i="3"/>
  <c r="ER26" i="3"/>
  <c r="ES26" i="3"/>
  <c r="ET26" i="3"/>
  <c r="EU26" i="3"/>
  <c r="EV26" i="3"/>
  <c r="EW26" i="3"/>
  <c r="EX26" i="3"/>
  <c r="EY26" i="3"/>
  <c r="EZ26" i="3"/>
  <c r="FA26" i="3"/>
  <c r="FB26" i="3"/>
  <c r="FC26" i="3"/>
  <c r="FD26" i="3"/>
  <c r="FE26" i="3"/>
  <c r="FF26" i="3"/>
  <c r="FG26" i="3"/>
  <c r="FH26" i="3"/>
  <c r="FI26" i="3"/>
  <c r="C26" i="3"/>
  <c r="C25" i="3"/>
  <c r="C24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EN12" i="3"/>
  <c r="EO12" i="3"/>
  <c r="EQ12" i="3"/>
  <c r="ER12" i="3"/>
  <c r="ES12" i="3"/>
  <c r="ET12" i="3"/>
  <c r="EU12" i="3"/>
  <c r="EV12" i="3"/>
  <c r="EW12" i="3"/>
  <c r="EX12" i="3"/>
  <c r="EY12" i="3"/>
  <c r="EZ12" i="3"/>
  <c r="FA12" i="3"/>
  <c r="FB12" i="3"/>
  <c r="FC12" i="3"/>
  <c r="FD12" i="3"/>
  <c r="FE12" i="3"/>
  <c r="FF12" i="3"/>
  <c r="FG12" i="3"/>
  <c r="FH12" i="3"/>
  <c r="FI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EK13" i="3"/>
  <c r="EL13" i="3"/>
  <c r="EM13" i="3"/>
  <c r="EN13" i="3"/>
  <c r="EO13" i="3"/>
  <c r="EQ13" i="3"/>
  <c r="ER13" i="3"/>
  <c r="ES13" i="3"/>
  <c r="ET13" i="3"/>
  <c r="EU13" i="3"/>
  <c r="EV13" i="3"/>
  <c r="EW13" i="3"/>
  <c r="EX13" i="3"/>
  <c r="EY13" i="3"/>
  <c r="EZ13" i="3"/>
  <c r="FA13" i="3"/>
  <c r="FB13" i="3"/>
  <c r="FC13" i="3"/>
  <c r="FD13" i="3"/>
  <c r="FE13" i="3"/>
  <c r="FF13" i="3"/>
  <c r="FG13" i="3"/>
  <c r="FH13" i="3"/>
  <c r="FI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EN14" i="3"/>
  <c r="EO14" i="3"/>
  <c r="EQ14" i="3"/>
  <c r="ER14" i="3"/>
  <c r="ES14" i="3"/>
  <c r="ET14" i="3"/>
  <c r="EU14" i="3"/>
  <c r="EV14" i="3"/>
  <c r="EW14" i="3"/>
  <c r="EX14" i="3"/>
  <c r="EY14" i="3"/>
  <c r="EZ14" i="3"/>
  <c r="FA14" i="3"/>
  <c r="FB14" i="3"/>
  <c r="FC14" i="3"/>
  <c r="FD14" i="3"/>
  <c r="FE14" i="3"/>
  <c r="FF14" i="3"/>
  <c r="FG14" i="3"/>
  <c r="FH14" i="3"/>
  <c r="FI14" i="3"/>
  <c r="C14" i="3"/>
  <c r="C13" i="3"/>
  <c r="C12" i="3"/>
  <c r="CU56" i="4"/>
</calcChain>
</file>

<file path=xl/sharedStrings.xml><?xml version="1.0" encoding="utf-8"?>
<sst xmlns="http://schemas.openxmlformats.org/spreadsheetml/2006/main" count="1232" uniqueCount="249">
  <si>
    <t>Group</t>
  </si>
  <si>
    <t xml:space="preserve">LPC (16:0) </t>
  </si>
  <si>
    <t xml:space="preserve">LPC(18:0) </t>
  </si>
  <si>
    <t xml:space="preserve">LPC(18:1) </t>
  </si>
  <si>
    <t xml:space="preserve">LPC(18:2) </t>
  </si>
  <si>
    <t xml:space="preserve">LPC(20:3) </t>
  </si>
  <si>
    <t xml:space="preserve">LPC(20:4) </t>
  </si>
  <si>
    <t xml:space="preserve">PC (32:0) </t>
  </si>
  <si>
    <t xml:space="preserve">PC (32:1) </t>
  </si>
  <si>
    <t xml:space="preserve">PC (33:0) </t>
  </si>
  <si>
    <t xml:space="preserve">PC (33:1) </t>
  </si>
  <si>
    <t xml:space="preserve">PC (33:2) </t>
  </si>
  <si>
    <t xml:space="preserve">PC (33:3) </t>
  </si>
  <si>
    <t xml:space="preserve">PC (33:4) </t>
  </si>
  <si>
    <t xml:space="preserve">PC (34:0) </t>
  </si>
  <si>
    <t xml:space="preserve">PC (34:1)/IS </t>
  </si>
  <si>
    <t xml:space="preserve">PC (34:2) </t>
  </si>
  <si>
    <t xml:space="preserve">PC (34:3) </t>
  </si>
  <si>
    <t xml:space="preserve">PC (34:4) </t>
  </si>
  <si>
    <t xml:space="preserve">PC (35:0) </t>
  </si>
  <si>
    <t xml:space="preserve">PC (35:1) </t>
  </si>
  <si>
    <t xml:space="preserve">PC (35:2) </t>
  </si>
  <si>
    <t xml:space="preserve">PC (35:3) </t>
  </si>
  <si>
    <t xml:space="preserve">PC (35:4) </t>
  </si>
  <si>
    <t xml:space="preserve">PC (36:0) </t>
  </si>
  <si>
    <t xml:space="preserve">PC (36:1) </t>
  </si>
  <si>
    <t xml:space="preserve">PC (36:2) </t>
  </si>
  <si>
    <t xml:space="preserve">PC (36:3) </t>
  </si>
  <si>
    <t xml:space="preserve">PC (36:4) </t>
  </si>
  <si>
    <t xml:space="preserve">PC (36:5) </t>
  </si>
  <si>
    <t xml:space="preserve">PC (37:0) </t>
  </si>
  <si>
    <t xml:space="preserve">PC (37:1) </t>
  </si>
  <si>
    <t xml:space="preserve">PC (37:2) </t>
  </si>
  <si>
    <t xml:space="preserve">PC (37:3) </t>
  </si>
  <si>
    <t xml:space="preserve">PC (37:4) </t>
  </si>
  <si>
    <t xml:space="preserve">PC (37:5) </t>
  </si>
  <si>
    <t xml:space="preserve">PC (37:6) </t>
  </si>
  <si>
    <t xml:space="preserve">PC(31:0) </t>
  </si>
  <si>
    <t xml:space="preserve">PC(32:6) </t>
  </si>
  <si>
    <t xml:space="preserve">PC(38:1) </t>
  </si>
  <si>
    <t xml:space="preserve">PC(38:2) </t>
  </si>
  <si>
    <t xml:space="preserve">PC(38:3) </t>
  </si>
  <si>
    <t xml:space="preserve">PC(38:4) </t>
  </si>
  <si>
    <t xml:space="preserve">PC(38:5) </t>
  </si>
  <si>
    <t xml:space="preserve">PC(38:6) </t>
  </si>
  <si>
    <t xml:space="preserve">PC(39:0) </t>
  </si>
  <si>
    <t xml:space="preserve">PC(39:1) </t>
  </si>
  <si>
    <t xml:space="preserve">PC(39:2) </t>
  </si>
  <si>
    <t xml:space="preserve">PC(39:6) </t>
  </si>
  <si>
    <t xml:space="preserve">PC(40:4) </t>
  </si>
  <si>
    <t xml:space="preserve">PC(40:5) </t>
  </si>
  <si>
    <t xml:space="preserve">PC(40:6) </t>
  </si>
  <si>
    <t xml:space="preserve">SM (34:0) </t>
  </si>
  <si>
    <t xml:space="preserve">SM (34:1)/IS </t>
  </si>
  <si>
    <t xml:space="preserve">SM (34:2) </t>
  </si>
  <si>
    <t xml:space="preserve">SM (35:0) </t>
  </si>
  <si>
    <t xml:space="preserve">SM (35:1) </t>
  </si>
  <si>
    <t xml:space="preserve">SM (35:2) </t>
  </si>
  <si>
    <t xml:space="preserve">SM (35:6) </t>
  </si>
  <si>
    <t xml:space="preserve">SM (42:1) </t>
  </si>
  <si>
    <t xml:space="preserve">SM (42:2) </t>
  </si>
  <si>
    <t xml:space="preserve">SM (42:3) </t>
  </si>
  <si>
    <t xml:space="preserve">SM(32:0) </t>
  </si>
  <si>
    <t xml:space="preserve">SM(32:1) </t>
  </si>
  <si>
    <t xml:space="preserve">SM(33:0) </t>
  </si>
  <si>
    <t xml:space="preserve">SM(33:1) </t>
  </si>
  <si>
    <t xml:space="preserve">SM(36:0) </t>
  </si>
  <si>
    <t xml:space="preserve">SM(36:1) </t>
  </si>
  <si>
    <t xml:space="preserve">SM(36:2) </t>
  </si>
  <si>
    <t xml:space="preserve">SM(36:3) </t>
  </si>
  <si>
    <t xml:space="preserve">SM(44:4) </t>
  </si>
  <si>
    <t xml:space="preserve">CE(14:0) </t>
  </si>
  <si>
    <t xml:space="preserve">CE(14:1) </t>
  </si>
  <si>
    <t xml:space="preserve">CE(16:0) </t>
  </si>
  <si>
    <t xml:space="preserve">CE(16:1) </t>
  </si>
  <si>
    <t xml:space="preserve">CE(16:2) </t>
  </si>
  <si>
    <t xml:space="preserve">CE(17:1) </t>
  </si>
  <si>
    <t xml:space="preserve">CE(17:2) </t>
  </si>
  <si>
    <t xml:space="preserve">CE(18:1) </t>
  </si>
  <si>
    <t xml:space="preserve">CE(18:2) </t>
  </si>
  <si>
    <t xml:space="preserve">CE(18:3) </t>
  </si>
  <si>
    <t xml:space="preserve">CE(20:0) </t>
  </si>
  <si>
    <t xml:space="preserve">CE(20:1) </t>
  </si>
  <si>
    <t xml:space="preserve">CE(20:3) </t>
  </si>
  <si>
    <t xml:space="preserve">CE(20:4) </t>
  </si>
  <si>
    <t xml:space="preserve">CE(20:5) </t>
  </si>
  <si>
    <t xml:space="preserve">CE(21:0) </t>
  </si>
  <si>
    <t xml:space="preserve">CE(22:5) </t>
  </si>
  <si>
    <t xml:space="preserve">CE(22:6) </t>
  </si>
  <si>
    <t xml:space="preserve">Cer(d18:1/22:0) </t>
  </si>
  <si>
    <t xml:space="preserve">Cer(d18:1/24:0) </t>
  </si>
  <si>
    <t xml:space="preserve">Cer(d18:1/24:1) </t>
  </si>
  <si>
    <t xml:space="preserve">Cer(d18:1/28:2) </t>
  </si>
  <si>
    <t xml:space="preserve">Cer(d18:1/28:3) </t>
  </si>
  <si>
    <t xml:space="preserve">Cer(d18_1/16_0) </t>
  </si>
  <si>
    <t xml:space="preserve">Cer(d18_1/17_2) </t>
  </si>
  <si>
    <t xml:space="preserve">Cer(d18_1/18_0) </t>
  </si>
  <si>
    <t xml:space="preserve">Cer(d18_1/19_0) </t>
  </si>
  <si>
    <t xml:space="preserve">Cer(d18_1/19_2) </t>
  </si>
  <si>
    <t xml:space="preserve">Cer(d18_1/20_0) </t>
  </si>
  <si>
    <t xml:space="preserve">Cer(d18_1/22_8) </t>
  </si>
  <si>
    <t xml:space="preserve">Hex Cer(d18:1/14:4) </t>
  </si>
  <si>
    <t xml:space="preserve">Hex Cer(d18:1/22:0) </t>
  </si>
  <si>
    <t xml:space="preserve">Hex Cer(d18:1/23:0) </t>
  </si>
  <si>
    <t xml:space="preserve">Hex Cer(d18:1/23:1) </t>
  </si>
  <si>
    <t xml:space="preserve">Hex Cer(d18:1/23:2) </t>
  </si>
  <si>
    <t xml:space="preserve">Hex Cer(d18:1/24:0) </t>
  </si>
  <si>
    <t xml:space="preserve">Hex Cer(d18:1/24:1) </t>
  </si>
  <si>
    <t xml:space="preserve">Hex Cer(d18:1/26:3) </t>
  </si>
  <si>
    <t xml:space="preserve">Hex Cer(d18:1/26:6)) </t>
  </si>
  <si>
    <t xml:space="preserve">Hex Cer(d18:1/26:7) </t>
  </si>
  <si>
    <t xml:space="preserve">Hex Cer(d18:1/26:8) </t>
  </si>
  <si>
    <t xml:space="preserve">Hex Cer(d18:1/28:2) </t>
  </si>
  <si>
    <t xml:space="preserve">Hex Cer(d18:1/28:3) </t>
  </si>
  <si>
    <t xml:space="preserve">LPE (18:0) </t>
  </si>
  <si>
    <t xml:space="preserve">LPE (18:1) </t>
  </si>
  <si>
    <t xml:space="preserve">LPE (18:2) </t>
  </si>
  <si>
    <t xml:space="preserve">PE (19:4) </t>
  </si>
  <si>
    <t xml:space="preserve">PE (34:0) </t>
  </si>
  <si>
    <t xml:space="preserve">PE (34:1) </t>
  </si>
  <si>
    <t xml:space="preserve">PE (34:2) </t>
  </si>
  <si>
    <t xml:space="preserve">PE (34:3) </t>
  </si>
  <si>
    <t xml:space="preserve">PE (35:0) </t>
  </si>
  <si>
    <t xml:space="preserve">PE (35:1) </t>
  </si>
  <si>
    <t xml:space="preserve">PE (35:2) </t>
  </si>
  <si>
    <t xml:space="preserve">PE (35:3) </t>
  </si>
  <si>
    <t xml:space="preserve">PE (35:4) </t>
  </si>
  <si>
    <t xml:space="preserve">PE (36:1) </t>
  </si>
  <si>
    <t xml:space="preserve">PE (36:2) </t>
  </si>
  <si>
    <t xml:space="preserve">PE (36:3) </t>
  </si>
  <si>
    <t xml:space="preserve">PE (36:4) </t>
  </si>
  <si>
    <t xml:space="preserve">PE (36:5) </t>
  </si>
  <si>
    <t xml:space="preserve">PE (37:1) </t>
  </si>
  <si>
    <t xml:space="preserve">PE (37:2) </t>
  </si>
  <si>
    <t xml:space="preserve">PE (37:3) </t>
  </si>
  <si>
    <t xml:space="preserve">PE (37:4) </t>
  </si>
  <si>
    <t xml:space="preserve">PE (37:5) </t>
  </si>
  <si>
    <t xml:space="preserve">PE (37:6) </t>
  </si>
  <si>
    <t xml:space="preserve">PE(38:0) </t>
  </si>
  <si>
    <t xml:space="preserve">PE (38:1) </t>
  </si>
  <si>
    <t xml:space="preserve">PE (38:2) </t>
  </si>
  <si>
    <t xml:space="preserve">PE (38:3) </t>
  </si>
  <si>
    <t xml:space="preserve">PE (38:4) </t>
  </si>
  <si>
    <t xml:space="preserve">PE (38:5) </t>
  </si>
  <si>
    <t xml:space="preserve">PE (38:6) </t>
  </si>
  <si>
    <t xml:space="preserve">PE (39:5) </t>
  </si>
  <si>
    <t xml:space="preserve">PE (39:6) </t>
  </si>
  <si>
    <t xml:space="preserve">PE (40:4) </t>
  </si>
  <si>
    <t xml:space="preserve">PE (40:5) </t>
  </si>
  <si>
    <t xml:space="preserve">PE (40:6) </t>
  </si>
  <si>
    <t xml:space="preserve">PE (41:3) </t>
  </si>
  <si>
    <t xml:space="preserve">PE (43:3) </t>
  </si>
  <si>
    <t xml:space="preserve">PE 633 </t>
  </si>
  <si>
    <t xml:space="preserve">PE 659 </t>
  </si>
  <si>
    <t xml:space="preserve">PE 661 </t>
  </si>
  <si>
    <t xml:space="preserve">PE 663 </t>
  </si>
  <si>
    <t xml:space="preserve">PE(16:6)?? </t>
  </si>
  <si>
    <t xml:space="preserve">PE(21:5) </t>
  </si>
  <si>
    <t xml:space="preserve">PE(21:6) </t>
  </si>
  <si>
    <t/>
  </si>
  <si>
    <t>LPE (16:0)</t>
  </si>
  <si>
    <t>Norm_Oil_Arm</t>
  </si>
  <si>
    <t>LE_Oil_Leg</t>
  </si>
  <si>
    <t>LE_Oil_Arm</t>
  </si>
  <si>
    <t>Sample</t>
  </si>
  <si>
    <t>SD</t>
  </si>
  <si>
    <t>0.0</t>
  </si>
  <si>
    <t>Phospholipids - ADIPOSE TISSUE - FAT</t>
  </si>
  <si>
    <t>RAW DATA (Area under curve)</t>
  </si>
  <si>
    <t>Norm_Oil_Leg</t>
  </si>
  <si>
    <t>NORMAL AT - OIL (n=6)</t>
  </si>
  <si>
    <t>Phospholipids - ADIPOSE TISSUE - Oil</t>
  </si>
  <si>
    <t>Average</t>
  </si>
  <si>
    <t>Median</t>
  </si>
  <si>
    <t>LYMPHOEDEMA AT - OIL (n=6)</t>
  </si>
  <si>
    <t>(NORMAL  Oil versus LYMPHOEDEMA Oil)</t>
  </si>
  <si>
    <t>T-Test(2-tailed, unparied, no assumptions)</t>
  </si>
  <si>
    <t>NORMAL AT - FAT (n=6)</t>
  </si>
  <si>
    <r>
      <t>2014</t>
    </r>
    <r>
      <rPr>
        <sz val="12"/>
        <color rgb="FF4FAA4C"/>
        <rFont val="Calibri"/>
        <scheme val="minor"/>
      </rPr>
      <t>_003N_Normal_AT</t>
    </r>
    <r>
      <rPr>
        <sz val="12"/>
        <color rgb="FF000000"/>
        <rFont val="Calibri"/>
        <family val="2"/>
        <scheme val="minor"/>
      </rPr>
      <t>_FAT SPUN</t>
    </r>
  </si>
  <si>
    <r>
      <t>2014</t>
    </r>
    <r>
      <rPr>
        <sz val="12"/>
        <color rgb="FF4FAA4C"/>
        <rFont val="Calibri"/>
        <scheme val="minor"/>
      </rPr>
      <t>_006N_Normal_AT</t>
    </r>
    <r>
      <rPr>
        <sz val="12"/>
        <color rgb="FF000000"/>
        <rFont val="Calibri"/>
        <family val="2"/>
        <scheme val="minor"/>
      </rPr>
      <t xml:space="preserve">_FAT  </t>
    </r>
  </si>
  <si>
    <r>
      <t>2014</t>
    </r>
    <r>
      <rPr>
        <sz val="12"/>
        <color rgb="FF4FAA4C"/>
        <rFont val="Calibri"/>
        <scheme val="minor"/>
      </rPr>
      <t>_007N_Normal_AT_</t>
    </r>
    <r>
      <rPr>
        <sz val="12"/>
        <color rgb="FF000000"/>
        <rFont val="Calibri"/>
        <family val="2"/>
        <scheme val="minor"/>
      </rPr>
      <t xml:space="preserve">FAT </t>
    </r>
  </si>
  <si>
    <r>
      <t>2014</t>
    </r>
    <r>
      <rPr>
        <sz val="12"/>
        <color rgb="FF4FAA4C"/>
        <rFont val="Calibri"/>
        <scheme val="minor"/>
      </rPr>
      <t>_005N_Normal_AT</t>
    </r>
    <r>
      <rPr>
        <sz val="12"/>
        <rFont val="Calibri"/>
        <scheme val="minor"/>
      </rPr>
      <t xml:space="preserve">_FAT </t>
    </r>
  </si>
  <si>
    <r>
      <t>2014</t>
    </r>
    <r>
      <rPr>
        <sz val="12"/>
        <color rgb="FF4FAA4C"/>
        <rFont val="Calibri"/>
        <scheme val="minor"/>
      </rPr>
      <t>_002N_Normal_AT</t>
    </r>
    <r>
      <rPr>
        <sz val="12"/>
        <rFont val="Calibri"/>
        <scheme val="minor"/>
      </rPr>
      <t xml:space="preserve">_FAT </t>
    </r>
  </si>
  <si>
    <r>
      <t>2014</t>
    </r>
    <r>
      <rPr>
        <sz val="12"/>
        <color rgb="FF4FAA4C"/>
        <rFont val="Calibri"/>
        <scheme val="minor"/>
      </rPr>
      <t>_001N_Normal_AT</t>
    </r>
    <r>
      <rPr>
        <sz val="12"/>
        <rFont val="Calibri"/>
        <scheme val="minor"/>
      </rPr>
      <t xml:space="preserve">_FAT </t>
    </r>
  </si>
  <si>
    <t>Norm_FAT_Arm</t>
  </si>
  <si>
    <t>Norm_FAT_Leg</t>
  </si>
  <si>
    <t>LE_FAT_Arm</t>
  </si>
  <si>
    <t>LE_FAT_Leg</t>
  </si>
  <si>
    <t>LYMPHOEDEMA AT - FAT (n=5)</t>
  </si>
  <si>
    <t>(NORMAL FAT versus LYMPHOEDEMA FAT)</t>
  </si>
  <si>
    <t>LOG transformed and Median Calculation data</t>
  </si>
  <si>
    <t>Median PC</t>
  </si>
  <si>
    <t>Median PE</t>
  </si>
  <si>
    <t>Median Cer</t>
  </si>
  <si>
    <t>Median CE</t>
  </si>
  <si>
    <t>Graphed Data</t>
  </si>
  <si>
    <t xml:space="preserve">Median-Normalised Log Data </t>
  </si>
  <si>
    <t>Median SM</t>
  </si>
  <si>
    <t>ê</t>
  </si>
  <si>
    <t>é</t>
  </si>
  <si>
    <t>Log data &amp; Median Calculation</t>
  </si>
  <si>
    <t>Median_PC</t>
  </si>
  <si>
    <t>LE/Normal</t>
  </si>
  <si>
    <t xml:space="preserve"> </t>
  </si>
  <si>
    <r>
      <t>2014</t>
    </r>
    <r>
      <rPr>
        <sz val="10"/>
        <color theme="4"/>
        <rFont val="Calibri"/>
        <scheme val="minor"/>
      </rPr>
      <t>_006N_Normal_OIl</t>
    </r>
    <r>
      <rPr>
        <sz val="10"/>
        <color rgb="FF000000"/>
        <rFont val="Calibri"/>
        <scheme val="minor"/>
      </rPr>
      <t>_FAT OIL</t>
    </r>
  </si>
  <si>
    <r>
      <t>2014</t>
    </r>
    <r>
      <rPr>
        <sz val="10"/>
        <color theme="4"/>
        <rFont val="Calibri"/>
        <scheme val="minor"/>
      </rPr>
      <t>_005N_Normal_OIl</t>
    </r>
    <r>
      <rPr>
        <sz val="10"/>
        <color rgb="FF000000"/>
        <rFont val="Calibri"/>
        <scheme val="minor"/>
      </rPr>
      <t>_FAT OIL</t>
    </r>
  </si>
  <si>
    <r>
      <t>20</t>
    </r>
    <r>
      <rPr>
        <sz val="10"/>
        <color theme="1"/>
        <rFont val="Calibri"/>
        <family val="2"/>
        <scheme val="minor"/>
      </rPr>
      <t>13</t>
    </r>
    <r>
      <rPr>
        <sz val="10"/>
        <color rgb="FFAC58DB"/>
        <rFont val="Calibri"/>
        <scheme val="minor"/>
      </rPr>
      <t>_005_LE_Oil</t>
    </r>
    <r>
      <rPr>
        <sz val="10"/>
        <color rgb="FF000000"/>
        <rFont val="Calibri"/>
        <scheme val="minor"/>
      </rPr>
      <t>_FAT_OIL</t>
    </r>
  </si>
  <si>
    <r>
      <t>2013</t>
    </r>
    <r>
      <rPr>
        <sz val="10"/>
        <color rgb="FFAC58DB"/>
        <rFont val="Calibri"/>
        <scheme val="minor"/>
      </rPr>
      <t>_008_LE_Oil</t>
    </r>
    <r>
      <rPr>
        <sz val="10"/>
        <color rgb="FF000000"/>
        <rFont val="Calibri"/>
        <scheme val="minor"/>
      </rPr>
      <t>_FAT_OIL</t>
    </r>
  </si>
  <si>
    <r>
      <t>2014</t>
    </r>
    <r>
      <rPr>
        <sz val="10"/>
        <color rgb="FFAC58DB"/>
        <rFont val="Calibri"/>
        <scheme val="minor"/>
      </rPr>
      <t>_013_LE_Oil</t>
    </r>
    <r>
      <rPr>
        <sz val="10"/>
        <color rgb="FF000000"/>
        <rFont val="Calibri"/>
        <scheme val="minor"/>
      </rPr>
      <t>_LEG_OIL</t>
    </r>
  </si>
  <si>
    <r>
      <t>2014</t>
    </r>
    <r>
      <rPr>
        <sz val="10"/>
        <color rgb="FF5B9BD5"/>
        <rFont val="Calibri"/>
        <scheme val="minor"/>
      </rPr>
      <t>_006N_Normal_OIl</t>
    </r>
    <r>
      <rPr>
        <sz val="10"/>
        <color rgb="FF000000"/>
        <rFont val="Calibri"/>
        <scheme val="minor"/>
      </rPr>
      <t>_FAT OIL</t>
    </r>
  </si>
  <si>
    <r>
      <t>2014</t>
    </r>
    <r>
      <rPr>
        <sz val="10"/>
        <color rgb="FF5B9BD5"/>
        <rFont val="Calibri"/>
        <scheme val="minor"/>
      </rPr>
      <t>_005N_Normal_OI</t>
    </r>
    <r>
      <rPr>
        <sz val="10"/>
        <color rgb="FF4FAA4C"/>
        <rFont val="Calibri"/>
        <scheme val="minor"/>
      </rPr>
      <t>l</t>
    </r>
    <r>
      <rPr>
        <sz val="10"/>
        <color rgb="FF000000"/>
        <rFont val="Calibri"/>
        <scheme val="minor"/>
      </rPr>
      <t>_FAT OIL</t>
    </r>
  </si>
  <si>
    <r>
      <t>2014</t>
    </r>
    <r>
      <rPr>
        <sz val="11"/>
        <color rgb="FF5B9BD5"/>
        <rFont val="Calibri"/>
        <scheme val="minor"/>
      </rPr>
      <t>_005N_Normal_OIl</t>
    </r>
    <r>
      <rPr>
        <sz val="11"/>
        <color rgb="FF000000"/>
        <rFont val="Calibri"/>
        <family val="2"/>
        <scheme val="minor"/>
      </rPr>
      <t>_FAT OIL</t>
    </r>
  </si>
  <si>
    <r>
      <t>2014</t>
    </r>
    <r>
      <rPr>
        <sz val="11"/>
        <color rgb="FF5B9BD5"/>
        <rFont val="Calibri"/>
        <scheme val="minor"/>
      </rPr>
      <t>_006N_Normal_OIl</t>
    </r>
    <r>
      <rPr>
        <sz val="11"/>
        <color rgb="FF000000"/>
        <rFont val="Calibri"/>
        <family val="2"/>
        <scheme val="minor"/>
      </rPr>
      <t>_FAT OIL</t>
    </r>
  </si>
  <si>
    <r>
      <t>20</t>
    </r>
    <r>
      <rPr>
        <sz val="11"/>
        <color theme="1"/>
        <rFont val="Calibri"/>
        <family val="2"/>
        <scheme val="minor"/>
      </rPr>
      <t>13</t>
    </r>
    <r>
      <rPr>
        <sz val="11"/>
        <color rgb="FFAC58DB"/>
        <rFont val="Calibri"/>
        <scheme val="minor"/>
      </rPr>
      <t>_005_LE_Oil</t>
    </r>
    <r>
      <rPr>
        <sz val="11"/>
        <color rgb="FF000000"/>
        <rFont val="Calibri"/>
        <family val="2"/>
        <scheme val="minor"/>
      </rPr>
      <t>_FAT_OIL</t>
    </r>
  </si>
  <si>
    <r>
      <t>2013</t>
    </r>
    <r>
      <rPr>
        <sz val="11"/>
        <color rgb="FFAC58DB"/>
        <rFont val="Calibri"/>
        <scheme val="minor"/>
      </rPr>
      <t>_008_LE_Oil</t>
    </r>
    <r>
      <rPr>
        <sz val="11"/>
        <color rgb="FF000000"/>
        <rFont val="Calibri"/>
        <family val="2"/>
        <scheme val="minor"/>
      </rPr>
      <t>_FAT_OIL</t>
    </r>
  </si>
  <si>
    <r>
      <t>2014</t>
    </r>
    <r>
      <rPr>
        <sz val="11"/>
        <color rgb="FFAC58DB"/>
        <rFont val="Calibri"/>
        <scheme val="minor"/>
      </rPr>
      <t>_013_LE_Oil</t>
    </r>
    <r>
      <rPr>
        <sz val="11"/>
        <color rgb="FF000000"/>
        <rFont val="Calibri"/>
        <family val="2"/>
        <scheme val="minor"/>
      </rPr>
      <t>_LEG_OIL</t>
    </r>
  </si>
  <si>
    <t>Median-Normalised Logged Data</t>
  </si>
  <si>
    <t>Cer</t>
  </si>
  <si>
    <r>
      <t>2014</t>
    </r>
    <r>
      <rPr>
        <sz val="12"/>
        <color rgb="FF4FAA4C"/>
        <rFont val="Calibri"/>
        <scheme val="minor"/>
      </rPr>
      <t>_003N_Normal_AT</t>
    </r>
    <r>
      <rPr>
        <sz val="12"/>
        <color rgb="FF000000"/>
        <rFont val="Calibri"/>
        <family val="2"/>
        <scheme val="minor"/>
      </rPr>
      <t>_FAT</t>
    </r>
  </si>
  <si>
    <r>
      <t>2013</t>
    </r>
    <r>
      <rPr>
        <sz val="12"/>
        <color rgb="FFAC58DB"/>
        <rFont val="Calibri"/>
        <scheme val="minor"/>
      </rPr>
      <t>_004_LE_AT</t>
    </r>
    <r>
      <rPr>
        <sz val="12"/>
        <color rgb="FF000000"/>
        <rFont val="Calibri"/>
        <family val="2"/>
        <scheme val="minor"/>
      </rPr>
      <t>_FAT</t>
    </r>
  </si>
  <si>
    <r>
      <t>2013</t>
    </r>
    <r>
      <rPr>
        <sz val="12"/>
        <color rgb="FFAC58DB"/>
        <rFont val="Calibri"/>
        <scheme val="minor"/>
      </rPr>
      <t>_008_LE_AT</t>
    </r>
    <r>
      <rPr>
        <sz val="12"/>
        <color rgb="FF000000"/>
        <rFont val="Calibri"/>
        <family val="2"/>
        <scheme val="minor"/>
      </rPr>
      <t>_FAT</t>
    </r>
  </si>
  <si>
    <r>
      <t>2013</t>
    </r>
    <r>
      <rPr>
        <sz val="12"/>
        <color rgb="FFAC58DB"/>
        <rFont val="Calibri"/>
        <scheme val="minor"/>
      </rPr>
      <t>_009_LE_AT</t>
    </r>
    <r>
      <rPr>
        <sz val="12"/>
        <color rgb="FF000000"/>
        <rFont val="Calibri"/>
        <family val="2"/>
        <scheme val="minor"/>
      </rPr>
      <t>_FAT</t>
    </r>
  </si>
  <si>
    <r>
      <t>2014</t>
    </r>
    <r>
      <rPr>
        <sz val="12"/>
        <color rgb="FFAC58DB"/>
        <rFont val="Calibri"/>
        <scheme val="minor"/>
      </rPr>
      <t>_013_LE_AT</t>
    </r>
    <r>
      <rPr>
        <sz val="12"/>
        <color rgb="FF000000"/>
        <rFont val="Calibri"/>
        <family val="2"/>
        <scheme val="minor"/>
      </rPr>
      <t>_FAT</t>
    </r>
  </si>
  <si>
    <r>
      <t>2014</t>
    </r>
    <r>
      <rPr>
        <sz val="12"/>
        <color rgb="FFAC58DB"/>
        <rFont val="Calibri"/>
        <scheme val="minor"/>
      </rPr>
      <t>_011_LE_AT</t>
    </r>
    <r>
      <rPr>
        <sz val="12"/>
        <color rgb="FF000000"/>
        <rFont val="Calibri"/>
        <family val="2"/>
        <scheme val="minor"/>
      </rPr>
      <t>_FAT</t>
    </r>
  </si>
  <si>
    <r>
      <t>2013</t>
    </r>
    <r>
      <rPr>
        <sz val="10"/>
        <color rgb="FFAC58DB"/>
        <rFont val="Calibri"/>
        <scheme val="minor"/>
      </rPr>
      <t>_009_LE_Oil</t>
    </r>
    <r>
      <rPr>
        <sz val="10"/>
        <color rgb="FF000000"/>
        <rFont val="Calibri"/>
        <scheme val="minor"/>
      </rPr>
      <t>_FAT_OIL</t>
    </r>
  </si>
  <si>
    <r>
      <t>2013</t>
    </r>
    <r>
      <rPr>
        <sz val="10"/>
        <color rgb="FFAC58DB"/>
        <rFont val="Calibri"/>
        <scheme val="minor"/>
      </rPr>
      <t>_004_LE_Oil</t>
    </r>
    <r>
      <rPr>
        <sz val="10"/>
        <color rgb="FF000000"/>
        <rFont val="Calibri"/>
        <scheme val="minor"/>
      </rPr>
      <t>_FAT_OIL</t>
    </r>
  </si>
  <si>
    <r>
      <t>2013</t>
    </r>
    <r>
      <rPr>
        <sz val="10"/>
        <color rgb="FFAC58DB"/>
        <rFont val="Calibri"/>
        <scheme val="minor"/>
      </rPr>
      <t>_003_LE_Oil</t>
    </r>
    <r>
      <rPr>
        <sz val="10"/>
        <color rgb="FF000000"/>
        <rFont val="Calibri"/>
        <scheme val="minor"/>
      </rPr>
      <t>_FAT_OIL</t>
    </r>
  </si>
  <si>
    <r>
      <t>2014</t>
    </r>
    <r>
      <rPr>
        <sz val="10"/>
        <color theme="4"/>
        <rFont val="Calibri"/>
        <scheme val="minor"/>
      </rPr>
      <t>_002N_Normal_OI</t>
    </r>
    <r>
      <rPr>
        <sz val="10"/>
        <color rgb="FF4FAA4C"/>
        <rFont val="Calibri"/>
        <scheme val="minor"/>
      </rPr>
      <t>l</t>
    </r>
    <r>
      <rPr>
        <sz val="10"/>
        <color rgb="FF000000"/>
        <rFont val="Calibri"/>
        <scheme val="minor"/>
      </rPr>
      <t xml:space="preserve">_FAT OIL </t>
    </r>
  </si>
  <si>
    <r>
      <t>2014</t>
    </r>
    <r>
      <rPr>
        <sz val="10"/>
        <color theme="4"/>
        <rFont val="Calibri"/>
        <scheme val="minor"/>
      </rPr>
      <t>_001N_Normal_OIl</t>
    </r>
    <r>
      <rPr>
        <sz val="10"/>
        <color rgb="FF000000"/>
        <rFont val="Calibri"/>
        <scheme val="minor"/>
      </rPr>
      <t>_FAT OIL</t>
    </r>
  </si>
  <si>
    <r>
      <t>2014</t>
    </r>
    <r>
      <rPr>
        <sz val="10"/>
        <color theme="4"/>
        <rFont val="Calibri"/>
        <scheme val="minor"/>
      </rPr>
      <t>_007N_Normal_OI</t>
    </r>
    <r>
      <rPr>
        <sz val="10"/>
        <color rgb="FF4FAA4C"/>
        <rFont val="Calibri"/>
        <scheme val="minor"/>
      </rPr>
      <t>l</t>
    </r>
    <r>
      <rPr>
        <sz val="10"/>
        <color rgb="FF000000"/>
        <rFont val="Calibri"/>
        <scheme val="minor"/>
      </rPr>
      <t>_FAT OIL</t>
    </r>
  </si>
  <si>
    <r>
      <t>201</t>
    </r>
    <r>
      <rPr>
        <sz val="10"/>
        <color theme="4"/>
        <rFont val="Calibri"/>
        <scheme val="minor"/>
      </rPr>
      <t>4_003N_Normal_OIL</t>
    </r>
    <r>
      <rPr>
        <sz val="10"/>
        <color rgb="FF000000"/>
        <rFont val="Calibri"/>
        <scheme val="minor"/>
      </rPr>
      <t>_FAT OIL</t>
    </r>
  </si>
  <si>
    <r>
      <t>2013</t>
    </r>
    <r>
      <rPr>
        <sz val="11"/>
        <color rgb="FFAC58DB"/>
        <rFont val="Calibri"/>
        <scheme val="minor"/>
      </rPr>
      <t>_003_LE_Oil</t>
    </r>
    <r>
      <rPr>
        <sz val="11"/>
        <color rgb="FF000000"/>
        <rFont val="Calibri"/>
        <family val="2"/>
        <scheme val="minor"/>
      </rPr>
      <t xml:space="preserve">_FAT_OIL </t>
    </r>
  </si>
  <si>
    <r>
      <t>2013</t>
    </r>
    <r>
      <rPr>
        <sz val="11"/>
        <color rgb="FFAC58DB"/>
        <rFont val="Calibri"/>
        <scheme val="minor"/>
      </rPr>
      <t>_004_LE_Oil</t>
    </r>
    <r>
      <rPr>
        <sz val="11"/>
        <color rgb="FF000000"/>
        <rFont val="Calibri"/>
        <family val="2"/>
        <scheme val="minor"/>
      </rPr>
      <t xml:space="preserve">_FAT_OIL </t>
    </r>
  </si>
  <si>
    <r>
      <t>2013</t>
    </r>
    <r>
      <rPr>
        <sz val="11"/>
        <color rgb="FFAC58DB"/>
        <rFont val="Calibri"/>
        <scheme val="minor"/>
      </rPr>
      <t>_009_LE_Oil</t>
    </r>
    <r>
      <rPr>
        <sz val="11"/>
        <color rgb="FF000000"/>
        <rFont val="Calibri"/>
        <family val="2"/>
        <scheme val="minor"/>
      </rPr>
      <t xml:space="preserve">_FAT_OIL </t>
    </r>
  </si>
  <si>
    <r>
      <t>2014</t>
    </r>
    <r>
      <rPr>
        <sz val="10"/>
        <color rgb="FF5B9BD5"/>
        <rFont val="Calibri"/>
        <scheme val="minor"/>
      </rPr>
      <t>_003N_Normal_OIL</t>
    </r>
    <r>
      <rPr>
        <sz val="10"/>
        <color rgb="FF000000"/>
        <rFont val="Calibri"/>
        <scheme val="minor"/>
      </rPr>
      <t>_FAT OIL</t>
    </r>
  </si>
  <si>
    <r>
      <t>2014</t>
    </r>
    <r>
      <rPr>
        <sz val="10"/>
        <color rgb="FF5B9BD5"/>
        <rFont val="Calibri"/>
        <scheme val="minor"/>
      </rPr>
      <t>_007N_Normal_OIl</t>
    </r>
    <r>
      <rPr>
        <sz val="10"/>
        <color rgb="FF000000"/>
        <rFont val="Calibri"/>
        <scheme val="minor"/>
      </rPr>
      <t>_FAT OIL</t>
    </r>
  </si>
  <si>
    <r>
      <t>2014</t>
    </r>
    <r>
      <rPr>
        <sz val="10"/>
        <color rgb="FF5B9BD5"/>
        <rFont val="Calibri"/>
        <scheme val="minor"/>
      </rPr>
      <t>_001N_Normal_OIl</t>
    </r>
    <r>
      <rPr>
        <sz val="10"/>
        <color rgb="FF000000"/>
        <rFont val="Calibri"/>
        <scheme val="minor"/>
      </rPr>
      <t xml:space="preserve">_FAT OIL </t>
    </r>
  </si>
  <si>
    <r>
      <t>2014</t>
    </r>
    <r>
      <rPr>
        <sz val="10"/>
        <color rgb="FF5B9BD5"/>
        <rFont val="Calibri"/>
        <scheme val="minor"/>
      </rPr>
      <t>_002N_Normal_OIl</t>
    </r>
    <r>
      <rPr>
        <sz val="10"/>
        <color rgb="FF000000"/>
        <rFont val="Calibri"/>
        <scheme val="minor"/>
      </rPr>
      <t xml:space="preserve">_FAT OIL </t>
    </r>
  </si>
  <si>
    <r>
      <t>2013</t>
    </r>
    <r>
      <rPr>
        <sz val="10"/>
        <color rgb="FFAC58DB"/>
        <rFont val="Calibri"/>
        <scheme val="minor"/>
      </rPr>
      <t>_003_LE_Oil</t>
    </r>
    <r>
      <rPr>
        <sz val="10"/>
        <color rgb="FF000000"/>
        <rFont val="Calibri"/>
        <scheme val="minor"/>
      </rPr>
      <t xml:space="preserve">_FAT_OIL </t>
    </r>
  </si>
  <si>
    <r>
      <t>2013</t>
    </r>
    <r>
      <rPr>
        <sz val="10"/>
        <color rgb="FFAC58DB"/>
        <rFont val="Calibri"/>
        <scheme val="minor"/>
      </rPr>
      <t>_004_LE_Oil</t>
    </r>
    <r>
      <rPr>
        <sz val="10"/>
        <color rgb="FF000000"/>
        <rFont val="Calibri"/>
        <scheme val="minor"/>
      </rPr>
      <t xml:space="preserve">_FAT_OIL </t>
    </r>
  </si>
  <si>
    <r>
      <t>2013</t>
    </r>
    <r>
      <rPr>
        <sz val="10"/>
        <color rgb="FFAC58DB"/>
        <rFont val="Calibri"/>
        <scheme val="minor"/>
      </rPr>
      <t>_009_LE_Oil</t>
    </r>
    <r>
      <rPr>
        <sz val="10"/>
        <color rgb="FF000000"/>
        <rFont val="Calibri"/>
        <scheme val="minor"/>
      </rPr>
      <t xml:space="preserve">_FAT_OIL </t>
    </r>
  </si>
  <si>
    <r>
      <t>2014</t>
    </r>
    <r>
      <rPr>
        <sz val="11"/>
        <color rgb="FF5B9BD5"/>
        <rFont val="Calibri"/>
        <scheme val="minor"/>
      </rPr>
      <t>_003N_Normal_OIL</t>
    </r>
    <r>
      <rPr>
        <sz val="11"/>
        <color rgb="FF000000"/>
        <rFont val="Calibri"/>
        <family val="2"/>
        <scheme val="minor"/>
      </rPr>
      <t>_FAT OIL</t>
    </r>
  </si>
  <si>
    <r>
      <t>2014</t>
    </r>
    <r>
      <rPr>
        <sz val="11"/>
        <color rgb="FF5B9BD5"/>
        <rFont val="Calibri"/>
        <scheme val="minor"/>
      </rPr>
      <t>_007N_Normal_OIl</t>
    </r>
    <r>
      <rPr>
        <sz val="11"/>
        <color rgb="FF000000"/>
        <rFont val="Calibri"/>
        <family val="2"/>
        <scheme val="minor"/>
      </rPr>
      <t>_FAT OIL</t>
    </r>
  </si>
  <si>
    <r>
      <t>2014</t>
    </r>
    <r>
      <rPr>
        <sz val="11"/>
        <color rgb="FF5B9BD5"/>
        <rFont val="Calibri"/>
        <scheme val="minor"/>
      </rPr>
      <t>_001N_Normal_OIl</t>
    </r>
    <r>
      <rPr>
        <sz val="11"/>
        <color rgb="FF000000"/>
        <rFont val="Calibri"/>
        <family val="2"/>
        <scheme val="minor"/>
      </rPr>
      <t xml:space="preserve">_FAT OIL </t>
    </r>
  </si>
  <si>
    <r>
      <t>2014</t>
    </r>
    <r>
      <rPr>
        <sz val="11"/>
        <color rgb="FF5B9BD5"/>
        <rFont val="Calibri"/>
        <scheme val="minor"/>
      </rPr>
      <t>_002N_Normal_OIl</t>
    </r>
    <r>
      <rPr>
        <sz val="11"/>
        <color rgb="FF000000"/>
        <rFont val="Calibri"/>
        <family val="2"/>
        <scheme val="minor"/>
      </rPr>
      <t xml:space="preserve">_FAT OIL </t>
    </r>
  </si>
  <si>
    <r>
      <t>2014</t>
    </r>
    <r>
      <rPr>
        <sz val="12"/>
        <color rgb="FFAC58DB"/>
        <rFont val="Calibri"/>
        <scheme val="minor"/>
      </rPr>
      <t>_011_LE_AT</t>
    </r>
    <r>
      <rPr>
        <sz val="12"/>
        <color rgb="FF000000"/>
        <rFont val="Calibri"/>
        <family val="2"/>
        <scheme val="minor"/>
      </rPr>
      <t xml:space="preserve">_FAT </t>
    </r>
  </si>
  <si>
    <r>
      <t>2013</t>
    </r>
    <r>
      <rPr>
        <sz val="12"/>
        <color rgb="FFAC58DB"/>
        <rFont val="Calibri"/>
        <scheme val="minor"/>
      </rPr>
      <t>_004_LE_AT</t>
    </r>
    <r>
      <rPr>
        <sz val="12"/>
        <color rgb="FF000000"/>
        <rFont val="Calibri"/>
        <family val="2"/>
        <scheme val="minor"/>
      </rPr>
      <t xml:space="preserve">_FAT </t>
    </r>
  </si>
  <si>
    <r>
      <t>2013</t>
    </r>
    <r>
      <rPr>
        <sz val="12"/>
        <color rgb="FFAC58DB"/>
        <rFont val="Calibri"/>
        <scheme val="minor"/>
      </rPr>
      <t>_009_LE_AT</t>
    </r>
    <r>
      <rPr>
        <sz val="12"/>
        <color rgb="FF000000"/>
        <rFont val="Calibri"/>
        <family val="2"/>
        <scheme val="minor"/>
      </rPr>
      <t xml:space="preserve">_FAT </t>
    </r>
  </si>
  <si>
    <r>
      <t>2014</t>
    </r>
    <r>
      <rPr>
        <sz val="12"/>
        <color rgb="FFAC58DB"/>
        <rFont val="Calibri"/>
        <scheme val="minor"/>
      </rPr>
      <t>_013_LE_AT</t>
    </r>
    <r>
      <rPr>
        <sz val="12"/>
        <color rgb="FF000000"/>
        <rFont val="Calibri"/>
        <family val="2"/>
        <scheme val="minor"/>
      </rPr>
      <t xml:space="preserve">_FAT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</si>
</sst>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0;[Red]0.0000"/>
    <numFmt numFmtId="167" formatCode="0.00;[Red]0.00"/>
  </numFmts>
  <fonts count="4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FF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scheme val="minor"/>
    </font>
    <font>
      <b/>
      <sz val="12"/>
      <color theme="1"/>
      <name val="Calibri"/>
      <family val="2"/>
      <scheme val="minor"/>
    </font>
    <font>
      <b/>
      <sz val="20"/>
      <color rgb="FF000000"/>
      <name val="Calibri"/>
      <scheme val="minor"/>
    </font>
    <font>
      <sz val="12"/>
      <color rgb="FF000000"/>
      <name val="Calibri"/>
      <family val="2"/>
      <scheme val="minor"/>
    </font>
    <font>
      <b/>
      <sz val="16"/>
      <color theme="0"/>
      <name val="Calibri"/>
      <scheme val="minor"/>
    </font>
    <font>
      <b/>
      <sz val="12"/>
      <color rgb="FF000000"/>
      <name val="Calibri"/>
      <family val="2"/>
      <scheme val="minor"/>
    </font>
    <font>
      <sz val="12"/>
      <color rgb="FF4FAA4C"/>
      <name val="Calibri"/>
      <scheme val="minor"/>
    </font>
    <font>
      <b/>
      <sz val="10"/>
      <color theme="1"/>
      <name val="Calibri"/>
      <scheme val="minor"/>
    </font>
    <font>
      <b/>
      <sz val="12"/>
      <name val="Calibri"/>
      <scheme val="minor"/>
    </font>
    <font>
      <sz val="12"/>
      <name val="Calibri"/>
      <scheme val="minor"/>
    </font>
    <font>
      <sz val="11"/>
      <color rgb="FFFF0000"/>
      <name val="Calibri"/>
      <scheme val="minor"/>
    </font>
    <font>
      <b/>
      <sz val="16"/>
      <color theme="0"/>
      <name val="Arial"/>
    </font>
    <font>
      <sz val="11"/>
      <color rgb="FF4FAA4C"/>
      <name val="Calibri"/>
      <scheme val="minor"/>
    </font>
    <font>
      <b/>
      <sz val="16"/>
      <color theme="1"/>
      <name val="Calibri"/>
      <scheme val="minor"/>
    </font>
    <font>
      <sz val="12"/>
      <color rgb="FF3366FF"/>
      <name val="Calibri"/>
      <scheme val="minor"/>
    </font>
    <font>
      <b/>
      <sz val="11"/>
      <color theme="1"/>
      <name val="Calibri"/>
      <scheme val="minor"/>
    </font>
    <font>
      <b/>
      <sz val="10"/>
      <color rgb="FF3366FF"/>
      <name val="Calibri"/>
      <scheme val="minor"/>
    </font>
    <font>
      <b/>
      <sz val="11"/>
      <color rgb="FFFF0000"/>
      <name val="Calibri"/>
      <scheme val="minor"/>
    </font>
    <font>
      <b/>
      <sz val="18"/>
      <color rgb="FFFF0000"/>
      <name val="Calibri"/>
      <scheme val="minor"/>
    </font>
    <font>
      <sz val="11"/>
      <color rgb="FF3366FF"/>
      <name val="Calibri"/>
      <scheme val="minor"/>
    </font>
    <font>
      <b/>
      <sz val="11"/>
      <name val="Calibri"/>
      <scheme val="minor"/>
    </font>
    <font>
      <sz val="12"/>
      <color rgb="FFFF0000"/>
      <name val="Wingdings"/>
      <family val="2"/>
    </font>
    <font>
      <sz val="10"/>
      <color rgb="FF000000"/>
      <name val="Calibri"/>
      <scheme val="minor"/>
    </font>
    <font>
      <sz val="10"/>
      <color rgb="FF4FAA4C"/>
      <name val="Calibri"/>
      <scheme val="minor"/>
    </font>
    <font>
      <sz val="10"/>
      <color theme="1"/>
      <name val="Wingdings"/>
    </font>
    <font>
      <b/>
      <sz val="11"/>
      <color rgb="FF000000"/>
      <name val="Calibri"/>
      <scheme val="minor"/>
    </font>
    <font>
      <sz val="10"/>
      <color theme="4"/>
      <name val="Calibri"/>
      <scheme val="minor"/>
    </font>
    <font>
      <sz val="11"/>
      <color theme="4"/>
      <name val="Calibri"/>
      <scheme val="minor"/>
    </font>
    <font>
      <sz val="10"/>
      <color rgb="FFAC58DB"/>
      <name val="Calibri"/>
      <scheme val="minor"/>
    </font>
    <font>
      <sz val="11"/>
      <color rgb="FFAC58DB"/>
      <name val="Calibri"/>
      <scheme val="minor"/>
    </font>
    <font>
      <b/>
      <sz val="11"/>
      <color theme="0"/>
      <name val="Calibri"/>
      <scheme val="minor"/>
    </font>
    <font>
      <sz val="11"/>
      <color indexed="64"/>
      <name val="Calibri"/>
      <scheme val="minor"/>
    </font>
    <font>
      <sz val="11"/>
      <color rgb="FF5B9BD5"/>
      <name val="Calibri"/>
      <scheme val="minor"/>
    </font>
    <font>
      <b/>
      <sz val="11"/>
      <color rgb="FF5B9BD5"/>
      <name val="Calibri"/>
      <scheme val="minor"/>
    </font>
    <font>
      <sz val="10"/>
      <color rgb="FF5B9BD5"/>
      <name val="Calibri"/>
      <scheme val="minor"/>
    </font>
    <font>
      <sz val="12"/>
      <color rgb="FFAC58DB"/>
      <name val="Calibri"/>
      <scheme val="minor"/>
    </font>
    <font>
      <sz val="12"/>
      <color rgb="FFAC58DB"/>
      <name val="Microsoft Sans Serif"/>
      <family val="2"/>
    </font>
    <font>
      <sz val="11"/>
      <color rgb="FF4FAA4C"/>
      <name val="Microsoft Sans Serif"/>
      <family val="2"/>
    </font>
    <font>
      <b/>
      <sz val="10"/>
      <color theme="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BBB59"/>
        <bgColor rgb="FF000000"/>
      </patternFill>
    </fill>
    <fill>
      <patternFill patternType="solid">
        <fgColor rgb="FFCF95FF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9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671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03">
    <xf numFmtId="0" fontId="0" fillId="0" borderId="0" xfId="0"/>
    <xf numFmtId="0" fontId="0" fillId="0" borderId="0" xfId="0" applyFill="1"/>
    <xf numFmtId="0" fontId="4" fillId="0" borderId="0" xfId="0" applyFont="1" applyFill="1"/>
    <xf numFmtId="49" fontId="9" fillId="4" borderId="6" xfId="0" applyNumberFormat="1" applyFont="1" applyFill="1" applyBorder="1" applyAlignment="1">
      <alignment horizontal="center" textRotation="90"/>
    </xf>
    <xf numFmtId="49" fontId="9" fillId="4" borderId="1" xfId="0" applyNumberFormat="1" applyFont="1" applyFill="1" applyBorder="1" applyAlignment="1">
      <alignment horizontal="center" textRotation="90"/>
    </xf>
    <xf numFmtId="49" fontId="10" fillId="4" borderId="1" xfId="0" applyNumberFormat="1" applyFont="1" applyFill="1" applyBorder="1" applyAlignment="1">
      <alignment horizontal="center" textRotation="90"/>
    </xf>
    <xf numFmtId="0" fontId="12" fillId="0" borderId="0" xfId="0" applyFont="1" applyAlignment="1">
      <alignment horizontal="left" vertical="top"/>
    </xf>
    <xf numFmtId="0" fontId="14" fillId="5" borderId="0" xfId="0" applyFont="1" applyFill="1"/>
    <xf numFmtId="0" fontId="0" fillId="5" borderId="0" xfId="0" applyFill="1"/>
    <xf numFmtId="0" fontId="13" fillId="0" borderId="5" xfId="0" applyFont="1" applyBorder="1"/>
    <xf numFmtId="49" fontId="9" fillId="0" borderId="6" xfId="0" applyNumberFormat="1" applyFont="1" applyFill="1" applyBorder="1" applyAlignment="1">
      <alignment horizontal="center" textRotation="90"/>
    </xf>
    <xf numFmtId="49" fontId="9" fillId="0" borderId="1" xfId="0" applyNumberFormat="1" applyFont="1" applyFill="1" applyBorder="1" applyAlignment="1">
      <alignment horizontal="center" textRotation="90"/>
    </xf>
    <xf numFmtId="49" fontId="10" fillId="0" borderId="1" xfId="0" applyNumberFormat="1" applyFont="1" applyFill="1" applyBorder="1" applyAlignment="1">
      <alignment horizontal="center" textRotation="90"/>
    </xf>
    <xf numFmtId="49" fontId="17" fillId="0" borderId="6" xfId="0" applyNumberFormat="1" applyFont="1" applyFill="1" applyBorder="1" applyAlignment="1">
      <alignment horizontal="center" textRotation="90"/>
    </xf>
    <xf numFmtId="49" fontId="17" fillId="0" borderId="1" xfId="0" applyNumberFormat="1" applyFont="1" applyFill="1" applyBorder="1" applyAlignment="1">
      <alignment horizontal="center" textRotation="90"/>
    </xf>
    <xf numFmtId="0" fontId="0" fillId="0" borderId="0" xfId="0" applyFont="1" applyFill="1"/>
    <xf numFmtId="167" fontId="0" fillId="0" borderId="0" xfId="0" applyNumberFormat="1"/>
    <xf numFmtId="0" fontId="18" fillId="7" borderId="1" xfId="0" applyFont="1" applyFill="1" applyBorder="1"/>
    <xf numFmtId="0" fontId="3" fillId="0" borderId="0" xfId="0" applyFont="1" applyFill="1" applyAlignment="1">
      <alignment textRotation="90"/>
    </xf>
    <xf numFmtId="0" fontId="2" fillId="0" borderId="0" xfId="0" applyFont="1" applyFill="1" applyAlignment="1">
      <alignment textRotation="90"/>
    </xf>
    <xf numFmtId="0" fontId="11" fillId="0" borderId="0" xfId="0" applyFont="1" applyFill="1" applyBorder="1"/>
    <xf numFmtId="0" fontId="0" fillId="0" borderId="0" xfId="0" applyBorder="1"/>
    <xf numFmtId="0" fontId="13" fillId="0" borderId="0" xfId="0" applyFont="1" applyBorder="1"/>
    <xf numFmtId="0" fontId="13" fillId="0" borderId="1" xfId="0" applyFont="1" applyBorder="1"/>
    <xf numFmtId="0" fontId="16" fillId="0" borderId="5" xfId="0" applyFont="1" applyBorder="1"/>
    <xf numFmtId="0" fontId="19" fillId="0" borderId="1" xfId="0" applyFont="1" applyBorder="1" applyAlignment="1">
      <alignment horizontal="right"/>
    </xf>
    <xf numFmtId="166" fontId="0" fillId="0" borderId="0" xfId="0" applyNumberFormat="1"/>
    <xf numFmtId="166" fontId="0" fillId="0" borderId="1" xfId="0" applyNumberFormat="1" applyBorder="1"/>
    <xf numFmtId="166" fontId="20" fillId="0" borderId="1" xfId="0" applyNumberFormat="1" applyFont="1" applyBorder="1"/>
    <xf numFmtId="0" fontId="0" fillId="0" borderId="0" xfId="0" applyFont="1"/>
    <xf numFmtId="0" fontId="21" fillId="5" borderId="0" xfId="0" applyFont="1" applyFill="1"/>
    <xf numFmtId="0" fontId="0" fillId="5" borderId="0" xfId="0" applyFont="1" applyFill="1"/>
    <xf numFmtId="0" fontId="1" fillId="0" borderId="0" xfId="0" applyFont="1"/>
    <xf numFmtId="167" fontId="1" fillId="0" borderId="0" xfId="0" applyNumberFormat="1" applyFont="1"/>
    <xf numFmtId="49" fontId="11" fillId="0" borderId="0" xfId="0" applyNumberFormat="1" applyFont="1" applyFill="1" applyBorder="1" applyAlignment="1">
      <alignment horizontal="center" textRotation="90"/>
    </xf>
    <xf numFmtId="0" fontId="1" fillId="0" borderId="0" xfId="0" applyFont="1" applyFill="1" applyBorder="1"/>
    <xf numFmtId="0" fontId="1" fillId="0" borderId="0" xfId="0" applyFont="1" applyFill="1"/>
    <xf numFmtId="166" fontId="1" fillId="0" borderId="0" xfId="0" applyNumberFormat="1" applyFont="1"/>
    <xf numFmtId="0" fontId="24" fillId="0" borderId="5" xfId="0" applyFont="1" applyBorder="1"/>
    <xf numFmtId="0" fontId="4" fillId="0" borderId="0" xfId="0" applyFont="1" applyFill="1" applyAlignment="1">
      <alignment textRotation="90"/>
    </xf>
    <xf numFmtId="0" fontId="0" fillId="0" borderId="0" xfId="0" applyFont="1" applyFill="1" applyAlignment="1">
      <alignment textRotation="90"/>
    </xf>
    <xf numFmtId="0" fontId="24" fillId="0" borderId="1" xfId="0" applyFont="1" applyBorder="1"/>
    <xf numFmtId="0" fontId="15" fillId="6" borderId="1" xfId="0" applyFont="1" applyFill="1" applyBorder="1"/>
    <xf numFmtId="166" fontId="0" fillId="2" borderId="3" xfId="0" applyNumberFormat="1" applyFill="1" applyBorder="1"/>
    <xf numFmtId="166" fontId="0" fillId="2" borderId="5" xfId="0" applyNumberFormat="1" applyFill="1" applyBorder="1"/>
    <xf numFmtId="167" fontId="1" fillId="2" borderId="3" xfId="0" applyNumberFormat="1" applyFont="1" applyFill="1" applyBorder="1"/>
    <xf numFmtId="167" fontId="1" fillId="2" borderId="5" xfId="0" applyNumberFormat="1" applyFont="1" applyFill="1" applyBorder="1"/>
    <xf numFmtId="0" fontId="25" fillId="0" borderId="0" xfId="0" applyFont="1" applyFill="1"/>
    <xf numFmtId="0" fontId="25" fillId="0" borderId="0" xfId="0" applyFont="1"/>
    <xf numFmtId="0" fontId="0" fillId="2" borderId="1" xfId="0" applyFill="1" applyBorder="1"/>
    <xf numFmtId="166" fontId="0" fillId="0" borderId="1" xfId="0" applyNumberFormat="1" applyFill="1" applyBorder="1"/>
    <xf numFmtId="49" fontId="26" fillId="0" borderId="1" xfId="0" applyNumberFormat="1" applyFont="1" applyFill="1" applyBorder="1" applyAlignment="1">
      <alignment horizontal="center" textRotation="90"/>
    </xf>
    <xf numFmtId="0" fontId="28" fillId="0" borderId="0" xfId="0" applyFont="1"/>
    <xf numFmtId="0" fontId="0" fillId="0" borderId="8" xfId="0" applyBorder="1"/>
    <xf numFmtId="0" fontId="29" fillId="0" borderId="0" xfId="0" applyFont="1"/>
    <xf numFmtId="49" fontId="26" fillId="0" borderId="0" xfId="0" applyNumberFormat="1" applyFont="1" applyFill="1" applyBorder="1" applyAlignment="1">
      <alignment horizontal="center" textRotation="90"/>
    </xf>
    <xf numFmtId="0" fontId="29" fillId="0" borderId="9" xfId="0" applyFont="1" applyBorder="1"/>
    <xf numFmtId="0" fontId="2" fillId="0" borderId="0" xfId="0" applyFont="1"/>
    <xf numFmtId="0" fontId="2" fillId="0" borderId="0" xfId="0" applyFont="1" applyFill="1" applyBorder="1"/>
    <xf numFmtId="0" fontId="29" fillId="0" borderId="0" xfId="0" applyFont="1" applyFill="1" applyBorder="1"/>
    <xf numFmtId="0" fontId="2" fillId="0" borderId="8" xfId="0" applyFont="1" applyBorder="1"/>
    <xf numFmtId="0" fontId="29" fillId="0" borderId="0" xfId="0" applyFont="1" applyBorder="1"/>
    <xf numFmtId="166" fontId="11" fillId="0" borderId="0" xfId="0" applyNumberFormat="1" applyFont="1"/>
    <xf numFmtId="0" fontId="5" fillId="0" borderId="0" xfId="0" applyFont="1" applyFill="1" applyAlignment="1">
      <alignment textRotation="90"/>
    </xf>
    <xf numFmtId="0" fontId="29" fillId="0" borderId="9" xfId="0" applyFont="1" applyFill="1" applyBorder="1"/>
    <xf numFmtId="0" fontId="20" fillId="0" borderId="0" xfId="0" applyFont="1"/>
    <xf numFmtId="165" fontId="20" fillId="0" borderId="9" xfId="0" applyNumberFormat="1" applyFont="1" applyBorder="1"/>
    <xf numFmtId="165" fontId="0" fillId="0" borderId="9" xfId="0" applyNumberFormat="1" applyBorder="1"/>
    <xf numFmtId="165" fontId="0" fillId="0" borderId="8" xfId="0" applyNumberFormat="1" applyBorder="1"/>
    <xf numFmtId="165" fontId="20" fillId="0" borderId="8" xfId="0" applyNumberFormat="1" applyFont="1" applyBorder="1"/>
    <xf numFmtId="0" fontId="31" fillId="0" borderId="0" xfId="0" applyFont="1" applyAlignment="1">
      <alignment horizontal="right"/>
    </xf>
    <xf numFmtId="0" fontId="32" fillId="0" borderId="5" xfId="0" applyFont="1" applyBorder="1"/>
    <xf numFmtId="166" fontId="4" fillId="0" borderId="0" xfId="0" applyNumberFormat="1" applyFont="1"/>
    <xf numFmtId="0" fontId="4" fillId="0" borderId="0" xfId="0" applyFont="1"/>
    <xf numFmtId="0" fontId="17" fillId="0" borderId="0" xfId="0" applyFont="1" applyFill="1" applyBorder="1"/>
    <xf numFmtId="0" fontId="9" fillId="7" borderId="6" xfId="0" applyFont="1" applyFill="1" applyBorder="1"/>
    <xf numFmtId="0" fontId="32" fillId="0" borderId="0" xfId="0" applyFont="1" applyBorder="1"/>
    <xf numFmtId="0" fontId="9" fillId="0" borderId="0" xfId="0" applyFont="1" applyFill="1" applyAlignment="1">
      <alignment textRotation="90"/>
    </xf>
    <xf numFmtId="0" fontId="17" fillId="0" borderId="0" xfId="0" applyFont="1"/>
    <xf numFmtId="0" fontId="4" fillId="0" borderId="0" xfId="0" applyFont="1" applyBorder="1"/>
    <xf numFmtId="0" fontId="3" fillId="0" borderId="9" xfId="0" applyFont="1" applyBorder="1" applyAlignment="1">
      <alignment horizontal="right"/>
    </xf>
    <xf numFmtId="0" fontId="32" fillId="0" borderId="9" xfId="0" applyFont="1" applyBorder="1"/>
    <xf numFmtId="0" fontId="4" fillId="0" borderId="8" xfId="0" applyFont="1" applyBorder="1"/>
    <xf numFmtId="167" fontId="4" fillId="0" borderId="0" xfId="0" applyNumberFormat="1" applyFont="1"/>
    <xf numFmtId="49" fontId="4" fillId="0" borderId="0" xfId="0" applyNumberFormat="1" applyFont="1"/>
    <xf numFmtId="167" fontId="34" fillId="0" borderId="0" xfId="0" applyNumberFormat="1" applyFont="1"/>
    <xf numFmtId="0" fontId="8" fillId="0" borderId="0" xfId="0" applyFont="1"/>
    <xf numFmtId="49" fontId="9" fillId="3" borderId="0" xfId="0" applyNumberFormat="1" applyFont="1" applyFill="1" applyBorder="1" applyAlignment="1">
      <alignment horizontal="center" textRotation="90"/>
    </xf>
    <xf numFmtId="49" fontId="9" fillId="3" borderId="3" xfId="0" applyNumberFormat="1" applyFont="1" applyFill="1" applyBorder="1" applyAlignment="1">
      <alignment horizontal="center" textRotation="90"/>
    </xf>
    <xf numFmtId="49" fontId="9" fillId="4" borderId="2" xfId="0" applyNumberFormat="1" applyFont="1" applyFill="1" applyBorder="1" applyAlignment="1">
      <alignment horizontal="center" textRotation="90"/>
    </xf>
    <xf numFmtId="0" fontId="33" fillId="0" borderId="0" xfId="0" applyFont="1"/>
    <xf numFmtId="0" fontId="22" fillId="0" borderId="0" xfId="0" applyFont="1"/>
    <xf numFmtId="0" fontId="36" fillId="0" borderId="5" xfId="0" applyFont="1" applyBorder="1"/>
    <xf numFmtId="0" fontId="37" fillId="0" borderId="0" xfId="0" applyFont="1"/>
    <xf numFmtId="0" fontId="36" fillId="0" borderId="0" xfId="0" applyFont="1"/>
    <xf numFmtId="0" fontId="15" fillId="8" borderId="5" xfId="0" applyFont="1" applyFill="1" applyBorder="1"/>
    <xf numFmtId="0" fontId="38" fillId="0" borderId="1" xfId="0" applyFont="1" applyFill="1" applyBorder="1"/>
    <xf numFmtId="0" fontId="39" fillId="0" borderId="0" xfId="0" applyFont="1"/>
    <xf numFmtId="0" fontId="38" fillId="0" borderId="5" xfId="0" applyFont="1" applyFill="1" applyBorder="1"/>
    <xf numFmtId="0" fontId="38" fillId="0" borderId="0" xfId="0" applyFont="1" applyBorder="1"/>
    <xf numFmtId="0" fontId="39" fillId="0" borderId="0" xfId="0" applyFont="1" applyBorder="1"/>
    <xf numFmtId="0" fontId="38" fillId="0" borderId="9" xfId="0" applyFont="1" applyBorder="1"/>
    <xf numFmtId="0" fontId="39" fillId="0" borderId="9" xfId="0" applyFont="1" applyBorder="1"/>
    <xf numFmtId="0" fontId="38" fillId="0" borderId="0" xfId="0" applyFont="1" applyFill="1" applyBorder="1"/>
    <xf numFmtId="0" fontId="4" fillId="3" borderId="0" xfId="0" applyFont="1" applyFill="1"/>
    <xf numFmtId="0" fontId="3" fillId="3" borderId="0" xfId="0" applyFont="1" applyFill="1"/>
    <xf numFmtId="0" fontId="25" fillId="0" borderId="9" xfId="0" applyFont="1" applyBorder="1"/>
    <xf numFmtId="166" fontId="4" fillId="0" borderId="8" xfId="0" applyNumberFormat="1" applyFont="1" applyBorder="1"/>
    <xf numFmtId="0" fontId="0" fillId="0" borderId="0" xfId="0" applyFont="1" applyFill="1" applyBorder="1"/>
    <xf numFmtId="167" fontId="0" fillId="0" borderId="0" xfId="0" applyNumberFormat="1" applyFont="1" applyBorder="1"/>
    <xf numFmtId="0" fontId="0" fillId="0" borderId="0" xfId="0" applyFont="1" applyBorder="1"/>
    <xf numFmtId="167" fontId="0" fillId="0" borderId="0" xfId="0" applyNumberFormat="1" applyFont="1"/>
    <xf numFmtId="167" fontId="0" fillId="0" borderId="0" xfId="0" applyNumberFormat="1" applyFont="1" applyBorder="1" applyAlignment="1">
      <alignment horizontal="right"/>
    </xf>
    <xf numFmtId="166" fontId="0" fillId="0" borderId="1" xfId="0" applyNumberFormat="1" applyFont="1" applyBorder="1"/>
    <xf numFmtId="0" fontId="0" fillId="0" borderId="9" xfId="0" applyFont="1" applyBorder="1"/>
    <xf numFmtId="0" fontId="35" fillId="0" borderId="0" xfId="0" applyFont="1" applyAlignment="1">
      <alignment horizontal="left" vertical="top"/>
    </xf>
    <xf numFmtId="0" fontId="40" fillId="5" borderId="0" xfId="0" applyFont="1" applyFill="1"/>
    <xf numFmtId="49" fontId="30" fillId="4" borderId="6" xfId="0" applyNumberFormat="1" applyFont="1" applyFill="1" applyBorder="1" applyAlignment="1">
      <alignment horizontal="center" textRotation="90"/>
    </xf>
    <xf numFmtId="49" fontId="30" fillId="4" borderId="1" xfId="0" applyNumberFormat="1" applyFont="1" applyFill="1" applyBorder="1" applyAlignment="1">
      <alignment horizontal="center" textRotation="90"/>
    </xf>
    <xf numFmtId="0" fontId="8" fillId="0" borderId="1" xfId="0" applyFont="1" applyBorder="1"/>
    <xf numFmtId="0" fontId="8" fillId="0" borderId="5" xfId="0" applyFont="1" applyBorder="1"/>
    <xf numFmtId="164" fontId="41" fillId="0" borderId="0" xfId="0" applyNumberFormat="1" applyFont="1" applyFill="1" applyBorder="1" applyAlignment="1">
      <alignment horizontal="center" vertical="top"/>
    </xf>
    <xf numFmtId="0" fontId="25" fillId="0" borderId="0" xfId="0" applyFont="1" applyFill="1" applyBorder="1"/>
    <xf numFmtId="0" fontId="8" fillId="0" borderId="0" xfId="0" applyFont="1" applyBorder="1"/>
    <xf numFmtId="0" fontId="0" fillId="0" borderId="7" xfId="0" applyFont="1" applyBorder="1"/>
    <xf numFmtId="0" fontId="2" fillId="0" borderId="1" xfId="0" applyFont="1" applyBorder="1" applyAlignment="1">
      <alignment horizontal="right"/>
    </xf>
    <xf numFmtId="0" fontId="42" fillId="0" borderId="1" xfId="0" applyFont="1" applyBorder="1"/>
    <xf numFmtId="49" fontId="43" fillId="0" borderId="0" xfId="0" applyNumberFormat="1" applyFont="1" applyFill="1" applyBorder="1" applyAlignment="1">
      <alignment horizontal="center" textRotation="90"/>
    </xf>
    <xf numFmtId="0" fontId="42" fillId="0" borderId="5" xfId="0" applyFont="1" applyBorder="1"/>
    <xf numFmtId="167" fontId="42" fillId="0" borderId="0" xfId="0" applyNumberFormat="1" applyFont="1" applyFill="1" applyBorder="1" applyAlignment="1">
      <alignment horizontal="right" vertical="top"/>
    </xf>
    <xf numFmtId="167" fontId="42" fillId="0" borderId="0" xfId="0" applyNumberFormat="1" applyFont="1" applyBorder="1" applyAlignment="1">
      <alignment horizontal="right" vertical="top"/>
    </xf>
    <xf numFmtId="167" fontId="42" fillId="3" borderId="0" xfId="0" applyNumberFormat="1" applyFont="1" applyFill="1" applyBorder="1" applyAlignment="1">
      <alignment horizontal="right" vertical="top"/>
    </xf>
    <xf numFmtId="0" fontId="30" fillId="8" borderId="5" xfId="0" applyFont="1" applyFill="1" applyBorder="1"/>
    <xf numFmtId="0" fontId="18" fillId="8" borderId="5" xfId="0" applyFont="1" applyFill="1" applyBorder="1"/>
    <xf numFmtId="0" fontId="39" fillId="0" borderId="1" xfId="0" applyFont="1" applyFill="1" applyBorder="1"/>
    <xf numFmtId="167" fontId="39" fillId="0" borderId="0" xfId="0" applyNumberFormat="1" applyFont="1" applyFill="1" applyBorder="1" applyAlignment="1">
      <alignment horizontal="right" vertical="top"/>
    </xf>
    <xf numFmtId="167" fontId="39" fillId="0" borderId="0" xfId="0" applyNumberFormat="1" applyFont="1" applyBorder="1" applyAlignment="1">
      <alignment horizontal="right" vertical="top"/>
    </xf>
    <xf numFmtId="167" fontId="39" fillId="0" borderId="0" xfId="0" applyNumberFormat="1" applyFont="1" applyBorder="1" applyAlignment="1">
      <alignment horizontal="right"/>
    </xf>
    <xf numFmtId="0" fontId="39" fillId="0" borderId="5" xfId="0" applyFont="1" applyFill="1" applyBorder="1"/>
    <xf numFmtId="167" fontId="39" fillId="0" borderId="9" xfId="0" applyNumberFormat="1" applyFont="1" applyFill="1" applyBorder="1" applyAlignment="1">
      <alignment horizontal="right" vertical="top"/>
    </xf>
    <xf numFmtId="167" fontId="39" fillId="0" borderId="9" xfId="0" applyNumberFormat="1" applyFont="1" applyBorder="1" applyAlignment="1">
      <alignment horizontal="right" vertical="top"/>
    </xf>
    <xf numFmtId="167" fontId="39" fillId="0" borderId="9" xfId="0" applyNumberFormat="1" applyFont="1" applyBorder="1" applyAlignment="1">
      <alignment horizontal="right"/>
    </xf>
    <xf numFmtId="167" fontId="42" fillId="0" borderId="11" xfId="0" applyNumberFormat="1" applyFont="1" applyFill="1" applyBorder="1" applyAlignment="1">
      <alignment horizontal="right" vertical="top"/>
    </xf>
    <xf numFmtId="167" fontId="42" fillId="3" borderId="11" xfId="0" applyNumberFormat="1" applyFont="1" applyFill="1" applyBorder="1" applyAlignment="1">
      <alignment horizontal="right" vertical="top"/>
    </xf>
    <xf numFmtId="167" fontId="42" fillId="3" borderId="10" xfId="0" applyNumberFormat="1" applyFont="1" applyFill="1" applyBorder="1" applyAlignment="1">
      <alignment horizontal="right" vertical="top"/>
    </xf>
    <xf numFmtId="167" fontId="42" fillId="3" borderId="9" xfId="0" applyNumberFormat="1" applyFont="1" applyFill="1" applyBorder="1" applyAlignment="1">
      <alignment horizontal="right" vertical="top"/>
    </xf>
    <xf numFmtId="167" fontId="42" fillId="0" borderId="9" xfId="0" applyNumberFormat="1" applyFont="1" applyBorder="1" applyAlignment="1">
      <alignment horizontal="right" vertical="top"/>
    </xf>
    <xf numFmtId="167" fontId="42" fillId="0" borderId="9" xfId="0" applyNumberFormat="1" applyFont="1" applyFill="1" applyBorder="1" applyAlignment="1">
      <alignment horizontal="right" vertical="top"/>
    </xf>
    <xf numFmtId="49" fontId="27" fillId="4" borderId="1" xfId="0" applyNumberFormat="1" applyFont="1" applyFill="1" applyBorder="1" applyAlignment="1">
      <alignment horizontal="center" textRotation="90"/>
    </xf>
    <xf numFmtId="0" fontId="9" fillId="0" borderId="12" xfId="0" applyFont="1" applyFill="1" applyBorder="1" applyAlignment="1">
      <alignment textRotation="90"/>
    </xf>
    <xf numFmtId="0" fontId="2" fillId="0" borderId="11" xfId="0" applyFont="1" applyBorder="1"/>
    <xf numFmtId="0" fontId="2" fillId="0" borderId="0" xfId="0" applyFont="1" applyBorder="1"/>
    <xf numFmtId="0" fontId="30" fillId="0" borderId="0" xfId="0" applyFont="1" applyBorder="1"/>
    <xf numFmtId="166" fontId="9" fillId="0" borderId="0" xfId="0" applyNumberFormat="1" applyFont="1" applyBorder="1"/>
    <xf numFmtId="0" fontId="2" fillId="0" borderId="10" xfId="0" applyFont="1" applyBorder="1"/>
    <xf numFmtId="0" fontId="2" fillId="0" borderId="9" xfId="0" applyFont="1" applyBorder="1"/>
    <xf numFmtId="0" fontId="30" fillId="0" borderId="9" xfId="0" applyFont="1" applyBorder="1"/>
    <xf numFmtId="166" fontId="9" fillId="0" borderId="9" xfId="0" applyNumberFormat="1" applyFont="1" applyBorder="1"/>
    <xf numFmtId="0" fontId="30" fillId="7" borderId="1" xfId="0" applyFont="1" applyFill="1" applyBorder="1"/>
    <xf numFmtId="0" fontId="9" fillId="7" borderId="1" xfId="0" applyFont="1" applyFill="1" applyBorder="1"/>
    <xf numFmtId="0" fontId="45" fillId="0" borderId="1" xfId="0" applyFont="1" applyFill="1" applyBorder="1"/>
    <xf numFmtId="0" fontId="39" fillId="0" borderId="0" xfId="0" applyFont="1" applyFill="1" applyBorder="1"/>
    <xf numFmtId="0" fontId="45" fillId="0" borderId="5" xfId="0" applyFont="1" applyFill="1" applyBorder="1"/>
    <xf numFmtId="0" fontId="39" fillId="0" borderId="9" xfId="0" applyFont="1" applyFill="1" applyBorder="1"/>
    <xf numFmtId="167" fontId="45" fillId="0" borderId="0" xfId="0" applyNumberFormat="1" applyFont="1" applyFill="1" applyBorder="1" applyAlignment="1">
      <alignment horizontal="right" vertical="top"/>
    </xf>
    <xf numFmtId="167" fontId="46" fillId="0" borderId="0" xfId="0" applyNumberFormat="1" applyFont="1" applyFill="1" applyBorder="1" applyAlignment="1">
      <alignment horizontal="right" vertical="top"/>
    </xf>
    <xf numFmtId="0" fontId="45" fillId="0" borderId="0" xfId="0" applyFont="1"/>
    <xf numFmtId="167" fontId="45" fillId="2" borderId="1" xfId="0" applyNumberFormat="1" applyFont="1" applyFill="1" applyBorder="1" applyAlignment="1">
      <alignment horizontal="right" vertical="top"/>
    </xf>
    <xf numFmtId="0" fontId="16" fillId="0" borderId="1" xfId="0" applyFont="1" applyBorder="1"/>
    <xf numFmtId="167" fontId="22" fillId="0" borderId="0" xfId="0" applyNumberFormat="1" applyFont="1" applyFill="1" applyBorder="1" applyAlignment="1">
      <alignment horizontal="right" vertical="top"/>
    </xf>
    <xf numFmtId="167" fontId="47" fillId="0" borderId="0" xfId="0" applyNumberFormat="1" applyFont="1" applyFill="1" applyBorder="1" applyAlignment="1">
      <alignment horizontal="right" vertical="top"/>
    </xf>
    <xf numFmtId="167" fontId="22" fillId="2" borderId="1" xfId="0" applyNumberFormat="1" applyFont="1" applyFill="1" applyBorder="1" applyAlignment="1">
      <alignment horizontal="right" vertical="top"/>
    </xf>
    <xf numFmtId="0" fontId="15" fillId="9" borderId="1" xfId="0" applyFont="1" applyFill="1" applyBorder="1"/>
    <xf numFmtId="166" fontId="1" fillId="0" borderId="8" xfId="0" applyNumberFormat="1" applyFont="1" applyBorder="1"/>
    <xf numFmtId="166" fontId="0" fillId="0" borderId="8" xfId="0" applyNumberFormat="1" applyBorder="1"/>
    <xf numFmtId="166" fontId="0" fillId="0" borderId="0" xfId="0" applyNumberFormat="1" applyBorder="1"/>
    <xf numFmtId="0" fontId="27" fillId="0" borderId="0" xfId="0" applyFont="1"/>
    <xf numFmtId="166" fontId="20" fillId="0" borderId="9" xfId="0" applyNumberFormat="1" applyFont="1" applyBorder="1"/>
    <xf numFmtId="166" fontId="0" fillId="0" borderId="9" xfId="0" applyNumberFormat="1" applyBorder="1"/>
    <xf numFmtId="166" fontId="20" fillId="0" borderId="9" xfId="0" applyNumberFormat="1" applyFont="1" applyFill="1" applyBorder="1"/>
    <xf numFmtId="166" fontId="2" fillId="3" borderId="9" xfId="0" applyNumberFormat="1" applyFont="1" applyFill="1" applyBorder="1"/>
    <xf numFmtId="166" fontId="20" fillId="0" borderId="0" xfId="0" applyNumberFormat="1" applyFont="1"/>
    <xf numFmtId="166" fontId="20" fillId="2" borderId="0" xfId="0" applyNumberFormat="1" applyFont="1" applyFill="1"/>
    <xf numFmtId="166" fontId="2" fillId="3" borderId="0" xfId="0" applyNumberFormat="1" applyFont="1" applyFill="1"/>
    <xf numFmtId="0" fontId="38" fillId="0" borderId="1" xfId="0" applyFont="1" applyBorder="1"/>
    <xf numFmtId="0" fontId="38" fillId="0" borderId="3" xfId="0" applyFont="1" applyBorder="1"/>
    <xf numFmtId="0" fontId="38" fillId="0" borderId="4" xfId="0" applyFont="1" applyBorder="1"/>
    <xf numFmtId="0" fontId="38" fillId="0" borderId="5" xfId="0" applyFont="1" applyBorder="1"/>
    <xf numFmtId="166" fontId="20" fillId="2" borderId="1" xfId="0" applyNumberFormat="1" applyFont="1" applyFill="1" applyBorder="1"/>
    <xf numFmtId="166" fontId="20" fillId="2" borderId="4" xfId="0" applyNumberFormat="1" applyFont="1" applyFill="1" applyBorder="1"/>
    <xf numFmtId="0" fontId="31" fillId="2" borderId="5" xfId="0" applyFont="1" applyFill="1" applyBorder="1" applyAlignment="1">
      <alignment horizontal="right"/>
    </xf>
    <xf numFmtId="165" fontId="20" fillId="2" borderId="1" xfId="0" applyNumberFormat="1" applyFont="1" applyFill="1" applyBorder="1"/>
    <xf numFmtId="165" fontId="20" fillId="2" borderId="3" xfId="0" applyNumberFormat="1" applyFont="1" applyFill="1" applyBorder="1"/>
    <xf numFmtId="0" fontId="31" fillId="0" borderId="5" xfId="0" applyFont="1" applyBorder="1" applyAlignment="1">
      <alignment horizontal="right"/>
    </xf>
    <xf numFmtId="166" fontId="20" fillId="0" borderId="4" xfId="0" applyNumberFormat="1" applyFont="1" applyBorder="1"/>
    <xf numFmtId="165" fontId="20" fillId="3" borderId="1" xfId="0" applyNumberFormat="1" applyFont="1" applyFill="1" applyBorder="1"/>
    <xf numFmtId="165" fontId="20" fillId="3" borderId="3" xfId="0" applyNumberFormat="1" applyFont="1" applyFill="1" applyBorder="1"/>
    <xf numFmtId="0" fontId="31" fillId="3" borderId="5" xfId="0" applyFont="1" applyFill="1" applyBorder="1" applyAlignment="1">
      <alignment horizontal="right"/>
    </xf>
    <xf numFmtId="166" fontId="20" fillId="2" borderId="9" xfId="0" applyNumberFormat="1" applyFont="1" applyFill="1" applyBorder="1"/>
    <xf numFmtId="49" fontId="48" fillId="5" borderId="1" xfId="0" applyNumberFormat="1" applyFont="1" applyFill="1" applyBorder="1" applyAlignment="1">
      <alignment horizontal="center" textRotation="90"/>
    </xf>
    <xf numFmtId="49" fontId="48" fillId="5" borderId="12" xfId="0" applyNumberFormat="1" applyFont="1" applyFill="1" applyBorder="1" applyAlignment="1">
      <alignment horizontal="center" textRotation="90"/>
    </xf>
    <xf numFmtId="0" fontId="23" fillId="3" borderId="0" xfId="0" applyFont="1" applyFill="1"/>
    <xf numFmtId="0" fontId="0" fillId="3" borderId="0" xfId="0" applyFont="1" applyFill="1"/>
  </cellXfs>
  <cellStyles count="67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S97"/>
  <sheetViews>
    <sheetView topLeftCell="A68" zoomScale="110" zoomScaleNormal="110" zoomScalePageLayoutView="110" workbookViewId="0">
      <selection activeCell="A84" sqref="A84:XFD84"/>
    </sheetView>
  </sheetViews>
  <sheetFormatPr baseColWidth="10" defaultColWidth="9.5" defaultRowHeight="14" x14ac:dyDescent="0"/>
  <cols>
    <col min="1" max="1" width="37" customWidth="1"/>
    <col min="2" max="2" width="23.83203125" customWidth="1"/>
    <col min="109" max="109" width="12.6640625" bestFit="1" customWidth="1"/>
    <col min="110" max="110" width="9.6640625" bestFit="1" customWidth="1"/>
    <col min="148" max="148" width="12.6640625" bestFit="1" customWidth="1"/>
  </cols>
  <sheetData>
    <row r="1" spans="1:175">
      <c r="A1" s="115" t="s">
        <v>171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</row>
    <row r="2" spans="1:175">
      <c r="A2" s="115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29"/>
      <c r="EF2" s="29"/>
      <c r="EG2" s="29"/>
      <c r="EH2" s="29"/>
      <c r="EI2" s="29"/>
      <c r="EJ2" s="29"/>
      <c r="EK2" s="29"/>
      <c r="EL2" s="29"/>
      <c r="EM2" s="29"/>
      <c r="EN2" s="29"/>
      <c r="EO2" s="29"/>
      <c r="EP2" s="29"/>
      <c r="EQ2" s="29"/>
      <c r="ER2" s="29"/>
      <c r="ES2" s="29"/>
      <c r="ET2" s="29"/>
      <c r="EU2" s="29"/>
      <c r="EV2" s="29"/>
      <c r="EW2" s="29"/>
      <c r="EX2" s="29"/>
      <c r="EY2" s="29"/>
      <c r="EZ2" s="29"/>
      <c r="FA2" s="29"/>
      <c r="FB2" s="29"/>
      <c r="FC2" s="29"/>
      <c r="FD2" s="29"/>
      <c r="FE2" s="29"/>
      <c r="FF2" s="29"/>
      <c r="FG2" s="29"/>
      <c r="FH2" s="29"/>
      <c r="FI2" s="29"/>
      <c r="FJ2" s="29"/>
      <c r="FK2" s="29"/>
      <c r="FL2" s="29"/>
    </row>
    <row r="3" spans="1:175">
      <c r="A3" s="116" t="s">
        <v>168</v>
      </c>
      <c r="B3" s="31"/>
      <c r="C3" s="31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</row>
    <row r="4" spans="1:175" s="19" customFormat="1" ht="76" customHeight="1">
      <c r="A4" s="117" t="s">
        <v>164</v>
      </c>
      <c r="B4" s="118" t="s">
        <v>0</v>
      </c>
      <c r="C4" s="118" t="s">
        <v>71</v>
      </c>
      <c r="D4" s="118" t="s">
        <v>72</v>
      </c>
      <c r="E4" s="118" t="s">
        <v>73</v>
      </c>
      <c r="F4" s="118" t="s">
        <v>74</v>
      </c>
      <c r="G4" s="118" t="s">
        <v>75</v>
      </c>
      <c r="H4" s="118" t="s">
        <v>76</v>
      </c>
      <c r="I4" s="118" t="s">
        <v>77</v>
      </c>
      <c r="J4" s="118" t="s">
        <v>78</v>
      </c>
      <c r="K4" s="118" t="s">
        <v>79</v>
      </c>
      <c r="L4" s="118" t="s">
        <v>80</v>
      </c>
      <c r="M4" s="118" t="s">
        <v>81</v>
      </c>
      <c r="N4" s="118" t="s">
        <v>82</v>
      </c>
      <c r="O4" s="118" t="s">
        <v>83</v>
      </c>
      <c r="P4" s="118" t="s">
        <v>84</v>
      </c>
      <c r="Q4" s="118" t="s">
        <v>85</v>
      </c>
      <c r="R4" s="118" t="s">
        <v>86</v>
      </c>
      <c r="S4" s="118" t="s">
        <v>87</v>
      </c>
      <c r="T4" s="118" t="s">
        <v>88</v>
      </c>
      <c r="U4" s="118"/>
      <c r="V4" s="118" t="s">
        <v>89</v>
      </c>
      <c r="W4" s="118" t="s">
        <v>90</v>
      </c>
      <c r="X4" s="118" t="s">
        <v>91</v>
      </c>
      <c r="Y4" s="118" t="s">
        <v>92</v>
      </c>
      <c r="Z4" s="148" t="s">
        <v>93</v>
      </c>
      <c r="AA4" s="148" t="s">
        <v>94</v>
      </c>
      <c r="AB4" s="118" t="s">
        <v>95</v>
      </c>
      <c r="AC4" s="118" t="s">
        <v>96</v>
      </c>
      <c r="AD4" s="148" t="s">
        <v>97</v>
      </c>
      <c r="AE4" s="118" t="s">
        <v>98</v>
      </c>
      <c r="AF4" s="148" t="s">
        <v>99</v>
      </c>
      <c r="AG4" s="118" t="s">
        <v>100</v>
      </c>
      <c r="AH4" s="118" t="s">
        <v>101</v>
      </c>
      <c r="AI4" s="118" t="s">
        <v>102</v>
      </c>
      <c r="AJ4" s="148" t="s">
        <v>103</v>
      </c>
      <c r="AK4" s="118" t="s">
        <v>104</v>
      </c>
      <c r="AL4" s="118" t="s">
        <v>105</v>
      </c>
      <c r="AM4" s="148" t="s">
        <v>106</v>
      </c>
      <c r="AN4" s="148" t="s">
        <v>107</v>
      </c>
      <c r="AO4" s="118" t="s">
        <v>108</v>
      </c>
      <c r="AP4" s="148" t="s">
        <v>109</v>
      </c>
      <c r="AQ4" s="118" t="s">
        <v>110</v>
      </c>
      <c r="AR4" s="118" t="s">
        <v>111</v>
      </c>
      <c r="AS4" s="118" t="s">
        <v>112</v>
      </c>
      <c r="AT4" s="118" t="s">
        <v>113</v>
      </c>
      <c r="AU4" s="118"/>
      <c r="AV4" s="118" t="s">
        <v>160</v>
      </c>
      <c r="AW4" s="118" t="s">
        <v>114</v>
      </c>
      <c r="AX4" s="118" t="s">
        <v>115</v>
      </c>
      <c r="AY4" s="118" t="s">
        <v>116</v>
      </c>
      <c r="AZ4" s="118" t="s">
        <v>117</v>
      </c>
      <c r="BA4" s="118" t="s">
        <v>118</v>
      </c>
      <c r="BB4" s="118" t="s">
        <v>119</v>
      </c>
      <c r="BC4" s="118" t="s">
        <v>120</v>
      </c>
      <c r="BD4" s="118" t="s">
        <v>121</v>
      </c>
      <c r="BE4" s="118" t="s">
        <v>122</v>
      </c>
      <c r="BF4" s="118" t="s">
        <v>123</v>
      </c>
      <c r="BG4" s="118" t="s">
        <v>124</v>
      </c>
      <c r="BH4" s="118" t="s">
        <v>125</v>
      </c>
      <c r="BI4" s="118" t="s">
        <v>126</v>
      </c>
      <c r="BJ4" s="118" t="s">
        <v>127</v>
      </c>
      <c r="BK4" s="118" t="s">
        <v>128</v>
      </c>
      <c r="BL4" s="118" t="s">
        <v>129</v>
      </c>
      <c r="BM4" s="118" t="s">
        <v>130</v>
      </c>
      <c r="BN4" s="118" t="s">
        <v>131</v>
      </c>
      <c r="BO4" s="118" t="s">
        <v>132</v>
      </c>
      <c r="BP4" s="118" t="s">
        <v>133</v>
      </c>
      <c r="BQ4" s="118" t="s">
        <v>134</v>
      </c>
      <c r="BR4" s="118" t="s">
        <v>135</v>
      </c>
      <c r="BS4" s="118" t="s">
        <v>136</v>
      </c>
      <c r="BT4" s="118" t="s">
        <v>137</v>
      </c>
      <c r="BU4" s="118" t="s">
        <v>138</v>
      </c>
      <c r="BV4" s="118" t="s">
        <v>139</v>
      </c>
      <c r="BW4" s="118" t="s">
        <v>140</v>
      </c>
      <c r="BX4" s="118" t="s">
        <v>141</v>
      </c>
      <c r="BY4" s="118" t="s">
        <v>142</v>
      </c>
      <c r="BZ4" s="118" t="s">
        <v>143</v>
      </c>
      <c r="CA4" s="118" t="s">
        <v>144</v>
      </c>
      <c r="CB4" s="118" t="s">
        <v>145</v>
      </c>
      <c r="CC4" s="118" t="s">
        <v>146</v>
      </c>
      <c r="CD4" s="118" t="s">
        <v>147</v>
      </c>
      <c r="CE4" s="118" t="s">
        <v>148</v>
      </c>
      <c r="CF4" s="118" t="s">
        <v>149</v>
      </c>
      <c r="CG4" s="118" t="s">
        <v>150</v>
      </c>
      <c r="CH4" s="118" t="s">
        <v>151</v>
      </c>
      <c r="CI4" s="118" t="s">
        <v>152</v>
      </c>
      <c r="CJ4" s="118" t="s">
        <v>153</v>
      </c>
      <c r="CK4" s="118" t="s">
        <v>154</v>
      </c>
      <c r="CL4" s="118" t="s">
        <v>155</v>
      </c>
      <c r="CM4" s="118" t="s">
        <v>156</v>
      </c>
      <c r="CN4" s="118" t="s">
        <v>157</v>
      </c>
      <c r="CO4" s="118" t="s">
        <v>158</v>
      </c>
      <c r="CP4" s="118"/>
      <c r="CQ4" s="118" t="s">
        <v>1</v>
      </c>
      <c r="CR4" s="118" t="s">
        <v>2</v>
      </c>
      <c r="CS4" s="118" t="s">
        <v>3</v>
      </c>
      <c r="CT4" s="118" t="s">
        <v>4</v>
      </c>
      <c r="CU4" s="118" t="s">
        <v>5</v>
      </c>
      <c r="CV4" s="118" t="s">
        <v>6</v>
      </c>
      <c r="CW4" s="118" t="s">
        <v>7</v>
      </c>
      <c r="CX4" s="118" t="s">
        <v>8</v>
      </c>
      <c r="CY4" s="118" t="s">
        <v>9</v>
      </c>
      <c r="CZ4" s="118" t="s">
        <v>10</v>
      </c>
      <c r="DA4" s="118" t="s">
        <v>11</v>
      </c>
      <c r="DB4" s="118" t="s">
        <v>12</v>
      </c>
      <c r="DC4" s="118" t="s">
        <v>13</v>
      </c>
      <c r="DD4" s="118" t="s">
        <v>14</v>
      </c>
      <c r="DE4" s="118" t="s">
        <v>15</v>
      </c>
      <c r="DF4" s="118" t="s">
        <v>16</v>
      </c>
      <c r="DG4" s="118" t="s">
        <v>17</v>
      </c>
      <c r="DH4" s="118" t="s">
        <v>18</v>
      </c>
      <c r="DI4" s="118" t="s">
        <v>19</v>
      </c>
      <c r="DJ4" s="118" t="s">
        <v>20</v>
      </c>
      <c r="DK4" s="118" t="s">
        <v>21</v>
      </c>
      <c r="DL4" s="118" t="s">
        <v>22</v>
      </c>
      <c r="DM4" s="118" t="s">
        <v>23</v>
      </c>
      <c r="DN4" s="118" t="s">
        <v>24</v>
      </c>
      <c r="DO4" s="118" t="s">
        <v>25</v>
      </c>
      <c r="DP4" s="118" t="s">
        <v>26</v>
      </c>
      <c r="DQ4" s="118" t="s">
        <v>27</v>
      </c>
      <c r="DR4" s="118" t="s">
        <v>28</v>
      </c>
      <c r="DS4" s="118" t="s">
        <v>29</v>
      </c>
      <c r="DT4" s="118" t="s">
        <v>30</v>
      </c>
      <c r="DU4" s="118" t="s">
        <v>31</v>
      </c>
      <c r="DV4" s="118" t="s">
        <v>32</v>
      </c>
      <c r="DW4" s="118" t="s">
        <v>33</v>
      </c>
      <c r="DX4" s="118" t="s">
        <v>34</v>
      </c>
      <c r="DY4" s="118" t="s">
        <v>35</v>
      </c>
      <c r="DZ4" s="118" t="s">
        <v>36</v>
      </c>
      <c r="EA4" s="118" t="s">
        <v>37</v>
      </c>
      <c r="EB4" s="118" t="s">
        <v>38</v>
      </c>
      <c r="EC4" s="118" t="s">
        <v>39</v>
      </c>
      <c r="ED4" s="118" t="s">
        <v>40</v>
      </c>
      <c r="EE4" s="118" t="s">
        <v>41</v>
      </c>
      <c r="EF4" s="118" t="s">
        <v>42</v>
      </c>
      <c r="EG4" s="118" t="s">
        <v>43</v>
      </c>
      <c r="EH4" s="118" t="s">
        <v>44</v>
      </c>
      <c r="EI4" s="118" t="s">
        <v>45</v>
      </c>
      <c r="EJ4" s="118" t="s">
        <v>46</v>
      </c>
      <c r="EK4" s="118" t="s">
        <v>47</v>
      </c>
      <c r="EL4" s="118" t="s">
        <v>48</v>
      </c>
      <c r="EM4" s="118" t="s">
        <v>49</v>
      </c>
      <c r="EN4" s="118" t="s">
        <v>50</v>
      </c>
      <c r="EO4" s="118" t="s">
        <v>51</v>
      </c>
      <c r="EP4" s="118"/>
      <c r="EQ4" s="118" t="s">
        <v>52</v>
      </c>
      <c r="ER4" s="118" t="s">
        <v>53</v>
      </c>
      <c r="ES4" s="118" t="s">
        <v>54</v>
      </c>
      <c r="ET4" s="118" t="s">
        <v>55</v>
      </c>
      <c r="EU4" s="118" t="s">
        <v>56</v>
      </c>
      <c r="EV4" s="118" t="s">
        <v>57</v>
      </c>
      <c r="EW4" s="118" t="s">
        <v>58</v>
      </c>
      <c r="EX4" s="118" t="s">
        <v>59</v>
      </c>
      <c r="EY4" s="118" t="s">
        <v>60</v>
      </c>
      <c r="EZ4" s="118" t="s">
        <v>61</v>
      </c>
      <c r="FA4" s="118" t="s">
        <v>62</v>
      </c>
      <c r="FB4" s="118" t="s">
        <v>63</v>
      </c>
      <c r="FC4" s="118" t="s">
        <v>64</v>
      </c>
      <c r="FD4" s="118" t="s">
        <v>65</v>
      </c>
      <c r="FE4" s="118" t="s">
        <v>66</v>
      </c>
      <c r="FF4" s="118" t="s">
        <v>67</v>
      </c>
      <c r="FG4" s="118" t="s">
        <v>68</v>
      </c>
      <c r="FH4" s="118" t="s">
        <v>69</v>
      </c>
      <c r="FI4" s="118" t="s">
        <v>70</v>
      </c>
      <c r="FK4" s="18"/>
      <c r="FL4" s="18"/>
      <c r="FM4" s="18"/>
      <c r="FN4" s="18"/>
      <c r="FO4" s="18"/>
      <c r="FP4" s="18"/>
      <c r="FQ4" s="18"/>
      <c r="FR4" s="18"/>
      <c r="FS4" s="18"/>
    </row>
    <row r="5" spans="1:175" s="15" customFormat="1" ht="16" customHeight="1">
      <c r="A5" s="132" t="s">
        <v>170</v>
      </c>
      <c r="B5" s="126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  <c r="AK5" s="127"/>
      <c r="AL5" s="127"/>
      <c r="AM5" s="127"/>
      <c r="AN5" s="127"/>
      <c r="AO5" s="127"/>
      <c r="AP5" s="127"/>
      <c r="AQ5" s="127"/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7"/>
      <c r="BE5" s="127"/>
      <c r="BF5" s="127"/>
      <c r="BG5" s="127"/>
      <c r="BH5" s="127"/>
      <c r="BI5" s="127"/>
      <c r="BJ5" s="127"/>
      <c r="BK5" s="127"/>
      <c r="BL5" s="127"/>
      <c r="BM5" s="127"/>
      <c r="BN5" s="127"/>
      <c r="BO5" s="127"/>
      <c r="BP5" s="127"/>
      <c r="BQ5" s="127"/>
      <c r="BR5" s="127"/>
      <c r="BS5" s="127"/>
      <c r="BT5" s="127"/>
      <c r="BU5" s="127"/>
      <c r="BV5" s="127"/>
      <c r="BW5" s="127"/>
      <c r="BX5" s="127"/>
      <c r="BY5" s="127"/>
      <c r="BZ5" s="127"/>
      <c r="CA5" s="127"/>
      <c r="CB5" s="127"/>
      <c r="CC5" s="127"/>
      <c r="CD5" s="127"/>
      <c r="CE5" s="127"/>
      <c r="CF5" s="127"/>
      <c r="CG5" s="127"/>
      <c r="CH5" s="127"/>
      <c r="CI5" s="127"/>
      <c r="CJ5" s="127"/>
      <c r="CK5" s="127"/>
      <c r="CL5" s="127"/>
      <c r="CM5" s="127"/>
      <c r="CN5" s="127"/>
      <c r="CO5" s="127"/>
      <c r="CP5" s="127"/>
      <c r="CQ5" s="127"/>
      <c r="CR5" s="127"/>
      <c r="CS5" s="127"/>
      <c r="CT5" s="127"/>
      <c r="CU5" s="127"/>
      <c r="CV5" s="127"/>
      <c r="CW5" s="127"/>
      <c r="CX5" s="127"/>
      <c r="CY5" s="127"/>
      <c r="CZ5" s="127"/>
      <c r="DA5" s="127"/>
      <c r="DB5" s="127"/>
      <c r="DC5" s="127"/>
      <c r="DD5" s="127"/>
      <c r="DE5" s="127"/>
      <c r="DF5" s="127"/>
      <c r="DG5" s="127"/>
      <c r="DH5" s="127"/>
      <c r="DI5" s="127"/>
      <c r="DJ5" s="127"/>
      <c r="DK5" s="127"/>
      <c r="DL5" s="127"/>
      <c r="DM5" s="127"/>
      <c r="DN5" s="127"/>
      <c r="DO5" s="127"/>
      <c r="DP5" s="127"/>
      <c r="DQ5" s="127"/>
      <c r="DR5" s="127"/>
      <c r="DS5" s="127"/>
      <c r="DT5" s="127"/>
      <c r="DU5" s="127"/>
      <c r="DV5" s="127"/>
      <c r="DW5" s="127"/>
      <c r="DX5" s="127"/>
      <c r="DY5" s="127"/>
      <c r="DZ5" s="127"/>
      <c r="EA5" s="127"/>
      <c r="EB5" s="127"/>
      <c r="EC5" s="127"/>
      <c r="ED5" s="127"/>
      <c r="EE5" s="127"/>
      <c r="EF5" s="127"/>
      <c r="EG5" s="127"/>
      <c r="EH5" s="127"/>
      <c r="EI5" s="127"/>
      <c r="EJ5" s="127"/>
      <c r="EK5" s="127"/>
      <c r="EL5" s="127"/>
      <c r="EM5" s="127"/>
      <c r="EN5" s="127"/>
      <c r="EO5" s="127"/>
      <c r="EP5" s="127"/>
      <c r="EQ5" s="127"/>
      <c r="ER5" s="127"/>
      <c r="ES5" s="127"/>
      <c r="ET5" s="127"/>
      <c r="EU5" s="127"/>
      <c r="EV5" s="127"/>
      <c r="EW5" s="127"/>
      <c r="EX5" s="127"/>
      <c r="EY5" s="127"/>
      <c r="EZ5" s="127"/>
      <c r="FA5" s="127"/>
      <c r="FB5" s="127"/>
      <c r="FC5" s="127"/>
      <c r="FD5" s="127"/>
      <c r="FE5" s="127"/>
      <c r="FF5" s="127"/>
      <c r="FG5" s="127"/>
      <c r="FH5" s="127"/>
      <c r="FI5" s="127"/>
      <c r="FJ5" s="108"/>
      <c r="FK5" s="2"/>
      <c r="FL5" s="2"/>
      <c r="FM5" s="2"/>
      <c r="FN5" s="2"/>
      <c r="FO5" s="2"/>
      <c r="FP5" s="2"/>
      <c r="FQ5" s="2"/>
      <c r="FR5" s="2"/>
      <c r="FS5" s="2"/>
    </row>
    <row r="6" spans="1:175" s="1" customFormat="1">
      <c r="A6" s="120" t="s">
        <v>241</v>
      </c>
      <c r="B6" s="128" t="s">
        <v>161</v>
      </c>
      <c r="C6" s="142">
        <v>1868.7966779926601</v>
      </c>
      <c r="D6" s="129">
        <v>224.32917082650999</v>
      </c>
      <c r="E6" s="129">
        <v>8545.89987034351</v>
      </c>
      <c r="F6" s="129">
        <v>2547.1274200855901</v>
      </c>
      <c r="G6" s="129">
        <v>61.770111420093698</v>
      </c>
      <c r="H6" s="129">
        <v>307.27017632610699</v>
      </c>
      <c r="I6" s="129">
        <v>109.428497985961</v>
      </c>
      <c r="J6" s="129">
        <v>16450.953889771699</v>
      </c>
      <c r="K6" s="129">
        <v>7451.4867997054998</v>
      </c>
      <c r="L6" s="129">
        <v>65.405478455316995</v>
      </c>
      <c r="M6" s="129">
        <v>117.049158626348</v>
      </c>
      <c r="N6" s="129">
        <v>54.669447294735903</v>
      </c>
      <c r="O6" s="129">
        <v>44.475293138269201</v>
      </c>
      <c r="P6" s="129">
        <v>24.666258594581599</v>
      </c>
      <c r="Q6" s="129">
        <v>25.740455765595399</v>
      </c>
      <c r="R6" s="129">
        <v>56.4448660048728</v>
      </c>
      <c r="S6" s="129">
        <v>106.979707895164</v>
      </c>
      <c r="T6" s="129">
        <v>53.576191197176897</v>
      </c>
      <c r="U6" s="129"/>
      <c r="V6" s="129">
        <v>28879.068857357601</v>
      </c>
      <c r="W6" s="129">
        <v>39396.068143372897</v>
      </c>
      <c r="X6" s="129">
        <v>41105.802990381497</v>
      </c>
      <c r="Y6" s="129">
        <v>57.565387971719304</v>
      </c>
      <c r="Z6" s="129">
        <v>37.098711500337998</v>
      </c>
      <c r="AA6" s="129">
        <v>171249.22355141601</v>
      </c>
      <c r="AB6" s="129">
        <v>27208.880429832599</v>
      </c>
      <c r="AC6" s="129">
        <v>263140.67786559701</v>
      </c>
      <c r="AD6" s="129">
        <v>598.26895758575097</v>
      </c>
      <c r="AE6" s="129">
        <v>6021.6691838131201</v>
      </c>
      <c r="AF6" s="129">
        <v>9078.92915618591</v>
      </c>
      <c r="AG6" s="129">
        <v>497.392397230369</v>
      </c>
      <c r="AH6" s="129">
        <v>1993.4889816120201</v>
      </c>
      <c r="AI6" s="129">
        <v>77.277205237653604</v>
      </c>
      <c r="AJ6" s="129">
        <v>50.6554707273867</v>
      </c>
      <c r="AK6" s="129">
        <v>335.82550312210498</v>
      </c>
      <c r="AL6" s="129">
        <v>71.929895232301206</v>
      </c>
      <c r="AM6" s="129">
        <v>176.44747170390499</v>
      </c>
      <c r="AN6" s="129">
        <v>91.334851878911394</v>
      </c>
      <c r="AO6" s="129">
        <v>33.052582500628098</v>
      </c>
      <c r="AP6" s="129">
        <v>574.79976326146198</v>
      </c>
      <c r="AQ6" s="129">
        <v>882.67190300051595</v>
      </c>
      <c r="AR6" s="129">
        <v>2574.9233236957102</v>
      </c>
      <c r="AS6" s="129">
        <v>10635.565643296401</v>
      </c>
      <c r="AT6" s="129">
        <v>90.682341235006504</v>
      </c>
      <c r="AU6" s="129"/>
      <c r="AV6" s="129">
        <v>240.548423313201</v>
      </c>
      <c r="AW6" s="129">
        <v>84.524825581445697</v>
      </c>
      <c r="AX6" s="129">
        <v>25.609803657918501</v>
      </c>
      <c r="AY6" s="129">
        <v>34.253616001916399</v>
      </c>
      <c r="AZ6" s="129">
        <v>1</v>
      </c>
      <c r="BA6" s="129">
        <v>254.746962396058</v>
      </c>
      <c r="BB6" s="129">
        <v>3161.9874375724098</v>
      </c>
      <c r="BC6" s="129">
        <v>1633.93216224444</v>
      </c>
      <c r="BD6" s="129">
        <v>113.035196534189</v>
      </c>
      <c r="BE6" s="129">
        <v>55.988854105554203</v>
      </c>
      <c r="BF6" s="129">
        <v>320.22802577454399</v>
      </c>
      <c r="BG6" s="129">
        <v>208.69984009604201</v>
      </c>
      <c r="BH6" s="129">
        <v>445.958576837257</v>
      </c>
      <c r="BI6" s="129">
        <v>341.27895708121099</v>
      </c>
      <c r="BJ6" s="129">
        <v>13630.3027413866</v>
      </c>
      <c r="BK6" s="129">
        <v>7636.02017058207</v>
      </c>
      <c r="BL6" s="129">
        <v>1599.11817898667</v>
      </c>
      <c r="BM6" s="129">
        <v>1310.33521651674</v>
      </c>
      <c r="BN6" s="129">
        <v>126.853992934354</v>
      </c>
      <c r="BO6" s="129">
        <v>55.753686781644703</v>
      </c>
      <c r="BP6" s="129">
        <v>97.040827242002706</v>
      </c>
      <c r="BQ6" s="129">
        <v>57.9545644204551</v>
      </c>
      <c r="BR6" s="129">
        <v>933.76941208462597</v>
      </c>
      <c r="BS6" s="129">
        <v>623.39966621973497</v>
      </c>
      <c r="BT6" s="129">
        <v>554.72911919965304</v>
      </c>
      <c r="BU6" s="129">
        <v>192.32088083264799</v>
      </c>
      <c r="BV6" s="129">
        <v>87.483176992257796</v>
      </c>
      <c r="BW6" s="129">
        <v>548.41380772076002</v>
      </c>
      <c r="BX6" s="129">
        <v>2936.8996666801099</v>
      </c>
      <c r="BY6" s="129">
        <v>11293.005458207999</v>
      </c>
      <c r="BZ6" s="129">
        <v>1751.3803440813499</v>
      </c>
      <c r="CA6" s="129">
        <v>363.16871073867497</v>
      </c>
      <c r="CB6" s="129">
        <v>351.13000106289002</v>
      </c>
      <c r="CC6" s="129">
        <v>404.178399261837</v>
      </c>
      <c r="CD6" s="129">
        <v>456.19474087701701</v>
      </c>
      <c r="CE6" s="129">
        <v>1052.9189934256999</v>
      </c>
      <c r="CF6" s="129">
        <v>919.45083980992501</v>
      </c>
      <c r="CG6" s="129">
        <v>45.536501714423203</v>
      </c>
      <c r="CH6" s="129">
        <v>161.78813908120799</v>
      </c>
      <c r="CI6" s="129">
        <v>33.390983623967998</v>
      </c>
      <c r="CJ6" s="130">
        <v>0</v>
      </c>
      <c r="CK6" s="129">
        <v>65.148906925267198</v>
      </c>
      <c r="CL6" s="130">
        <v>0</v>
      </c>
      <c r="CM6" s="129">
        <v>53.8434674472852</v>
      </c>
      <c r="CN6" s="130">
        <v>0</v>
      </c>
      <c r="CO6" s="129">
        <v>36.577855627481398</v>
      </c>
      <c r="CP6" s="129"/>
      <c r="CQ6" s="129">
        <v>22.1465112394961</v>
      </c>
      <c r="CR6" s="130">
        <v>0</v>
      </c>
      <c r="CS6" s="129">
        <v>28.948442746095299</v>
      </c>
      <c r="CT6" s="129">
        <v>0</v>
      </c>
      <c r="CU6" s="129">
        <v>0</v>
      </c>
      <c r="CV6" s="129">
        <v>14.803826965325101</v>
      </c>
      <c r="CW6" s="129">
        <v>55.782361406819</v>
      </c>
      <c r="CX6" s="129">
        <v>29.0807524756997</v>
      </c>
      <c r="CY6" s="129">
        <v>0</v>
      </c>
      <c r="CZ6" s="129">
        <v>34.608214453329502</v>
      </c>
      <c r="DA6" s="129">
        <v>25.427113993523299</v>
      </c>
      <c r="DB6" s="129">
        <v>0</v>
      </c>
      <c r="DC6" s="129">
        <v>22.114535547833199</v>
      </c>
      <c r="DD6" s="129">
        <v>28.752559768059601</v>
      </c>
      <c r="DE6" s="129">
        <v>241.14465704059199</v>
      </c>
      <c r="DF6" s="129">
        <v>201.44556158872999</v>
      </c>
      <c r="DG6" s="129">
        <v>16.227400495436999</v>
      </c>
      <c r="DH6" s="129">
        <v>0</v>
      </c>
      <c r="DI6" s="129">
        <v>0</v>
      </c>
      <c r="DJ6" s="129">
        <v>0</v>
      </c>
      <c r="DK6" s="129">
        <v>0</v>
      </c>
      <c r="DL6" s="129">
        <v>20.001339772883799</v>
      </c>
      <c r="DM6" s="129">
        <v>38.495258750728297</v>
      </c>
      <c r="DN6" s="129">
        <v>0</v>
      </c>
      <c r="DO6" s="129">
        <v>174.29641706970699</v>
      </c>
      <c r="DP6" s="129">
        <v>156.32069676494299</v>
      </c>
      <c r="DQ6" s="129">
        <v>21.277578698312201</v>
      </c>
      <c r="DR6" s="129">
        <v>128.90468280953701</v>
      </c>
      <c r="DS6" s="130">
        <v>0</v>
      </c>
      <c r="DT6" s="130">
        <v>0</v>
      </c>
      <c r="DU6" s="130">
        <v>0</v>
      </c>
      <c r="DV6" s="130">
        <v>0</v>
      </c>
      <c r="DW6" s="130">
        <v>0</v>
      </c>
      <c r="DX6" s="129">
        <v>19.016231907113202</v>
      </c>
      <c r="DY6" s="129">
        <v>15.0834572871799</v>
      </c>
      <c r="DZ6" s="129">
        <v>21.233000241853301</v>
      </c>
      <c r="EA6" s="130">
        <v>0</v>
      </c>
      <c r="EB6" s="130">
        <v>0</v>
      </c>
      <c r="EC6" s="129">
        <v>21.6827075180489</v>
      </c>
      <c r="ED6" s="129">
        <v>12.457333437622101</v>
      </c>
      <c r="EE6" s="130">
        <v>0</v>
      </c>
      <c r="EF6" s="130">
        <v>0</v>
      </c>
      <c r="EG6" s="130">
        <v>0</v>
      </c>
      <c r="EH6" s="130">
        <v>0</v>
      </c>
      <c r="EI6" s="130">
        <v>0</v>
      </c>
      <c r="EJ6" s="130">
        <v>0</v>
      </c>
      <c r="EK6" s="130">
        <v>0</v>
      </c>
      <c r="EL6" s="130">
        <v>0</v>
      </c>
      <c r="EM6" s="130">
        <v>0</v>
      </c>
      <c r="EN6" s="130">
        <v>0</v>
      </c>
      <c r="EO6" s="130">
        <v>0</v>
      </c>
      <c r="EP6" s="130"/>
      <c r="EQ6" s="130">
        <v>0</v>
      </c>
      <c r="ER6" s="129">
        <v>89.4661596338549</v>
      </c>
      <c r="ES6" s="129">
        <v>20.1060784504546</v>
      </c>
      <c r="ET6" s="130">
        <v>0</v>
      </c>
      <c r="EU6" s="130">
        <v>0</v>
      </c>
      <c r="EV6" s="130">
        <v>0</v>
      </c>
      <c r="EW6" s="130">
        <v>0</v>
      </c>
      <c r="EX6" s="130">
        <v>0</v>
      </c>
      <c r="EY6" s="130">
        <v>0</v>
      </c>
      <c r="EZ6" s="129">
        <v>15.4624430718832</v>
      </c>
      <c r="FA6" s="130">
        <v>0</v>
      </c>
      <c r="FB6" s="129">
        <v>18.038046036451899</v>
      </c>
      <c r="FC6" s="130">
        <v>0</v>
      </c>
      <c r="FD6" s="130">
        <v>0</v>
      </c>
      <c r="FE6" s="129">
        <v>29.0807524756997</v>
      </c>
      <c r="FF6" s="129">
        <v>12.6644884200365</v>
      </c>
      <c r="FG6" s="130">
        <v>0</v>
      </c>
      <c r="FH6" s="130">
        <v>0</v>
      </c>
      <c r="FI6" s="130">
        <v>0</v>
      </c>
      <c r="FJ6" s="108"/>
      <c r="FK6" s="15"/>
      <c r="FL6" s="15"/>
    </row>
    <row r="7" spans="1:175" s="1" customFormat="1">
      <c r="A7" s="120" t="s">
        <v>212</v>
      </c>
      <c r="B7" s="128" t="s">
        <v>161</v>
      </c>
      <c r="C7" s="142">
        <v>5570.3628925810699</v>
      </c>
      <c r="D7" s="129">
        <v>554.04351749500097</v>
      </c>
      <c r="E7" s="129">
        <v>15638.4745117685</v>
      </c>
      <c r="F7" s="129">
        <v>5720.3660086104901</v>
      </c>
      <c r="G7" s="129">
        <v>161.05639385920099</v>
      </c>
      <c r="H7" s="129">
        <v>390.04485989620702</v>
      </c>
      <c r="I7" s="129">
        <v>196.58264692749901</v>
      </c>
      <c r="J7" s="129">
        <v>17745.096473311401</v>
      </c>
      <c r="K7" s="129">
        <v>9349.3354832772002</v>
      </c>
      <c r="L7" s="129">
        <v>1286.9783999588501</v>
      </c>
      <c r="M7" s="129">
        <v>37.994527418062603</v>
      </c>
      <c r="N7" s="129">
        <v>148.22066296784701</v>
      </c>
      <c r="O7" s="129">
        <v>36.295435723505904</v>
      </c>
      <c r="P7" s="129">
        <v>42.068141705630197</v>
      </c>
      <c r="Q7" s="129">
        <v>24.659853134355799</v>
      </c>
      <c r="R7" s="129">
        <v>100.665147575468</v>
      </c>
      <c r="S7" s="129">
        <v>118.679030243664</v>
      </c>
      <c r="T7" s="129">
        <v>515.93218427414297</v>
      </c>
      <c r="U7" s="129"/>
      <c r="V7" s="129">
        <v>36159.288825939402</v>
      </c>
      <c r="W7" s="129">
        <v>56904.759667555503</v>
      </c>
      <c r="X7" s="129">
        <v>44662.5479433781</v>
      </c>
      <c r="Y7" s="129">
        <v>78.967167412985205</v>
      </c>
      <c r="Z7" s="129">
        <v>45.978507928963403</v>
      </c>
      <c r="AA7" s="129">
        <v>116937.333015158</v>
      </c>
      <c r="AB7" s="129">
        <v>30134.490264732001</v>
      </c>
      <c r="AC7" s="129">
        <v>286072.02415659803</v>
      </c>
      <c r="AD7" s="129">
        <v>702.56137925887003</v>
      </c>
      <c r="AE7" s="129">
        <v>5070.6500378562696</v>
      </c>
      <c r="AF7" s="129">
        <v>7812.2820945594804</v>
      </c>
      <c r="AG7" s="129">
        <v>586.64379048497403</v>
      </c>
      <c r="AH7" s="129">
        <v>2957.3458170986301</v>
      </c>
      <c r="AI7" s="129">
        <v>64.754751352224105</v>
      </c>
      <c r="AJ7" s="129">
        <v>30.275670867132298</v>
      </c>
      <c r="AK7" s="129">
        <v>631.44142176349999</v>
      </c>
      <c r="AL7" s="129">
        <v>194.60904223580701</v>
      </c>
      <c r="AM7" s="129">
        <v>127.122690074503</v>
      </c>
      <c r="AN7" s="129">
        <v>30.6418626477628</v>
      </c>
      <c r="AO7" s="129">
        <v>131.50139419542199</v>
      </c>
      <c r="AP7" s="129">
        <v>683.59508675159805</v>
      </c>
      <c r="AQ7" s="129">
        <v>774.68234889773203</v>
      </c>
      <c r="AR7" s="129">
        <v>1467.18437488681</v>
      </c>
      <c r="AS7" s="129">
        <v>14842.4853579805</v>
      </c>
      <c r="AT7" s="129">
        <v>63.511908844744703</v>
      </c>
      <c r="AU7" s="129"/>
      <c r="AV7" s="129">
        <v>32.603388478610299</v>
      </c>
      <c r="AW7" s="129">
        <v>46.567521553448401</v>
      </c>
      <c r="AX7" s="129">
        <v>74.656878601230105</v>
      </c>
      <c r="AY7" s="129">
        <v>37.012559719488003</v>
      </c>
      <c r="AZ7" s="129">
        <v>34.336009501912997</v>
      </c>
      <c r="BA7" s="129">
        <v>473.36676167539298</v>
      </c>
      <c r="BB7" s="129">
        <v>3868.4347727361201</v>
      </c>
      <c r="BC7" s="129">
        <v>2971.5333515829602</v>
      </c>
      <c r="BD7" s="129">
        <v>146.62973739909401</v>
      </c>
      <c r="BE7" s="129">
        <v>95.572811046025905</v>
      </c>
      <c r="BF7" s="129">
        <v>468.651091402578</v>
      </c>
      <c r="BG7" s="129">
        <v>179.52688796782101</v>
      </c>
      <c r="BH7" s="129">
        <v>497.26811489907698</v>
      </c>
      <c r="BI7" s="129">
        <v>365.24244283209401</v>
      </c>
      <c r="BJ7" s="129">
        <v>13001.696912726</v>
      </c>
      <c r="BK7" s="129">
        <v>9611.0184183272904</v>
      </c>
      <c r="BL7" s="129">
        <v>2775.82030159134</v>
      </c>
      <c r="BM7" s="129">
        <v>2420.14294693799</v>
      </c>
      <c r="BN7" s="129">
        <v>281.80730957381297</v>
      </c>
      <c r="BO7" s="129">
        <v>91.218284657336497</v>
      </c>
      <c r="BP7" s="129">
        <v>93.748709229780701</v>
      </c>
      <c r="BQ7" s="129">
        <v>146.43271551070899</v>
      </c>
      <c r="BR7" s="129">
        <v>402.45935155721497</v>
      </c>
      <c r="BS7" s="129">
        <v>333.15062739392999</v>
      </c>
      <c r="BT7" s="129">
        <v>521.66907901091395</v>
      </c>
      <c r="BU7" s="129">
        <v>110.135789382944</v>
      </c>
      <c r="BV7" s="129">
        <v>39.420764757735597</v>
      </c>
      <c r="BW7" s="129">
        <v>429.85544944120898</v>
      </c>
      <c r="BX7" s="129">
        <v>3801.0069581254602</v>
      </c>
      <c r="BY7" s="129">
        <v>8700.7917542452706</v>
      </c>
      <c r="BZ7" s="129">
        <v>3082.4572246019402</v>
      </c>
      <c r="CA7" s="129">
        <v>560.65782765875804</v>
      </c>
      <c r="CB7" s="129">
        <v>350.070969475212</v>
      </c>
      <c r="CC7" s="129">
        <v>168.45851412367099</v>
      </c>
      <c r="CD7" s="129">
        <v>1039.3837467696401</v>
      </c>
      <c r="CE7" s="129">
        <v>1658.45939330134</v>
      </c>
      <c r="CF7" s="129">
        <v>1028.9863125919201</v>
      </c>
      <c r="CG7" s="129">
        <v>29.322087568119102</v>
      </c>
      <c r="CH7" s="129">
        <v>108.30566507727001</v>
      </c>
      <c r="CI7" s="130">
        <v>0</v>
      </c>
      <c r="CJ7" s="130">
        <v>0</v>
      </c>
      <c r="CK7" s="129">
        <v>31.2015614068372</v>
      </c>
      <c r="CL7" s="129">
        <v>26.649746891199801</v>
      </c>
      <c r="CM7" s="129">
        <v>45.482244909185802</v>
      </c>
      <c r="CN7" s="129">
        <v>23.927359579268099</v>
      </c>
      <c r="CO7" s="129">
        <v>58.870522641746703</v>
      </c>
      <c r="CP7" s="129"/>
      <c r="CQ7" s="130">
        <v>0</v>
      </c>
      <c r="CR7" s="130">
        <v>0</v>
      </c>
      <c r="CS7" s="129">
        <v>12.996132340029099</v>
      </c>
      <c r="CT7" s="129">
        <v>0</v>
      </c>
      <c r="CU7" s="129">
        <v>0</v>
      </c>
      <c r="CV7" s="129">
        <v>0</v>
      </c>
      <c r="CW7" s="129">
        <v>16.8611569406219</v>
      </c>
      <c r="CX7" s="129">
        <v>36.818457047706701</v>
      </c>
      <c r="CY7" s="129">
        <v>0</v>
      </c>
      <c r="CZ7" s="129">
        <v>31.5585570854171</v>
      </c>
      <c r="DA7" s="129">
        <v>63.212635308623199</v>
      </c>
      <c r="DB7" s="129">
        <v>25.117597752142299</v>
      </c>
      <c r="DC7" s="129" t="s">
        <v>159</v>
      </c>
      <c r="DD7" s="129">
        <v>0</v>
      </c>
      <c r="DE7" s="129">
        <v>160.791528694687</v>
      </c>
      <c r="DF7" s="129">
        <v>241.66915785184099</v>
      </c>
      <c r="DG7" s="129" t="s">
        <v>159</v>
      </c>
      <c r="DH7" s="129">
        <v>0</v>
      </c>
      <c r="DI7" s="129">
        <v>0</v>
      </c>
      <c r="DJ7" s="129">
        <v>0</v>
      </c>
      <c r="DK7" s="129">
        <v>44.119497750723902</v>
      </c>
      <c r="DL7" s="129">
        <v>0</v>
      </c>
      <c r="DM7" s="129">
        <v>46.259403746698403</v>
      </c>
      <c r="DN7" s="129">
        <v>0</v>
      </c>
      <c r="DO7" s="129">
        <v>20.627808630477499</v>
      </c>
      <c r="DP7" s="129">
        <v>121.063463832696</v>
      </c>
      <c r="DQ7" s="129">
        <v>80.666193615980006</v>
      </c>
      <c r="DR7" s="129">
        <v>45.732192257295502</v>
      </c>
      <c r="DS7" s="129">
        <v>17.1282770371147</v>
      </c>
      <c r="DT7" s="129">
        <v>20.033794289927801</v>
      </c>
      <c r="DU7" s="130">
        <v>0</v>
      </c>
      <c r="DV7" s="130">
        <v>0</v>
      </c>
      <c r="DW7" s="130">
        <v>0</v>
      </c>
      <c r="DX7" s="130">
        <v>0</v>
      </c>
      <c r="DY7" s="130">
        <v>0</v>
      </c>
      <c r="DZ7" s="130">
        <v>0</v>
      </c>
      <c r="EA7" s="130">
        <v>0</v>
      </c>
      <c r="EB7" s="130">
        <v>0</v>
      </c>
      <c r="EC7" s="129">
        <v>13.1112756482229</v>
      </c>
      <c r="ED7" s="130">
        <v>0</v>
      </c>
      <c r="EE7" s="129">
        <v>31.242398872787799</v>
      </c>
      <c r="EF7" s="130">
        <v>0</v>
      </c>
      <c r="EG7" s="130">
        <v>0</v>
      </c>
      <c r="EH7" s="130">
        <v>0</v>
      </c>
      <c r="EI7" s="130">
        <v>0</v>
      </c>
      <c r="EJ7" s="130">
        <v>0</v>
      </c>
      <c r="EK7" s="130">
        <v>0</v>
      </c>
      <c r="EL7" s="130">
        <v>0</v>
      </c>
      <c r="EM7" s="130">
        <v>0</v>
      </c>
      <c r="EN7" s="130">
        <v>0</v>
      </c>
      <c r="EO7" s="129">
        <v>38.233792571441001</v>
      </c>
      <c r="EP7" s="129"/>
      <c r="EQ7" s="130">
        <v>0</v>
      </c>
      <c r="ER7" s="129">
        <v>42.662089478060103</v>
      </c>
      <c r="ES7" s="130">
        <v>0</v>
      </c>
      <c r="ET7" s="130">
        <v>0</v>
      </c>
      <c r="EU7" s="130">
        <v>0</v>
      </c>
      <c r="EV7" s="130">
        <v>0</v>
      </c>
      <c r="EW7" s="130">
        <v>0</v>
      </c>
      <c r="EX7" s="129">
        <v>15.6935074270235</v>
      </c>
      <c r="EY7" s="129">
        <v>99.059203045556004</v>
      </c>
      <c r="EZ7" s="130">
        <v>0</v>
      </c>
      <c r="FA7" s="130">
        <v>0</v>
      </c>
      <c r="FB7" s="129">
        <v>28.2655877146154</v>
      </c>
      <c r="FC7" s="130">
        <v>0</v>
      </c>
      <c r="FD7" s="130">
        <v>0</v>
      </c>
      <c r="FE7" s="129">
        <v>36.818457047706701</v>
      </c>
      <c r="FF7" s="130">
        <v>0</v>
      </c>
      <c r="FG7" s="129">
        <v>18.9465557405072</v>
      </c>
      <c r="FH7" s="130">
        <v>0</v>
      </c>
      <c r="FI7" s="130">
        <v>0</v>
      </c>
      <c r="FJ7" s="108"/>
      <c r="FK7" s="15"/>
      <c r="FL7" s="15"/>
    </row>
    <row r="8" spans="1:175" s="1" customFormat="1">
      <c r="A8" s="120" t="s">
        <v>242</v>
      </c>
      <c r="B8" s="128" t="s">
        <v>161</v>
      </c>
      <c r="C8" s="142">
        <v>1063.79078853533</v>
      </c>
      <c r="D8" s="129">
        <v>166.734111470106</v>
      </c>
      <c r="E8" s="129">
        <v>3623.57257262131</v>
      </c>
      <c r="F8" s="129">
        <v>1581.5408569833401</v>
      </c>
      <c r="G8" s="129">
        <v>121.95984699826001</v>
      </c>
      <c r="H8" s="129">
        <v>143.37614709142599</v>
      </c>
      <c r="I8" s="129">
        <v>114.122230995118</v>
      </c>
      <c r="J8" s="129">
        <v>12744.060659693399</v>
      </c>
      <c r="K8" s="129">
        <v>5933.5314790355897</v>
      </c>
      <c r="L8" s="129">
        <v>684.51264259180198</v>
      </c>
      <c r="M8" s="129">
        <v>83.311610360895003</v>
      </c>
      <c r="N8" s="129">
        <v>58.251776645891603</v>
      </c>
      <c r="O8" s="129">
        <v>41.7451434653536</v>
      </c>
      <c r="P8" s="129">
        <v>28.268837019180399</v>
      </c>
      <c r="Q8" s="129">
        <v>1</v>
      </c>
      <c r="R8" s="129">
        <v>80.269490725309694</v>
      </c>
      <c r="S8" s="129">
        <v>63.913428609546202</v>
      </c>
      <c r="T8" s="129">
        <v>116.21535065011101</v>
      </c>
      <c r="U8" s="129"/>
      <c r="V8" s="129">
        <v>40961.062868901899</v>
      </c>
      <c r="W8" s="129">
        <v>48885.192552166904</v>
      </c>
      <c r="X8" s="129">
        <v>46084.5062554053</v>
      </c>
      <c r="Y8" s="129">
        <v>79.1208035988071</v>
      </c>
      <c r="Z8" s="129">
        <v>45.690288311821902</v>
      </c>
      <c r="AA8" s="129">
        <v>108092.063531798</v>
      </c>
      <c r="AB8" s="129">
        <v>18418.627413746599</v>
      </c>
      <c r="AC8" s="129">
        <v>180418.330317732</v>
      </c>
      <c r="AD8" s="129">
        <v>569.633916219056</v>
      </c>
      <c r="AE8" s="129">
        <v>3254.4216288764401</v>
      </c>
      <c r="AF8" s="129">
        <v>6391.8180426889703</v>
      </c>
      <c r="AG8" s="129">
        <v>196.79801624300501</v>
      </c>
      <c r="AH8" s="129">
        <v>2786.09225838359</v>
      </c>
      <c r="AI8" s="129">
        <v>83.824018655931596</v>
      </c>
      <c r="AJ8" s="129">
        <v>72.510063195697199</v>
      </c>
      <c r="AK8" s="129">
        <v>263.863381214931</v>
      </c>
      <c r="AL8" s="129">
        <v>61.481163845223598</v>
      </c>
      <c r="AM8" s="129">
        <v>75.610408767002795</v>
      </c>
      <c r="AN8" s="129">
        <v>42.9672587785819</v>
      </c>
      <c r="AO8" s="129">
        <v>43.956463706944398</v>
      </c>
      <c r="AP8" s="129">
        <v>427.21562656484298</v>
      </c>
      <c r="AQ8" s="129">
        <v>621.90104110966502</v>
      </c>
      <c r="AR8" s="129">
        <v>1566.8206634068299</v>
      </c>
      <c r="AS8" s="129">
        <v>11559.194171249101</v>
      </c>
      <c r="AT8" s="129">
        <v>81.213343672133405</v>
      </c>
      <c r="AU8" s="129"/>
      <c r="AV8" s="129">
        <v>74.755045723102</v>
      </c>
      <c r="AW8" s="129">
        <v>1</v>
      </c>
      <c r="AX8" s="129">
        <v>36.151090755309603</v>
      </c>
      <c r="AY8" s="129">
        <v>41.056708735227602</v>
      </c>
      <c r="AZ8" s="129">
        <v>1</v>
      </c>
      <c r="BA8" s="129">
        <v>180.160065973272</v>
      </c>
      <c r="BB8" s="129">
        <v>1089.37314460996</v>
      </c>
      <c r="BC8" s="129">
        <v>761.34586590538902</v>
      </c>
      <c r="BD8" s="129">
        <v>25.103069885415199</v>
      </c>
      <c r="BE8" s="129">
        <v>42.168229226836203</v>
      </c>
      <c r="BF8" s="129">
        <v>114.85287869979901</v>
      </c>
      <c r="BG8" s="129">
        <v>35.465980684449399</v>
      </c>
      <c r="BH8" s="129">
        <v>318.90924913960799</v>
      </c>
      <c r="BI8" s="129">
        <v>59.4084949907853</v>
      </c>
      <c r="BJ8" s="129">
        <v>3235.1417639229699</v>
      </c>
      <c r="BK8" s="129">
        <v>3004.9446215007401</v>
      </c>
      <c r="BL8" s="129">
        <v>761.71200388083798</v>
      </c>
      <c r="BM8" s="129">
        <v>516.09053196148295</v>
      </c>
      <c r="BN8" s="129">
        <v>75.968849591441696</v>
      </c>
      <c r="BO8" s="129">
        <v>97.353901138062895</v>
      </c>
      <c r="BP8" s="129">
        <v>85.760362877049602</v>
      </c>
      <c r="BQ8" s="129">
        <v>68.166547214887203</v>
      </c>
      <c r="BR8" s="129">
        <v>99.738238669948103</v>
      </c>
      <c r="BS8" s="129">
        <v>229.21115060052099</v>
      </c>
      <c r="BT8" s="129">
        <v>133.57572439819799</v>
      </c>
      <c r="BU8" s="129">
        <v>28.663159928224101</v>
      </c>
      <c r="BV8" s="129">
        <v>66.916249456724998</v>
      </c>
      <c r="BW8" s="129">
        <v>51.790229837099602</v>
      </c>
      <c r="BX8" s="129">
        <v>779.13386541238901</v>
      </c>
      <c r="BY8" s="129">
        <v>2504.19021942073</v>
      </c>
      <c r="BZ8" s="129">
        <v>492.306905477464</v>
      </c>
      <c r="CA8" s="129">
        <v>361.88615012746197</v>
      </c>
      <c r="CB8" s="129">
        <v>132.85447841738801</v>
      </c>
      <c r="CC8" s="129">
        <v>106.27220725218299</v>
      </c>
      <c r="CD8" s="129">
        <v>135.284148577156</v>
      </c>
      <c r="CE8" s="129">
        <v>373.86769220919899</v>
      </c>
      <c r="CF8" s="129">
        <v>384.59163900462198</v>
      </c>
      <c r="CG8" s="129">
        <v>54.2998077639214</v>
      </c>
      <c r="CH8" s="129">
        <v>291.143663020004</v>
      </c>
      <c r="CI8" s="129">
        <v>36.184306143860198</v>
      </c>
      <c r="CJ8" s="130">
        <v>0</v>
      </c>
      <c r="CK8" s="129">
        <v>47.389110982712801</v>
      </c>
      <c r="CL8" s="130">
        <v>0</v>
      </c>
      <c r="CM8" s="129">
        <v>50.574014685180998</v>
      </c>
      <c r="CN8" s="130">
        <v>0</v>
      </c>
      <c r="CO8" s="129">
        <v>25.638933632719102</v>
      </c>
      <c r="CP8" s="129"/>
      <c r="CQ8" s="130">
        <v>0</v>
      </c>
      <c r="CR8" s="130">
        <v>0</v>
      </c>
      <c r="CS8" s="129">
        <v>0</v>
      </c>
      <c r="CT8" s="129">
        <v>23.396515310003</v>
      </c>
      <c r="CU8" s="129">
        <v>0</v>
      </c>
      <c r="CV8" s="129">
        <v>0</v>
      </c>
      <c r="CW8" s="129">
        <v>61.749792558500197</v>
      </c>
      <c r="CX8" s="129">
        <v>196.00653053097901</v>
      </c>
      <c r="CY8" s="129">
        <v>0</v>
      </c>
      <c r="CZ8" s="129">
        <v>30.865925647771</v>
      </c>
      <c r="DA8" s="129">
        <v>98.348243984135095</v>
      </c>
      <c r="DB8" s="129">
        <v>135.66351832491901</v>
      </c>
      <c r="DC8" s="129">
        <v>0</v>
      </c>
      <c r="DD8" s="129">
        <v>53.198216747808601</v>
      </c>
      <c r="DE8" s="129">
        <v>777.13133002893699</v>
      </c>
      <c r="DF8" s="129">
        <v>430.90726424446802</v>
      </c>
      <c r="DG8" s="129">
        <v>58.321859831628103</v>
      </c>
      <c r="DH8" s="129">
        <v>0</v>
      </c>
      <c r="DI8" s="129">
        <v>0</v>
      </c>
      <c r="DJ8" s="129">
        <v>17.0767693883638</v>
      </c>
      <c r="DK8" s="129">
        <v>33.624171985297103</v>
      </c>
      <c r="DL8" s="129">
        <v>40.589166528099703</v>
      </c>
      <c r="DM8" s="129">
        <v>62.804118754064298</v>
      </c>
      <c r="DN8" s="129">
        <v>0</v>
      </c>
      <c r="DO8" s="129">
        <v>271.97616412211897</v>
      </c>
      <c r="DP8" s="129">
        <v>315.44711013391901</v>
      </c>
      <c r="DQ8" s="129">
        <v>90.599280385298499</v>
      </c>
      <c r="DR8" s="129">
        <v>129.056717324359</v>
      </c>
      <c r="DS8" s="130">
        <v>0</v>
      </c>
      <c r="DT8" s="130">
        <v>0</v>
      </c>
      <c r="DU8" s="129">
        <v>28.847791849638401</v>
      </c>
      <c r="DV8" s="130">
        <v>0</v>
      </c>
      <c r="DW8" s="130">
        <v>0</v>
      </c>
      <c r="DX8" s="129">
        <v>20.052704540566499</v>
      </c>
      <c r="DY8" s="130">
        <v>0</v>
      </c>
      <c r="DZ8" s="130">
        <v>0</v>
      </c>
      <c r="EA8" s="130">
        <v>0</v>
      </c>
      <c r="EB8" s="130">
        <v>0</v>
      </c>
      <c r="EC8" s="129">
        <v>21.0023640288195</v>
      </c>
      <c r="ED8" s="129">
        <v>49.021462058917201</v>
      </c>
      <c r="EE8" s="129">
        <v>52.101125644784098</v>
      </c>
      <c r="EF8" s="129">
        <v>47.124824840953004</v>
      </c>
      <c r="EG8" s="129">
        <v>18.3334474103304</v>
      </c>
      <c r="EH8" s="129">
        <v>26.969717030152299</v>
      </c>
      <c r="EI8" s="130">
        <v>0</v>
      </c>
      <c r="EJ8" s="130">
        <v>0</v>
      </c>
      <c r="EK8" s="130">
        <v>0</v>
      </c>
      <c r="EL8" s="129">
        <v>35.339509575182703</v>
      </c>
      <c r="EM8" s="130">
        <v>0</v>
      </c>
      <c r="EN8" s="130">
        <v>0</v>
      </c>
      <c r="EO8" s="129">
        <v>24.699865047115299</v>
      </c>
      <c r="EP8" s="129"/>
      <c r="EQ8" s="129">
        <v>125.54135978702899</v>
      </c>
      <c r="ER8" s="129">
        <v>190.20617883569099</v>
      </c>
      <c r="ES8" s="130">
        <v>0</v>
      </c>
      <c r="ET8" s="130">
        <v>0</v>
      </c>
      <c r="EU8" s="130">
        <v>0</v>
      </c>
      <c r="EV8" s="129">
        <v>19.8596936200234</v>
      </c>
      <c r="EW8" s="130" t="s">
        <v>166</v>
      </c>
      <c r="EX8" s="130">
        <v>0</v>
      </c>
      <c r="EY8" s="129">
        <v>45.810894664352503</v>
      </c>
      <c r="EZ8" s="130">
        <v>0</v>
      </c>
      <c r="FA8" s="130">
        <v>0</v>
      </c>
      <c r="FB8" s="129">
        <v>16.549694632074001</v>
      </c>
      <c r="FC8" s="130">
        <v>0</v>
      </c>
      <c r="FD8" s="129">
        <v>31.444012314948701</v>
      </c>
      <c r="FE8" s="129">
        <v>196.00653053097901</v>
      </c>
      <c r="FF8" s="129">
        <v>19.5950278446741</v>
      </c>
      <c r="FG8" s="129">
        <v>23.8801935945874</v>
      </c>
      <c r="FH8" s="130">
        <v>0</v>
      </c>
      <c r="FI8" s="130">
        <v>0</v>
      </c>
      <c r="FJ8" s="108"/>
      <c r="FK8" s="15"/>
      <c r="FL8" s="15"/>
    </row>
    <row r="9" spans="1:175" s="1" customFormat="1">
      <c r="A9" s="120" t="s">
        <v>243</v>
      </c>
      <c r="B9" s="128" t="s">
        <v>169</v>
      </c>
      <c r="C9" s="143">
        <v>2297.1335916492199</v>
      </c>
      <c r="D9" s="131">
        <v>95.365250541673504</v>
      </c>
      <c r="E9" s="131">
        <v>6136.6562310366298</v>
      </c>
      <c r="F9" s="131">
        <v>3036.9443231329101</v>
      </c>
      <c r="G9" s="131">
        <v>422.64357740628901</v>
      </c>
      <c r="H9" s="131">
        <v>134.39442477346799</v>
      </c>
      <c r="I9" s="131">
        <v>393.01431530641599</v>
      </c>
      <c r="J9" s="131">
        <v>14510.0396994286</v>
      </c>
      <c r="K9" s="131">
        <v>7427.1254952286099</v>
      </c>
      <c r="L9" s="131">
        <v>152.92457522695199</v>
      </c>
      <c r="M9" s="131">
        <v>44.321468303096601</v>
      </c>
      <c r="N9" s="131">
        <v>47.064985903142201</v>
      </c>
      <c r="O9" s="131">
        <v>39.615550662068202</v>
      </c>
      <c r="P9" s="131">
        <v>27.786198153955699</v>
      </c>
      <c r="Q9" s="131">
        <v>1</v>
      </c>
      <c r="R9" s="131">
        <v>36.930192269030798</v>
      </c>
      <c r="S9" s="131">
        <v>38.105281728738703</v>
      </c>
      <c r="T9" s="131">
        <v>555.97514694400297</v>
      </c>
      <c r="U9" s="131"/>
      <c r="V9" s="131">
        <v>65206.035679146298</v>
      </c>
      <c r="W9" s="131">
        <v>75145.234099875102</v>
      </c>
      <c r="X9" s="131">
        <v>45883.560720038702</v>
      </c>
      <c r="Y9" s="131">
        <v>88.713878219548107</v>
      </c>
      <c r="Z9" s="131">
        <v>97.1969758083861</v>
      </c>
      <c r="AA9" s="131">
        <v>188937.957022052</v>
      </c>
      <c r="AB9" s="131">
        <v>36437.443851094598</v>
      </c>
      <c r="AC9" s="131">
        <v>329664.32406358898</v>
      </c>
      <c r="AD9" s="131">
        <v>1080.35014611511</v>
      </c>
      <c r="AE9" s="131">
        <v>30049.943261547302</v>
      </c>
      <c r="AF9" s="131">
        <v>19848.715576743001</v>
      </c>
      <c r="AG9" s="131">
        <v>2057.5939664965899</v>
      </c>
      <c r="AH9" s="131">
        <v>3193.1975815364999</v>
      </c>
      <c r="AI9" s="131">
        <v>91.244249800451897</v>
      </c>
      <c r="AJ9" s="131">
        <v>85.195116158055598</v>
      </c>
      <c r="AK9" s="131">
        <v>411.40532647983798</v>
      </c>
      <c r="AL9" s="131">
        <v>231.56325279501999</v>
      </c>
      <c r="AM9" s="131">
        <v>49.9787840402131</v>
      </c>
      <c r="AN9" s="131">
        <v>52.878843445838903</v>
      </c>
      <c r="AO9" s="131">
        <v>27.9836794760317</v>
      </c>
      <c r="AP9" s="131">
        <v>614.97481397818297</v>
      </c>
      <c r="AQ9" s="131">
        <v>1049.5953751883401</v>
      </c>
      <c r="AR9" s="131">
        <v>2037.6389390320901</v>
      </c>
      <c r="AS9" s="131">
        <v>14653.5878932096</v>
      </c>
      <c r="AT9" s="131">
        <v>35.392018161361896</v>
      </c>
      <c r="AU9" s="131"/>
      <c r="AV9" s="131">
        <v>140.07951802305001</v>
      </c>
      <c r="AW9" s="131">
        <v>36.9142619396711</v>
      </c>
      <c r="AX9" s="131">
        <v>118.061674850839</v>
      </c>
      <c r="AY9" s="131">
        <v>70.420500758612704</v>
      </c>
      <c r="AZ9" s="131">
        <v>29.920917698773099</v>
      </c>
      <c r="BA9" s="131">
        <v>164.921568935941</v>
      </c>
      <c r="BB9" s="131">
        <v>1230.96450619135</v>
      </c>
      <c r="BC9" s="131">
        <v>1038.0644252388599</v>
      </c>
      <c r="BD9" s="131">
        <v>77.173176388934806</v>
      </c>
      <c r="BE9" s="131">
        <v>1</v>
      </c>
      <c r="BF9" s="131">
        <v>157.993204628451</v>
      </c>
      <c r="BG9" s="131">
        <v>183.25359484867499</v>
      </c>
      <c r="BH9" s="131">
        <v>320.68371579466401</v>
      </c>
      <c r="BI9" s="131">
        <v>314.667776336386</v>
      </c>
      <c r="BJ9" s="131">
        <v>6020.6780506222904</v>
      </c>
      <c r="BK9" s="131">
        <v>5613.3686792765102</v>
      </c>
      <c r="BL9" s="131">
        <v>939.87140478287301</v>
      </c>
      <c r="BM9" s="131">
        <v>1179.2365635942299</v>
      </c>
      <c r="BN9" s="131">
        <v>195.134338473382</v>
      </c>
      <c r="BO9" s="131">
        <v>41.013404607536899</v>
      </c>
      <c r="BP9" s="131">
        <v>95.758911818570198</v>
      </c>
      <c r="BQ9" s="131">
        <v>30.821148260584799</v>
      </c>
      <c r="BR9" s="131">
        <v>242.778389829037</v>
      </c>
      <c r="BS9" s="131">
        <v>347.39907153060801</v>
      </c>
      <c r="BT9" s="131">
        <v>325.60965312302102</v>
      </c>
      <c r="BU9" s="131">
        <v>40.011263518610598</v>
      </c>
      <c r="BV9" s="131">
        <v>115.31252565702999</v>
      </c>
      <c r="BW9" s="131">
        <v>359.17965937313198</v>
      </c>
      <c r="BX9" s="131">
        <v>1790.58429752652</v>
      </c>
      <c r="BY9" s="131">
        <v>4843.3702665012097</v>
      </c>
      <c r="BZ9" s="131">
        <v>1362.5992025477001</v>
      </c>
      <c r="CA9" s="131">
        <v>307.969447196955</v>
      </c>
      <c r="CB9" s="131">
        <v>148.11490691294199</v>
      </c>
      <c r="CC9" s="131">
        <v>132.93461598951501</v>
      </c>
      <c r="CD9" s="131">
        <v>369.80815782735402</v>
      </c>
      <c r="CE9" s="131">
        <v>695.89137256220295</v>
      </c>
      <c r="CF9" s="131">
        <v>372.76460153088902</v>
      </c>
      <c r="CG9" s="131">
        <v>45.946241086202697</v>
      </c>
      <c r="CH9" s="131">
        <v>199.621260162482</v>
      </c>
      <c r="CI9" s="131">
        <v>37.160037611755399</v>
      </c>
      <c r="CJ9" s="130">
        <v>0</v>
      </c>
      <c r="CK9" s="131">
        <v>38.229456993911697</v>
      </c>
      <c r="CL9" s="130">
        <v>0</v>
      </c>
      <c r="CM9" s="131">
        <v>45.020203577494797</v>
      </c>
      <c r="CN9" s="131">
        <v>62.732840715968997</v>
      </c>
      <c r="CO9" s="131">
        <v>25.481043130796198</v>
      </c>
      <c r="CP9" s="131"/>
      <c r="CQ9" s="130">
        <v>0</v>
      </c>
      <c r="CR9" s="130">
        <v>0</v>
      </c>
      <c r="CS9" s="129">
        <v>0</v>
      </c>
      <c r="CT9" s="129">
        <v>0</v>
      </c>
      <c r="CU9" s="129">
        <v>0</v>
      </c>
      <c r="CV9" s="129">
        <v>0</v>
      </c>
      <c r="CW9" s="131">
        <v>28.3629512760001</v>
      </c>
      <c r="CX9" s="131">
        <v>37.373427540825602</v>
      </c>
      <c r="CY9" s="131">
        <v>16.065495169089299</v>
      </c>
      <c r="CZ9" s="131">
        <v>46.203470578991897</v>
      </c>
      <c r="DA9" s="129">
        <v>0</v>
      </c>
      <c r="DB9" s="131">
        <v>26.999021008214601</v>
      </c>
      <c r="DC9" s="129">
        <v>0</v>
      </c>
      <c r="DD9" s="131">
        <v>86.657185613827806</v>
      </c>
      <c r="DE9" s="131">
        <v>93.176772663757404</v>
      </c>
      <c r="DF9" s="131">
        <v>125.237290542686</v>
      </c>
      <c r="DG9" s="129">
        <v>0</v>
      </c>
      <c r="DH9" s="131">
        <v>0</v>
      </c>
      <c r="DI9" s="129">
        <v>0</v>
      </c>
      <c r="DJ9" s="129">
        <v>0</v>
      </c>
      <c r="DK9" s="129">
        <v>0</v>
      </c>
      <c r="DL9" s="131">
        <v>27.3889125887742</v>
      </c>
      <c r="DM9" s="131">
        <v>26.186728480092299</v>
      </c>
      <c r="DN9" s="131">
        <v>52.559658243058202</v>
      </c>
      <c r="DO9" s="131">
        <v>71.359673926484504</v>
      </c>
      <c r="DP9" s="131">
        <v>112.409388148982</v>
      </c>
      <c r="DQ9" s="131" t="s">
        <v>159</v>
      </c>
      <c r="DR9" s="131">
        <v>28.713842375732099</v>
      </c>
      <c r="DS9" s="130">
        <v>0</v>
      </c>
      <c r="DT9" s="130">
        <v>0</v>
      </c>
      <c r="DU9" s="130">
        <v>0</v>
      </c>
      <c r="DV9" s="130">
        <v>0</v>
      </c>
      <c r="DW9" s="130">
        <v>0</v>
      </c>
      <c r="DX9" s="130">
        <v>0</v>
      </c>
      <c r="DY9" s="130">
        <v>0</v>
      </c>
      <c r="DZ9" s="130">
        <v>0</v>
      </c>
      <c r="EA9" s="130">
        <v>0</v>
      </c>
      <c r="EB9" s="130">
        <v>0</v>
      </c>
      <c r="EC9" s="131">
        <v>26.412024925600299</v>
      </c>
      <c r="ED9" s="130">
        <v>0</v>
      </c>
      <c r="EE9" s="131">
        <v>17.576965019561101</v>
      </c>
      <c r="EF9" s="131">
        <v>54.044680277786497</v>
      </c>
      <c r="EG9" s="130">
        <v>0</v>
      </c>
      <c r="EH9" s="131">
        <v>21.196356476505599</v>
      </c>
      <c r="EI9" s="130">
        <v>0</v>
      </c>
      <c r="EJ9" s="131">
        <v>21.637427329668199</v>
      </c>
      <c r="EK9" s="130">
        <v>0</v>
      </c>
      <c r="EL9" s="131">
        <v>16.8955793207634</v>
      </c>
      <c r="EM9" s="130">
        <v>0</v>
      </c>
      <c r="EN9" s="130">
        <v>0</v>
      </c>
      <c r="EO9" s="131">
        <v>27.048238902849601</v>
      </c>
      <c r="EP9" s="131"/>
      <c r="EQ9" s="131">
        <v>13.710361137761399</v>
      </c>
      <c r="ER9" s="131">
        <v>51.318463152925602</v>
      </c>
      <c r="ES9" s="130">
        <v>0</v>
      </c>
      <c r="ET9" s="130">
        <v>0</v>
      </c>
      <c r="EU9" s="130">
        <v>0</v>
      </c>
      <c r="EV9" s="130">
        <v>0</v>
      </c>
      <c r="EW9" s="130">
        <v>0</v>
      </c>
      <c r="EX9" s="131">
        <v>15.660233694560199</v>
      </c>
      <c r="EY9" s="130">
        <v>0</v>
      </c>
      <c r="EZ9" s="131">
        <v>25.242289122413599</v>
      </c>
      <c r="FA9" s="130">
        <v>0</v>
      </c>
      <c r="FB9" s="130">
        <v>0</v>
      </c>
      <c r="FC9" s="130">
        <v>0</v>
      </c>
      <c r="FD9" s="130">
        <v>0</v>
      </c>
      <c r="FE9" s="131">
        <v>37.373427540825602</v>
      </c>
      <c r="FF9" s="130">
        <v>0</v>
      </c>
      <c r="FG9" s="130">
        <v>0</v>
      </c>
      <c r="FH9" s="130">
        <v>0</v>
      </c>
      <c r="FI9" s="130">
        <v>0</v>
      </c>
      <c r="FJ9" s="108"/>
      <c r="FK9" s="15"/>
      <c r="FL9" s="15"/>
    </row>
    <row r="10" spans="1:175" s="1" customFormat="1">
      <c r="A10" s="120" t="s">
        <v>244</v>
      </c>
      <c r="B10" s="128" t="s">
        <v>169</v>
      </c>
      <c r="C10" s="143">
        <v>2363.5614297331499</v>
      </c>
      <c r="D10" s="131">
        <v>110.79436053904</v>
      </c>
      <c r="E10" s="131">
        <v>6594.9112786257801</v>
      </c>
      <c r="F10" s="131">
        <v>2656.9703627640502</v>
      </c>
      <c r="G10" s="131">
        <v>275.40973416949799</v>
      </c>
      <c r="H10" s="131">
        <v>532.80169209747396</v>
      </c>
      <c r="I10" s="131">
        <v>164.57950952846201</v>
      </c>
      <c r="J10" s="131">
        <v>19808.161859437401</v>
      </c>
      <c r="K10" s="131">
        <v>10636.2888403752</v>
      </c>
      <c r="L10" s="131">
        <v>794.09376874303996</v>
      </c>
      <c r="M10" s="131">
        <v>115.266603424458</v>
      </c>
      <c r="N10" s="131">
        <v>87.765260363363396</v>
      </c>
      <c r="O10" s="131">
        <v>37.799418898910702</v>
      </c>
      <c r="P10" s="131">
        <v>75.632793750373395</v>
      </c>
      <c r="Q10" s="131">
        <v>1</v>
      </c>
      <c r="R10" s="131">
        <v>35.265640005421602</v>
      </c>
      <c r="S10" s="131">
        <v>32.730285963870401</v>
      </c>
      <c r="T10" s="131">
        <v>626.04320795447302</v>
      </c>
      <c r="U10" s="131"/>
      <c r="V10" s="131">
        <v>65703.267509150406</v>
      </c>
      <c r="W10" s="131">
        <v>77692.945945733401</v>
      </c>
      <c r="X10" s="131">
        <v>45542.163529279896</v>
      </c>
      <c r="Y10" s="131">
        <v>37.160886716906802</v>
      </c>
      <c r="Z10" s="131">
        <v>41.419407450486901</v>
      </c>
      <c r="AA10" s="131">
        <v>204889.210631225</v>
      </c>
      <c r="AB10" s="131">
        <v>34185.899267430003</v>
      </c>
      <c r="AC10" s="131">
        <v>314467.53131705301</v>
      </c>
      <c r="AD10" s="131">
        <v>251.962383101363</v>
      </c>
      <c r="AE10" s="131">
        <v>9506.44830831933</v>
      </c>
      <c r="AF10" s="131">
        <v>14474.601450853001</v>
      </c>
      <c r="AG10" s="131">
        <v>1046.7422271491901</v>
      </c>
      <c r="AH10" s="131">
        <v>2079.2369766900101</v>
      </c>
      <c r="AI10" s="131">
        <v>47.218071248251803</v>
      </c>
      <c r="AJ10" s="131">
        <v>36.539253250264601</v>
      </c>
      <c r="AK10" s="131">
        <v>296.43944852475698</v>
      </c>
      <c r="AL10" s="131">
        <v>66.778656135430893</v>
      </c>
      <c r="AM10" s="131">
        <v>35.411173782315203</v>
      </c>
      <c r="AN10" s="131">
        <v>64.183557528252706</v>
      </c>
      <c r="AO10" s="131">
        <v>211.01092298472099</v>
      </c>
      <c r="AP10" s="131">
        <v>927.11514088818103</v>
      </c>
      <c r="AQ10" s="131">
        <v>715.25456050892706</v>
      </c>
      <c r="AR10" s="131">
        <v>1821.87537046479</v>
      </c>
      <c r="AS10" s="131">
        <v>12394.8272178633</v>
      </c>
      <c r="AT10" s="131">
        <v>41.071949674660601</v>
      </c>
      <c r="AU10" s="131"/>
      <c r="AV10" s="131">
        <v>79.074014138957693</v>
      </c>
      <c r="AW10" s="131">
        <v>81.240239345503596</v>
      </c>
      <c r="AX10" s="131">
        <v>40.349853785322203</v>
      </c>
      <c r="AY10" s="131">
        <v>105.477380657795</v>
      </c>
      <c r="AZ10" s="131">
        <v>65.629847344704501</v>
      </c>
      <c r="BA10" s="131">
        <v>77.9303651466237</v>
      </c>
      <c r="BB10" s="131">
        <v>1645.3229027350101</v>
      </c>
      <c r="BC10" s="131">
        <v>1062.13355139635</v>
      </c>
      <c r="BD10" s="131">
        <v>37.256904442692502</v>
      </c>
      <c r="BE10" s="131">
        <v>30.379278769163999</v>
      </c>
      <c r="BF10" s="131">
        <v>48.874818892015902</v>
      </c>
      <c r="BG10" s="131">
        <v>79.122627139032602</v>
      </c>
      <c r="BH10" s="131">
        <v>188.34877462117399</v>
      </c>
      <c r="BI10" s="131">
        <v>36.2894066695414</v>
      </c>
      <c r="BJ10" s="131">
        <v>6912.6514074761999</v>
      </c>
      <c r="BK10" s="131">
        <v>4010.7515623292102</v>
      </c>
      <c r="BL10" s="131">
        <v>1079.31713726407</v>
      </c>
      <c r="BM10" s="131">
        <v>471.77656429920398</v>
      </c>
      <c r="BN10" s="131">
        <v>72.829119602804099</v>
      </c>
      <c r="BO10" s="131">
        <v>1</v>
      </c>
      <c r="BP10" s="131">
        <v>128.32859591170501</v>
      </c>
      <c r="BQ10" s="131">
        <v>122.279191289623</v>
      </c>
      <c r="BR10" s="131">
        <v>304.10299469383898</v>
      </c>
      <c r="BS10" s="131">
        <v>72.019285760947497</v>
      </c>
      <c r="BT10" s="131">
        <v>143.804951977494</v>
      </c>
      <c r="BU10" s="131">
        <v>35.104326493187997</v>
      </c>
      <c r="BV10" s="131">
        <v>32.244943444166502</v>
      </c>
      <c r="BW10" s="131">
        <v>308.98222432044798</v>
      </c>
      <c r="BX10" s="131">
        <v>1706.99959951246</v>
      </c>
      <c r="BY10" s="131">
        <v>4033.7418953661099</v>
      </c>
      <c r="BZ10" s="131">
        <v>1013.1761839348</v>
      </c>
      <c r="CA10" s="131">
        <v>262.70687062030402</v>
      </c>
      <c r="CB10" s="131">
        <v>108.80957479195401</v>
      </c>
      <c r="CC10" s="131">
        <v>26.037851607840601</v>
      </c>
      <c r="CD10" s="131">
        <v>323.55203071480997</v>
      </c>
      <c r="CE10" s="131">
        <v>415.90823196708499</v>
      </c>
      <c r="CF10" s="131">
        <v>445.86388534847401</v>
      </c>
      <c r="CG10" s="131">
        <v>53.219440447342897</v>
      </c>
      <c r="CH10" s="131">
        <v>56.009609527169999</v>
      </c>
      <c r="CI10" s="130">
        <v>0</v>
      </c>
      <c r="CJ10" s="130" t="s">
        <v>166</v>
      </c>
      <c r="CK10" s="130">
        <v>0</v>
      </c>
      <c r="CL10" s="130">
        <v>0</v>
      </c>
      <c r="CM10" s="131">
        <v>24.873718416049201</v>
      </c>
      <c r="CN10" s="131">
        <v>27.2949289819596</v>
      </c>
      <c r="CO10" s="130">
        <v>0</v>
      </c>
      <c r="CP10" s="130"/>
      <c r="CQ10" s="130">
        <v>0</v>
      </c>
      <c r="CR10" s="130">
        <v>0</v>
      </c>
      <c r="CS10" s="131">
        <v>12.324949145952401</v>
      </c>
      <c r="CT10" s="129">
        <v>0</v>
      </c>
      <c r="CU10" s="131">
        <v>19.2910755082283</v>
      </c>
      <c r="CV10" s="129">
        <v>0</v>
      </c>
      <c r="CW10" s="131">
        <v>32.386757308613298</v>
      </c>
      <c r="CX10" s="131">
        <v>90.232180359489604</v>
      </c>
      <c r="CY10" s="129">
        <v>0</v>
      </c>
      <c r="CZ10" s="131">
        <v>18.149167736361701</v>
      </c>
      <c r="DA10" s="131">
        <v>33.492563180711301</v>
      </c>
      <c r="DB10" s="131">
        <v>80.930775399747603</v>
      </c>
      <c r="DC10" s="129">
        <v>0</v>
      </c>
      <c r="DD10" s="131">
        <v>34.544464438522198</v>
      </c>
      <c r="DE10" s="131">
        <v>302.72579451255302</v>
      </c>
      <c r="DF10" s="131">
        <v>226.550875334089</v>
      </c>
      <c r="DG10" s="129">
        <v>0</v>
      </c>
      <c r="DH10" s="131">
        <v>0</v>
      </c>
      <c r="DI10" s="129">
        <v>0</v>
      </c>
      <c r="DJ10" s="131">
        <v>19.563260619284499</v>
      </c>
      <c r="DK10" s="131">
        <v>20.260773141444599</v>
      </c>
      <c r="DL10" s="131">
        <v>28.594228967939401</v>
      </c>
      <c r="DM10" s="131">
        <v>38.7172758220959</v>
      </c>
      <c r="DN10" s="131">
        <v>15.3669527853262</v>
      </c>
      <c r="DO10" s="131">
        <v>127.426297212145</v>
      </c>
      <c r="DP10" s="131">
        <v>286.15093462553898</v>
      </c>
      <c r="DQ10" s="131">
        <v>63.721164217061997</v>
      </c>
      <c r="DR10" s="131">
        <v>85.488161341502106</v>
      </c>
      <c r="DS10" s="131">
        <v>14.6336629995035</v>
      </c>
      <c r="DT10" s="130">
        <v>0</v>
      </c>
      <c r="DU10" s="131">
        <v>23.101139772521002</v>
      </c>
      <c r="DV10" s="131">
        <v>23.2661844350731</v>
      </c>
      <c r="DW10" s="130">
        <v>0</v>
      </c>
      <c r="DX10" s="131">
        <v>16.513735547034202</v>
      </c>
      <c r="DY10" s="131">
        <v>38.534511351267398</v>
      </c>
      <c r="DZ10" s="130">
        <v>0</v>
      </c>
      <c r="EA10" s="130">
        <v>0</v>
      </c>
      <c r="EB10" s="130">
        <v>0</v>
      </c>
      <c r="EC10" s="130">
        <v>0</v>
      </c>
      <c r="ED10" s="130">
        <v>0</v>
      </c>
      <c r="EE10" s="131">
        <v>53.832708243076802</v>
      </c>
      <c r="EF10" s="131">
        <v>19.513474671073599</v>
      </c>
      <c r="EG10" s="131">
        <v>17.976664426454299</v>
      </c>
      <c r="EH10" s="130">
        <v>0</v>
      </c>
      <c r="EI10" s="131">
        <v>37.2578003121601</v>
      </c>
      <c r="EJ10" s="130">
        <v>0</v>
      </c>
      <c r="EK10" s="130">
        <v>0</v>
      </c>
      <c r="EL10" s="131">
        <v>23.205222619727401</v>
      </c>
      <c r="EM10" s="131">
        <v>19.410224938904701</v>
      </c>
      <c r="EN10" s="130">
        <v>0</v>
      </c>
      <c r="EO10" s="130">
        <v>0</v>
      </c>
      <c r="EP10" s="130"/>
      <c r="EQ10" s="131">
        <v>19.883274901181402</v>
      </c>
      <c r="ER10" s="131">
        <v>102.645292085298</v>
      </c>
      <c r="ES10" s="131">
        <v>48.388558318376298</v>
      </c>
      <c r="ET10" s="130">
        <v>0</v>
      </c>
      <c r="EU10" s="130">
        <v>0</v>
      </c>
      <c r="EV10" s="130">
        <v>0</v>
      </c>
      <c r="EW10" s="130">
        <v>0</v>
      </c>
      <c r="EX10" s="131">
        <v>52.991472027459203</v>
      </c>
      <c r="EY10" s="131">
        <v>33.037446384609197</v>
      </c>
      <c r="EZ10" s="131">
        <v>15.858618270824399</v>
      </c>
      <c r="FA10" s="130">
        <v>0</v>
      </c>
      <c r="FB10" s="130">
        <v>0</v>
      </c>
      <c r="FC10" s="130">
        <v>0</v>
      </c>
      <c r="FD10" s="130">
        <v>0</v>
      </c>
      <c r="FE10" s="131">
        <v>90.232180359489604</v>
      </c>
      <c r="FF10" s="130">
        <v>0</v>
      </c>
      <c r="FG10" s="130">
        <v>0</v>
      </c>
      <c r="FH10" s="130">
        <v>0</v>
      </c>
      <c r="FI10" s="130">
        <v>0</v>
      </c>
      <c r="FJ10" s="121"/>
      <c r="FK10" s="15"/>
      <c r="FL10" s="15"/>
    </row>
    <row r="11" spans="1:175" s="1" customFormat="1">
      <c r="A11" s="120" t="s">
        <v>211</v>
      </c>
      <c r="B11" s="128" t="s">
        <v>169</v>
      </c>
      <c r="C11" s="144">
        <v>4610.2184214629197</v>
      </c>
      <c r="D11" s="145">
        <v>224.08211859324001</v>
      </c>
      <c r="E11" s="145">
        <v>14371.065610391999</v>
      </c>
      <c r="F11" s="145">
        <v>6310.1995236589701</v>
      </c>
      <c r="G11" s="145">
        <v>508.56842282199301</v>
      </c>
      <c r="H11" s="145">
        <v>319.354788699582</v>
      </c>
      <c r="I11" s="145">
        <v>124.637567616591</v>
      </c>
      <c r="J11" s="145">
        <v>15038.985153599901</v>
      </c>
      <c r="K11" s="145">
        <v>9455.3924885624692</v>
      </c>
      <c r="L11" s="145">
        <v>1522.0067487651199</v>
      </c>
      <c r="M11" s="145">
        <v>51.079096832451299</v>
      </c>
      <c r="N11" s="145">
        <v>85.578818606475195</v>
      </c>
      <c r="O11" s="145">
        <v>1</v>
      </c>
      <c r="P11" s="145">
        <v>58.0363118614043</v>
      </c>
      <c r="Q11" s="145">
        <v>48.4950257784351</v>
      </c>
      <c r="R11" s="145">
        <v>82.954832958573405</v>
      </c>
      <c r="S11" s="145">
        <v>219.458345208184</v>
      </c>
      <c r="T11" s="145">
        <v>455.787102005208</v>
      </c>
      <c r="U11" s="145"/>
      <c r="V11" s="145">
        <v>46832.748532416503</v>
      </c>
      <c r="W11" s="145">
        <v>68652.807400860504</v>
      </c>
      <c r="X11" s="145">
        <v>55961.787865278799</v>
      </c>
      <c r="Y11" s="145">
        <v>33.3921401304002</v>
      </c>
      <c r="Z11" s="145">
        <v>132.624849266637</v>
      </c>
      <c r="AA11" s="145">
        <v>157226.750993264</v>
      </c>
      <c r="AB11" s="145">
        <v>36667.5452961673</v>
      </c>
      <c r="AC11" s="145">
        <v>365320.14227902901</v>
      </c>
      <c r="AD11" s="145">
        <v>847.15341963426795</v>
      </c>
      <c r="AE11" s="145">
        <v>4620.69925924374</v>
      </c>
      <c r="AF11" s="145">
        <v>9691.8164735609807</v>
      </c>
      <c r="AG11" s="145">
        <v>687.89384797953198</v>
      </c>
      <c r="AH11" s="145">
        <v>3361.0656320081998</v>
      </c>
      <c r="AI11" s="145">
        <v>287.70780905872903</v>
      </c>
      <c r="AJ11" s="145">
        <v>100.407884969734</v>
      </c>
      <c r="AK11" s="145">
        <v>212.425566146557</v>
      </c>
      <c r="AL11" s="145">
        <v>126.15569391867101</v>
      </c>
      <c r="AM11" s="145">
        <v>129.13434918194901</v>
      </c>
      <c r="AN11" s="145">
        <v>188.152876668392</v>
      </c>
      <c r="AO11" s="145">
        <v>47.1776340083793</v>
      </c>
      <c r="AP11" s="145">
        <v>583.90930095109104</v>
      </c>
      <c r="AQ11" s="145">
        <v>768.56413094043603</v>
      </c>
      <c r="AR11" s="145">
        <v>1171.42678787675</v>
      </c>
      <c r="AS11" s="145">
        <v>16778.3696287604</v>
      </c>
      <c r="AT11" s="145">
        <v>38.474905377383102</v>
      </c>
      <c r="AU11" s="145"/>
      <c r="AV11" s="145">
        <v>140.023760578257</v>
      </c>
      <c r="AW11" s="145">
        <v>81.721408212767699</v>
      </c>
      <c r="AX11" s="145">
        <v>314.80745200394898</v>
      </c>
      <c r="AY11" s="145">
        <v>33.267126002501001</v>
      </c>
      <c r="AZ11" s="145">
        <v>47.788457295313201</v>
      </c>
      <c r="BA11" s="145">
        <v>1687.5449439335</v>
      </c>
      <c r="BB11" s="145">
        <v>12880.8745548143</v>
      </c>
      <c r="BC11" s="145">
        <v>7898.6139905408299</v>
      </c>
      <c r="BD11" s="145">
        <v>380.59676862595302</v>
      </c>
      <c r="BE11" s="145">
        <v>149.969343269598</v>
      </c>
      <c r="BF11" s="145">
        <v>1009.23055391984</v>
      </c>
      <c r="BG11" s="145">
        <v>838.41348724735201</v>
      </c>
      <c r="BH11" s="145">
        <v>1711.7970241926801</v>
      </c>
      <c r="BI11" s="145">
        <v>1683.55146892367</v>
      </c>
      <c r="BJ11" s="145">
        <v>46132.925049232901</v>
      </c>
      <c r="BK11" s="145">
        <v>28341.478428454899</v>
      </c>
      <c r="BL11" s="145">
        <v>8905.2008007105796</v>
      </c>
      <c r="BM11" s="145">
        <v>5718.5680266630798</v>
      </c>
      <c r="BN11" s="145">
        <v>899.68838453120998</v>
      </c>
      <c r="BO11" s="145">
        <v>186.14502769967299</v>
      </c>
      <c r="BP11" s="145">
        <v>394.55413392214001</v>
      </c>
      <c r="BQ11" s="145">
        <v>411.39078869303597</v>
      </c>
      <c r="BR11" s="145">
        <v>722.14876700186198</v>
      </c>
      <c r="BS11" s="145">
        <v>588.97692897953698</v>
      </c>
      <c r="BT11" s="145">
        <v>1104.6804048670799</v>
      </c>
      <c r="BU11" s="145">
        <v>182.36352818439499</v>
      </c>
      <c r="BV11" s="145">
        <v>250.59154109234601</v>
      </c>
      <c r="BW11" s="145">
        <v>1784.4229776187501</v>
      </c>
      <c r="BX11" s="145">
        <v>9204.7181784317108</v>
      </c>
      <c r="BY11" s="145">
        <v>22897.377163581601</v>
      </c>
      <c r="BZ11" s="145">
        <v>7864.7566477746104</v>
      </c>
      <c r="CA11" s="145">
        <v>1847.52248078056</v>
      </c>
      <c r="CB11" s="145">
        <v>533.35818151499996</v>
      </c>
      <c r="CC11" s="145">
        <v>865.08535201387701</v>
      </c>
      <c r="CD11" s="145">
        <v>2814.92098920135</v>
      </c>
      <c r="CE11" s="145">
        <v>4627.3396867171396</v>
      </c>
      <c r="CF11" s="145">
        <v>2246.1968278242002</v>
      </c>
      <c r="CG11" s="145">
        <v>40.229005865243302</v>
      </c>
      <c r="CH11" s="145">
        <v>122.500011719591</v>
      </c>
      <c r="CI11" s="145">
        <v>37.146818072887903</v>
      </c>
      <c r="CJ11" s="146">
        <v>0</v>
      </c>
      <c r="CK11" s="146">
        <v>0</v>
      </c>
      <c r="CL11" s="146">
        <v>0</v>
      </c>
      <c r="CM11" s="145">
        <v>260.80585274601202</v>
      </c>
      <c r="CN11" s="146">
        <v>0</v>
      </c>
      <c r="CO11" s="145">
        <v>36.452777492023699</v>
      </c>
      <c r="CP11" s="145"/>
      <c r="CQ11" s="146">
        <v>0</v>
      </c>
      <c r="CR11" s="146">
        <v>0</v>
      </c>
      <c r="CS11" s="145">
        <v>30.494333459322601</v>
      </c>
      <c r="CT11" s="145">
        <v>13.6833660227698</v>
      </c>
      <c r="CU11" s="147">
        <v>0</v>
      </c>
      <c r="CV11" s="145">
        <v>15.5847625682259</v>
      </c>
      <c r="CW11" s="145">
        <v>331.35748150102597</v>
      </c>
      <c r="CX11" s="145">
        <v>211.61714659096901</v>
      </c>
      <c r="CY11" s="145">
        <v>12.4411624877125</v>
      </c>
      <c r="CZ11" s="145">
        <v>34.330915270656703</v>
      </c>
      <c r="DA11" s="145">
        <v>64.701129931586706</v>
      </c>
      <c r="DB11" s="145">
        <v>90.994412255194206</v>
      </c>
      <c r="DC11" s="147">
        <v>0</v>
      </c>
      <c r="DD11" s="145">
        <v>171.07487263497501</v>
      </c>
      <c r="DE11" s="145">
        <v>1002.35993798193</v>
      </c>
      <c r="DF11" s="145">
        <v>594.87808961851999</v>
      </c>
      <c r="DG11" s="145">
        <v>58.001315781520297</v>
      </c>
      <c r="DH11" s="145">
        <v>0</v>
      </c>
      <c r="DI11" s="147">
        <v>0</v>
      </c>
      <c r="DJ11" s="145">
        <v>13.9991073933286</v>
      </c>
      <c r="DK11" s="145">
        <v>41.201722180575999</v>
      </c>
      <c r="DL11" s="145">
        <v>20.849386318430199</v>
      </c>
      <c r="DM11" s="145">
        <v>91.995317757450096</v>
      </c>
      <c r="DN11" s="145">
        <v>93.862152223392201</v>
      </c>
      <c r="DO11" s="145">
        <v>225.88106692534799</v>
      </c>
      <c r="DP11" s="145">
        <v>677.38504544661998</v>
      </c>
      <c r="DQ11" s="145">
        <v>396.72767832584202</v>
      </c>
      <c r="DR11" s="145">
        <v>339.557521088074</v>
      </c>
      <c r="DS11" s="145">
        <v>17.269554332732898</v>
      </c>
      <c r="DT11" s="146">
        <v>0</v>
      </c>
      <c r="DU11" s="145">
        <v>18.936191378410498</v>
      </c>
      <c r="DV11" s="146">
        <v>0</v>
      </c>
      <c r="DW11" s="146">
        <v>0</v>
      </c>
      <c r="DX11" s="146">
        <v>0</v>
      </c>
      <c r="DY11" s="145">
        <v>90.059882780407605</v>
      </c>
      <c r="DZ11" s="145">
        <v>45.309956941842103</v>
      </c>
      <c r="EA11" s="145">
        <v>31.783033279751098</v>
      </c>
      <c r="EB11" s="146">
        <v>0</v>
      </c>
      <c r="EC11" s="145">
        <v>23.638336286663801</v>
      </c>
      <c r="ED11" s="145">
        <v>79.372808276430703</v>
      </c>
      <c r="EE11" s="145">
        <v>32.145366525570999</v>
      </c>
      <c r="EF11" s="145">
        <v>184.74906001791399</v>
      </c>
      <c r="EG11" s="145">
        <v>162.258457062861</v>
      </c>
      <c r="EH11" s="145">
        <v>31.945068091987501</v>
      </c>
      <c r="EI11" s="146">
        <v>0</v>
      </c>
      <c r="EJ11" s="146">
        <v>0</v>
      </c>
      <c r="EK11" s="146">
        <v>0</v>
      </c>
      <c r="EL11" s="146">
        <v>0</v>
      </c>
      <c r="EM11" s="146">
        <v>0</v>
      </c>
      <c r="EN11" s="146">
        <v>0</v>
      </c>
      <c r="EO11" s="146">
        <v>0</v>
      </c>
      <c r="EP11" s="146"/>
      <c r="EQ11" s="145">
        <v>108.67913344692199</v>
      </c>
      <c r="ER11" s="145">
        <v>397.79002997376398</v>
      </c>
      <c r="ES11" s="145">
        <v>61.796165958398703</v>
      </c>
      <c r="ET11" s="145">
        <v>26.933032861242602</v>
      </c>
      <c r="EU11" s="145">
        <v>25.805039967875601</v>
      </c>
      <c r="EV11" s="146">
        <v>0</v>
      </c>
      <c r="EW11" s="146">
        <v>0</v>
      </c>
      <c r="EX11" s="146">
        <v>0</v>
      </c>
      <c r="EY11" s="145">
        <v>271.67622549708898</v>
      </c>
      <c r="EZ11" s="145">
        <v>151.12161735170901</v>
      </c>
      <c r="FA11" s="146">
        <v>0</v>
      </c>
      <c r="FB11" s="146">
        <v>0</v>
      </c>
      <c r="FC11" s="146">
        <v>0</v>
      </c>
      <c r="FD11" s="146">
        <v>0</v>
      </c>
      <c r="FE11" s="145">
        <v>211.61714659096901</v>
      </c>
      <c r="FF11" s="145">
        <v>15.0866526061623</v>
      </c>
      <c r="FG11" s="146">
        <v>0</v>
      </c>
      <c r="FH11" s="146">
        <v>0</v>
      </c>
      <c r="FI11" s="145">
        <v>33.235760125914801</v>
      </c>
      <c r="FJ11" s="108"/>
      <c r="FK11" s="15"/>
      <c r="FL11" s="15"/>
    </row>
    <row r="12" spans="1:175">
      <c r="A12" s="29"/>
      <c r="B12" s="122" t="s">
        <v>172</v>
      </c>
      <c r="C12" s="109">
        <f>AVERAGE(C6:C11)</f>
        <v>2962.3106336590586</v>
      </c>
      <c r="D12" s="109">
        <f t="shared" ref="D12:BQ12" si="0">AVERAGE(D6:D11)</f>
        <v>229.22475491092845</v>
      </c>
      <c r="E12" s="109">
        <f t="shared" si="0"/>
        <v>9151.7633457979555</v>
      </c>
      <c r="F12" s="109">
        <f t="shared" si="0"/>
        <v>3642.1914158725581</v>
      </c>
      <c r="G12" s="109">
        <f t="shared" si="0"/>
        <v>258.5680144458891</v>
      </c>
      <c r="H12" s="109">
        <f t="shared" si="0"/>
        <v>304.5403481473773</v>
      </c>
      <c r="I12" s="109">
        <f t="shared" si="0"/>
        <v>183.72746139334117</v>
      </c>
      <c r="J12" s="109">
        <f t="shared" si="0"/>
        <v>16049.5496225404</v>
      </c>
      <c r="K12" s="109">
        <f t="shared" si="0"/>
        <v>8375.5267643640964</v>
      </c>
      <c r="L12" s="109">
        <f t="shared" si="0"/>
        <v>750.98693562351355</v>
      </c>
      <c r="M12" s="109">
        <f t="shared" si="0"/>
        <v>74.837077494218576</v>
      </c>
      <c r="N12" s="109">
        <f t="shared" si="0"/>
        <v>80.258491963575878</v>
      </c>
      <c r="O12" s="109">
        <f t="shared" si="0"/>
        <v>33.48847364801793</v>
      </c>
      <c r="P12" s="109">
        <f t="shared" si="0"/>
        <v>42.743090180854267</v>
      </c>
      <c r="Q12" s="109">
        <f t="shared" si="0"/>
        <v>16.982555779731047</v>
      </c>
      <c r="R12" s="109">
        <f t="shared" si="0"/>
        <v>65.421694923112724</v>
      </c>
      <c r="S12" s="109">
        <f t="shared" si="0"/>
        <v>96.644346608194553</v>
      </c>
      <c r="T12" s="109">
        <f t="shared" si="0"/>
        <v>387.25486383751917</v>
      </c>
      <c r="U12" s="109"/>
      <c r="V12" s="109">
        <f t="shared" si="0"/>
        <v>47290.245378818683</v>
      </c>
      <c r="W12" s="109">
        <f t="shared" si="0"/>
        <v>61112.834634927392</v>
      </c>
      <c r="X12" s="109">
        <f t="shared" si="0"/>
        <v>46540.061550627055</v>
      </c>
      <c r="Y12" s="109">
        <f t="shared" si="0"/>
        <v>62.486710675061119</v>
      </c>
      <c r="Z12" s="109">
        <f t="shared" si="0"/>
        <v>66.668123377772218</v>
      </c>
      <c r="AA12" s="109">
        <f t="shared" si="0"/>
        <v>157888.75645748552</v>
      </c>
      <c r="AB12" s="109">
        <f t="shared" si="0"/>
        <v>30508.814420500519</v>
      </c>
      <c r="AC12" s="109">
        <f t="shared" si="0"/>
        <v>289847.17166659964</v>
      </c>
      <c r="AD12" s="109">
        <f t="shared" si="0"/>
        <v>674.98836698573632</v>
      </c>
      <c r="AE12" s="109">
        <f t="shared" si="0"/>
        <v>9753.9719466093684</v>
      </c>
      <c r="AF12" s="109">
        <f t="shared" si="0"/>
        <v>11216.360465765223</v>
      </c>
      <c r="AG12" s="109">
        <f t="shared" si="0"/>
        <v>845.51070759727679</v>
      </c>
      <c r="AH12" s="109">
        <f t="shared" si="0"/>
        <v>2728.4045412214914</v>
      </c>
      <c r="AI12" s="109">
        <f t="shared" si="0"/>
        <v>108.67101755887366</v>
      </c>
      <c r="AJ12" s="109">
        <f t="shared" si="0"/>
        <v>62.597243194711744</v>
      </c>
      <c r="AK12" s="109">
        <f t="shared" si="0"/>
        <v>358.56677454194801</v>
      </c>
      <c r="AL12" s="109">
        <f t="shared" si="0"/>
        <v>125.41961736040895</v>
      </c>
      <c r="AM12" s="109">
        <f t="shared" si="0"/>
        <v>98.950812924981349</v>
      </c>
      <c r="AN12" s="109">
        <f t="shared" si="0"/>
        <v>78.359875157956608</v>
      </c>
      <c r="AO12" s="109">
        <f t="shared" si="0"/>
        <v>82.447112812021075</v>
      </c>
      <c r="AP12" s="109">
        <f t="shared" si="0"/>
        <v>635.26828873255965</v>
      </c>
      <c r="AQ12" s="109">
        <f t="shared" si="0"/>
        <v>802.11155994093622</v>
      </c>
      <c r="AR12" s="109">
        <f t="shared" si="0"/>
        <v>1773.3115765604969</v>
      </c>
      <c r="AS12" s="109">
        <f t="shared" si="0"/>
        <v>13477.33831872655</v>
      </c>
      <c r="AT12" s="109">
        <f t="shared" si="0"/>
        <v>58.391077827548365</v>
      </c>
      <c r="AU12" s="109"/>
      <c r="AV12" s="109">
        <f t="shared" si="0"/>
        <v>117.847358375863</v>
      </c>
      <c r="AW12" s="109">
        <f t="shared" si="0"/>
        <v>55.328042772139419</v>
      </c>
      <c r="AX12" s="109">
        <f t="shared" si="0"/>
        <v>101.60612560909472</v>
      </c>
      <c r="AY12" s="109">
        <f t="shared" si="0"/>
        <v>53.581315312590114</v>
      </c>
      <c r="AZ12" s="109">
        <f t="shared" si="0"/>
        <v>29.945871973450636</v>
      </c>
      <c r="BA12" s="109">
        <f t="shared" si="0"/>
        <v>473.11177801013127</v>
      </c>
      <c r="BB12" s="109">
        <f t="shared" si="0"/>
        <v>3979.4928864431918</v>
      </c>
      <c r="BC12" s="109">
        <f t="shared" si="0"/>
        <v>2560.937224484805</v>
      </c>
      <c r="BD12" s="109">
        <f t="shared" si="0"/>
        <v>129.96580887937975</v>
      </c>
      <c r="BE12" s="109">
        <f t="shared" si="0"/>
        <v>62.51308606952972</v>
      </c>
      <c r="BF12" s="109">
        <f t="shared" si="0"/>
        <v>353.30509555287131</v>
      </c>
      <c r="BG12" s="109">
        <f t="shared" si="0"/>
        <v>254.08040299722867</v>
      </c>
      <c r="BH12" s="109">
        <f t="shared" si="0"/>
        <v>580.49424258074339</v>
      </c>
      <c r="BI12" s="109">
        <f t="shared" si="0"/>
        <v>466.7397578056146</v>
      </c>
      <c r="BJ12" s="109">
        <f t="shared" si="0"/>
        <v>14822.232654227826</v>
      </c>
      <c r="BK12" s="109">
        <f t="shared" si="0"/>
        <v>9702.9303134117872</v>
      </c>
      <c r="BL12" s="109">
        <f t="shared" si="0"/>
        <v>2676.8399712027285</v>
      </c>
      <c r="BM12" s="109">
        <f t="shared" si="0"/>
        <v>1936.0249749954546</v>
      </c>
      <c r="BN12" s="109">
        <f t="shared" si="0"/>
        <v>275.38033245116748</v>
      </c>
      <c r="BO12" s="109">
        <f t="shared" si="0"/>
        <v>78.747384147375655</v>
      </c>
      <c r="BP12" s="109">
        <f t="shared" si="0"/>
        <v>149.19859016687471</v>
      </c>
      <c r="BQ12" s="109">
        <f t="shared" si="0"/>
        <v>139.50749256488248</v>
      </c>
      <c r="BR12" s="109">
        <f t="shared" ref="BR12:ED12" si="1">AVERAGE(BR6:BR11)</f>
        <v>450.83285897275454</v>
      </c>
      <c r="BS12" s="109">
        <f t="shared" si="1"/>
        <v>365.69278841421306</v>
      </c>
      <c r="BT12" s="109">
        <f t="shared" si="1"/>
        <v>464.01148876272663</v>
      </c>
      <c r="BU12" s="109">
        <f t="shared" si="1"/>
        <v>98.099824723334947</v>
      </c>
      <c r="BV12" s="109">
        <f t="shared" si="1"/>
        <v>98.661533566710148</v>
      </c>
      <c r="BW12" s="109">
        <f t="shared" si="1"/>
        <v>580.44072471856646</v>
      </c>
      <c r="BX12" s="109">
        <f t="shared" si="1"/>
        <v>3369.890427614775</v>
      </c>
      <c r="BY12" s="109">
        <f t="shared" si="1"/>
        <v>9045.412792887153</v>
      </c>
      <c r="BZ12" s="109">
        <f t="shared" si="1"/>
        <v>2594.4460847363107</v>
      </c>
      <c r="CA12" s="109">
        <f t="shared" si="1"/>
        <v>617.31858118711898</v>
      </c>
      <c r="CB12" s="109">
        <f t="shared" si="1"/>
        <v>270.72301869589768</v>
      </c>
      <c r="CC12" s="109">
        <f t="shared" si="1"/>
        <v>283.82782337482058</v>
      </c>
      <c r="CD12" s="109">
        <f t="shared" si="1"/>
        <v>856.52396899455459</v>
      </c>
      <c r="CE12" s="109">
        <f t="shared" si="1"/>
        <v>1470.7308950304443</v>
      </c>
      <c r="CF12" s="109">
        <f t="shared" si="1"/>
        <v>899.64235101833845</v>
      </c>
      <c r="CG12" s="109">
        <f t="shared" si="1"/>
        <v>44.758847407542099</v>
      </c>
      <c r="CH12" s="109">
        <f t="shared" si="1"/>
        <v>156.56139143128752</v>
      </c>
      <c r="CI12" s="109">
        <f t="shared" si="1"/>
        <v>23.980357575411915</v>
      </c>
      <c r="CJ12" s="109">
        <f t="shared" si="1"/>
        <v>0</v>
      </c>
      <c r="CK12" s="109">
        <f t="shared" si="1"/>
        <v>30.328172718121483</v>
      </c>
      <c r="CL12" s="109">
        <f t="shared" si="1"/>
        <v>4.4416244818666337</v>
      </c>
      <c r="CM12" s="109">
        <f t="shared" si="1"/>
        <v>80.099916963534668</v>
      </c>
      <c r="CN12" s="109">
        <f t="shared" si="1"/>
        <v>18.992521546199452</v>
      </c>
      <c r="CO12" s="109">
        <f t="shared" si="1"/>
        <v>30.503522087461182</v>
      </c>
      <c r="CP12" s="109"/>
      <c r="CQ12" s="109">
        <f t="shared" si="1"/>
        <v>3.6910852065826831</v>
      </c>
      <c r="CR12" s="109">
        <f t="shared" si="1"/>
        <v>0</v>
      </c>
      <c r="CS12" s="109">
        <f t="shared" si="1"/>
        <v>14.127309615233235</v>
      </c>
      <c r="CT12" s="109">
        <f t="shared" si="1"/>
        <v>6.1799802221288003</v>
      </c>
      <c r="CU12" s="109">
        <f t="shared" si="1"/>
        <v>3.2151792513713833</v>
      </c>
      <c r="CV12" s="109">
        <f t="shared" si="1"/>
        <v>5.0647649222585001</v>
      </c>
      <c r="CW12" s="109">
        <f t="shared" si="1"/>
        <v>87.750083498596737</v>
      </c>
      <c r="CX12" s="109">
        <f t="shared" si="1"/>
        <v>100.18808242427828</v>
      </c>
      <c r="CY12" s="109">
        <f t="shared" si="1"/>
        <v>4.7511096094669663</v>
      </c>
      <c r="CZ12" s="109">
        <f t="shared" si="1"/>
        <v>32.619375128754648</v>
      </c>
      <c r="DA12" s="109">
        <f t="shared" si="1"/>
        <v>47.530281066429929</v>
      </c>
      <c r="DB12" s="109">
        <f t="shared" si="1"/>
        <v>59.950887456702958</v>
      </c>
      <c r="DC12" s="109">
        <f t="shared" si="1"/>
        <v>4.4229071095666397</v>
      </c>
      <c r="DD12" s="109">
        <f t="shared" si="1"/>
        <v>62.371216533865528</v>
      </c>
      <c r="DE12" s="109">
        <f t="shared" si="1"/>
        <v>429.55500348707602</v>
      </c>
      <c r="DF12" s="109">
        <f t="shared" si="1"/>
        <v>303.44803986338894</v>
      </c>
      <c r="DG12" s="109">
        <f t="shared" si="1"/>
        <v>26.510115221717079</v>
      </c>
      <c r="DH12" s="109">
        <f t="shared" si="1"/>
        <v>0</v>
      </c>
      <c r="DI12" s="109">
        <f t="shared" si="1"/>
        <v>0</v>
      </c>
      <c r="DJ12" s="109">
        <f t="shared" si="1"/>
        <v>8.4398562334961493</v>
      </c>
      <c r="DK12" s="109">
        <f t="shared" si="1"/>
        <v>23.201027509673604</v>
      </c>
      <c r="DL12" s="109">
        <f t="shared" si="1"/>
        <v>22.903839029354554</v>
      </c>
      <c r="DM12" s="109">
        <f t="shared" si="1"/>
        <v>50.743017218521551</v>
      </c>
      <c r="DN12" s="109">
        <f t="shared" si="1"/>
        <v>26.964793875296099</v>
      </c>
      <c r="DO12" s="109">
        <f t="shared" si="1"/>
        <v>148.59457131438015</v>
      </c>
      <c r="DP12" s="109">
        <f t="shared" si="1"/>
        <v>278.12943982544982</v>
      </c>
      <c r="DQ12" s="109">
        <f t="shared" si="1"/>
        <v>130.59837904849894</v>
      </c>
      <c r="DR12" s="109">
        <f t="shared" si="1"/>
        <v>126.24218619941662</v>
      </c>
      <c r="DS12" s="109">
        <f t="shared" si="1"/>
        <v>8.1719157282251818</v>
      </c>
      <c r="DT12" s="109">
        <f t="shared" si="1"/>
        <v>3.338965714987967</v>
      </c>
      <c r="DU12" s="109">
        <f t="shared" si="1"/>
        <v>11.81418716676165</v>
      </c>
      <c r="DV12" s="109">
        <f t="shared" si="1"/>
        <v>3.8776974058455167</v>
      </c>
      <c r="DW12" s="109">
        <f t="shared" si="1"/>
        <v>0</v>
      </c>
      <c r="DX12" s="109">
        <f t="shared" si="1"/>
        <v>9.2637786657856509</v>
      </c>
      <c r="DY12" s="109">
        <f t="shared" si="1"/>
        <v>23.946308569809151</v>
      </c>
      <c r="DZ12" s="109">
        <f t="shared" si="1"/>
        <v>11.090492863949235</v>
      </c>
      <c r="EA12" s="109">
        <f t="shared" si="1"/>
        <v>5.2971722132918497</v>
      </c>
      <c r="EB12" s="109">
        <f t="shared" si="1"/>
        <v>0</v>
      </c>
      <c r="EC12" s="109">
        <f t="shared" si="1"/>
        <v>17.641118067892567</v>
      </c>
      <c r="ED12" s="109">
        <f t="shared" si="1"/>
        <v>23.475267295495001</v>
      </c>
      <c r="EE12" s="109">
        <f t="shared" ref="EE12:FI12" si="2">AVERAGE(EE6:EE11)</f>
        <v>31.149760717630134</v>
      </c>
      <c r="EF12" s="109">
        <f t="shared" si="2"/>
        <v>50.905339967954511</v>
      </c>
      <c r="EG12" s="109">
        <f t="shared" si="2"/>
        <v>33.094761483274283</v>
      </c>
      <c r="EH12" s="109">
        <f t="shared" si="2"/>
        <v>13.351856933107564</v>
      </c>
      <c r="EI12" s="109">
        <f t="shared" si="2"/>
        <v>6.209633385360017</v>
      </c>
      <c r="EJ12" s="109">
        <f t="shared" si="2"/>
        <v>3.606237888278033</v>
      </c>
      <c r="EK12" s="109">
        <f t="shared" si="2"/>
        <v>0</v>
      </c>
      <c r="EL12" s="109">
        <f t="shared" si="2"/>
        <v>12.573385252612249</v>
      </c>
      <c r="EM12" s="109">
        <f t="shared" si="2"/>
        <v>3.2350374898174503</v>
      </c>
      <c r="EN12" s="109">
        <f t="shared" si="2"/>
        <v>0</v>
      </c>
      <c r="EO12" s="109">
        <f t="shared" si="2"/>
        <v>14.99698275356765</v>
      </c>
      <c r="EP12" s="109"/>
      <c r="EQ12" s="109">
        <f t="shared" si="2"/>
        <v>44.63568821214897</v>
      </c>
      <c r="ER12" s="109">
        <f t="shared" si="2"/>
        <v>145.68136885993226</v>
      </c>
      <c r="ES12" s="109">
        <f t="shared" si="2"/>
        <v>21.715133787871604</v>
      </c>
      <c r="ET12" s="109">
        <f t="shared" si="2"/>
        <v>4.4888388102071</v>
      </c>
      <c r="EU12" s="109">
        <f t="shared" si="2"/>
        <v>4.3008399946459335</v>
      </c>
      <c r="EV12" s="109">
        <f t="shared" si="2"/>
        <v>3.3099489366705668</v>
      </c>
      <c r="EW12" s="109">
        <f t="shared" si="2"/>
        <v>0</v>
      </c>
      <c r="EX12" s="109">
        <f t="shared" si="2"/>
        <v>14.057535524840484</v>
      </c>
      <c r="EY12" s="109">
        <f t="shared" si="2"/>
        <v>74.930628265267785</v>
      </c>
      <c r="EZ12" s="109">
        <f t="shared" si="2"/>
        <v>34.614161302805037</v>
      </c>
      <c r="FA12" s="109">
        <f t="shared" si="2"/>
        <v>0</v>
      </c>
      <c r="FB12" s="109">
        <f t="shared" si="2"/>
        <v>10.47555473052355</v>
      </c>
      <c r="FC12" s="109">
        <f t="shared" si="2"/>
        <v>0</v>
      </c>
      <c r="FD12" s="109">
        <f t="shared" si="2"/>
        <v>5.2406687191581165</v>
      </c>
      <c r="FE12" s="109">
        <f t="shared" si="2"/>
        <v>100.18808242427828</v>
      </c>
      <c r="FF12" s="109">
        <f t="shared" si="2"/>
        <v>7.8910281451454836</v>
      </c>
      <c r="FG12" s="109">
        <f t="shared" si="2"/>
        <v>7.137791555849101</v>
      </c>
      <c r="FH12" s="109">
        <f t="shared" si="2"/>
        <v>0</v>
      </c>
      <c r="FI12" s="109">
        <f t="shared" si="2"/>
        <v>5.5392933543191338</v>
      </c>
      <c r="FJ12" s="110"/>
      <c r="FK12" s="29"/>
      <c r="FL12" s="29"/>
    </row>
    <row r="13" spans="1:175">
      <c r="A13" s="29"/>
      <c r="B13" s="122" t="s">
        <v>165</v>
      </c>
      <c r="C13" s="111">
        <f>_xlfn.STDEV.S(C6:C11)</f>
        <v>1738.8874686049971</v>
      </c>
      <c r="D13" s="111">
        <f t="shared" ref="D13:BQ13" si="3">_xlfn.STDEV.S(D6:D11)</f>
        <v>168.17065601179249</v>
      </c>
      <c r="E13" s="111">
        <f t="shared" si="3"/>
        <v>4814.0391577621294</v>
      </c>
      <c r="F13" s="111">
        <f t="shared" si="3"/>
        <v>1908.9005918901544</v>
      </c>
      <c r="G13" s="111">
        <f t="shared" si="3"/>
        <v>176.97703821141968</v>
      </c>
      <c r="H13" s="111">
        <f t="shared" si="3"/>
        <v>151.37021980880755</v>
      </c>
      <c r="I13" s="111">
        <f t="shared" si="3"/>
        <v>107.87930912396376</v>
      </c>
      <c r="J13" s="111">
        <f t="shared" si="3"/>
        <v>2509.2133862631417</v>
      </c>
      <c r="K13" s="111">
        <f t="shared" si="3"/>
        <v>1728.7055483690915</v>
      </c>
      <c r="L13" s="111">
        <f t="shared" si="3"/>
        <v>585.78766701406232</v>
      </c>
      <c r="M13" s="111">
        <f t="shared" si="3"/>
        <v>35.612474256367037</v>
      </c>
      <c r="N13" s="111">
        <f t="shared" si="3"/>
        <v>37.267727877429053</v>
      </c>
      <c r="O13" s="111">
        <f t="shared" si="3"/>
        <v>16.17645249581842</v>
      </c>
      <c r="P13" s="111">
        <f t="shared" si="3"/>
        <v>20.37672814559042</v>
      </c>
      <c r="Q13" s="111">
        <f t="shared" si="3"/>
        <v>19.467941545061191</v>
      </c>
      <c r="R13" s="111">
        <f t="shared" si="3"/>
        <v>26.727161291565441</v>
      </c>
      <c r="S13" s="111">
        <f t="shared" si="3"/>
        <v>69.654529624436279</v>
      </c>
      <c r="T13" s="111">
        <f t="shared" si="3"/>
        <v>241.47248371794217</v>
      </c>
      <c r="U13" s="111"/>
      <c r="V13" s="111">
        <f t="shared" si="3"/>
        <v>15252.228659131688</v>
      </c>
      <c r="W13" s="111">
        <f t="shared" si="3"/>
        <v>15280.710636730279</v>
      </c>
      <c r="X13" s="111">
        <f t="shared" si="3"/>
        <v>4969.0939741925704</v>
      </c>
      <c r="Y13" s="111">
        <f t="shared" si="3"/>
        <v>23.444716379521836</v>
      </c>
      <c r="Z13" s="111">
        <f t="shared" si="3"/>
        <v>39.146591286948471</v>
      </c>
      <c r="AA13" s="111">
        <f t="shared" si="3"/>
        <v>38752.45950575811</v>
      </c>
      <c r="AB13" s="111">
        <f t="shared" si="3"/>
        <v>6982.8628895368392</v>
      </c>
      <c r="AC13" s="111">
        <f t="shared" si="3"/>
        <v>64171.48415956791</v>
      </c>
      <c r="AD13" s="111">
        <f t="shared" si="3"/>
        <v>279.51946603218556</v>
      </c>
      <c r="AE13" s="111">
        <f t="shared" si="3"/>
        <v>10163.128951244051</v>
      </c>
      <c r="AF13" s="111">
        <f t="shared" si="3"/>
        <v>5037.6680163670844</v>
      </c>
      <c r="AG13" s="111">
        <f t="shared" si="3"/>
        <v>654.75333066933717</v>
      </c>
      <c r="AH13" s="111">
        <f t="shared" si="3"/>
        <v>571.58621628380149</v>
      </c>
      <c r="AI13" s="111">
        <f t="shared" si="3"/>
        <v>89.068415052027206</v>
      </c>
      <c r="AJ13" s="111">
        <f t="shared" si="3"/>
        <v>27.945952485509011</v>
      </c>
      <c r="AK13" s="111">
        <f t="shared" si="3"/>
        <v>149.63652042862634</v>
      </c>
      <c r="AL13" s="111">
        <f t="shared" si="3"/>
        <v>72.721699940538613</v>
      </c>
      <c r="AM13" s="111">
        <f t="shared" si="3"/>
        <v>54.204709143632407</v>
      </c>
      <c r="AN13" s="111">
        <f t="shared" si="3"/>
        <v>57.624213959641295</v>
      </c>
      <c r="AO13" s="111">
        <f t="shared" si="3"/>
        <v>73.575168647039391</v>
      </c>
      <c r="AP13" s="111">
        <f t="shared" si="3"/>
        <v>165.83243836546825</v>
      </c>
      <c r="AQ13" s="111">
        <f t="shared" si="3"/>
        <v>148.07833652634721</v>
      </c>
      <c r="AR13" s="111">
        <f t="shared" si="3"/>
        <v>492.63098754406627</v>
      </c>
      <c r="AS13" s="111">
        <f t="shared" si="3"/>
        <v>2326.8337457968491</v>
      </c>
      <c r="AT13" s="111">
        <f t="shared" si="3"/>
        <v>23.729168934487017</v>
      </c>
      <c r="AU13" s="111"/>
      <c r="AV13" s="111">
        <f t="shared" si="3"/>
        <v>73.032139652207618</v>
      </c>
      <c r="AW13" s="111">
        <f t="shared" si="3"/>
        <v>33.430088498159094</v>
      </c>
      <c r="AX13" s="111">
        <f t="shared" si="3"/>
        <v>109.78523212821342</v>
      </c>
      <c r="AY13" s="111">
        <f t="shared" si="3"/>
        <v>28.963340430934192</v>
      </c>
      <c r="AZ13" s="111">
        <f t="shared" si="3"/>
        <v>25.638661775161456</v>
      </c>
      <c r="BA13" s="111">
        <f t="shared" si="3"/>
        <v>609.83627832998138</v>
      </c>
      <c r="BB13" s="111">
        <f t="shared" si="3"/>
        <v>4500.4620776448064</v>
      </c>
      <c r="BC13" s="111">
        <f t="shared" si="3"/>
        <v>2732.1348390927524</v>
      </c>
      <c r="BD13" s="111">
        <f t="shared" si="3"/>
        <v>130.96442812307473</v>
      </c>
      <c r="BE13" s="111">
        <f t="shared" si="3"/>
        <v>52.942350667589217</v>
      </c>
      <c r="BF13" s="111">
        <f t="shared" si="3"/>
        <v>355.61804961053957</v>
      </c>
      <c r="BG13" s="111">
        <f t="shared" si="3"/>
        <v>294.10260154260436</v>
      </c>
      <c r="BH13" s="111">
        <f t="shared" si="3"/>
        <v>564.72625298148171</v>
      </c>
      <c r="BI13" s="111">
        <f t="shared" si="3"/>
        <v>613.35226547013951</v>
      </c>
      <c r="BJ13" s="111">
        <f t="shared" si="3"/>
        <v>15870.627081481314</v>
      </c>
      <c r="BK13" s="111">
        <f t="shared" si="3"/>
        <v>9441.0218387045334</v>
      </c>
      <c r="BL13" s="111">
        <f t="shared" si="3"/>
        <v>3136.8970058538257</v>
      </c>
      <c r="BM13" s="111">
        <f t="shared" si="3"/>
        <v>1983.2526693648397</v>
      </c>
      <c r="BN13" s="111">
        <f t="shared" si="3"/>
        <v>315.94090470507814</v>
      </c>
      <c r="BO13" s="111">
        <f t="shared" si="3"/>
        <v>63.298023265912143</v>
      </c>
      <c r="BP13" s="111">
        <f t="shared" si="3"/>
        <v>121.08693483986086</v>
      </c>
      <c r="BQ13" s="111">
        <f t="shared" si="3"/>
        <v>139.87024830304924</v>
      </c>
      <c r="BR13" s="111">
        <f t="shared" ref="BR13:ED13" si="4">_xlfn.STDEV.S(BR6:BR11)</f>
        <v>315.36131028027847</v>
      </c>
      <c r="BS13" s="111">
        <f t="shared" si="4"/>
        <v>210.96618602918261</v>
      </c>
      <c r="BT13" s="111">
        <f t="shared" si="4"/>
        <v>361.35462773492981</v>
      </c>
      <c r="BU13" s="111">
        <f t="shared" si="4"/>
        <v>75.215700141105103</v>
      </c>
      <c r="BV13" s="111">
        <f t="shared" si="4"/>
        <v>80.515009253983536</v>
      </c>
      <c r="BW13" s="111">
        <f t="shared" si="4"/>
        <v>612.43651688251828</v>
      </c>
      <c r="BX13" s="111">
        <f t="shared" si="4"/>
        <v>3045.9806521694668</v>
      </c>
      <c r="BY13" s="111">
        <f t="shared" si="4"/>
        <v>7518.0975347585018</v>
      </c>
      <c r="BZ13" s="111">
        <f t="shared" si="4"/>
        <v>2726.2405805755957</v>
      </c>
      <c r="CA13" s="111">
        <f t="shared" si="4"/>
        <v>611.21130732716415</v>
      </c>
      <c r="CB13" s="111">
        <f t="shared" si="4"/>
        <v>168.52006150343226</v>
      </c>
      <c r="CC13" s="111">
        <f t="shared" si="4"/>
        <v>311.89904765110845</v>
      </c>
      <c r="CD13" s="111">
        <f t="shared" si="4"/>
        <v>1006.9913926501586</v>
      </c>
      <c r="CE13" s="111">
        <f t="shared" si="4"/>
        <v>1618.0311405985685</v>
      </c>
      <c r="CF13" s="111">
        <f t="shared" si="4"/>
        <v>718.20936924912849</v>
      </c>
      <c r="CG13" s="111">
        <f t="shared" si="4"/>
        <v>9.2025999349599292</v>
      </c>
      <c r="CH13" s="111">
        <f t="shared" si="4"/>
        <v>81.967447892482369</v>
      </c>
      <c r="CI13" s="111">
        <f t="shared" si="4"/>
        <v>18.626169708602525</v>
      </c>
      <c r="CJ13" s="111">
        <f t="shared" si="4"/>
        <v>0</v>
      </c>
      <c r="CK13" s="111">
        <f t="shared" si="4"/>
        <v>26.101143143708189</v>
      </c>
      <c r="CL13" s="111">
        <f t="shared" si="4"/>
        <v>10.879713609626966</v>
      </c>
      <c r="CM13" s="111">
        <f t="shared" si="4"/>
        <v>89.100749479773199</v>
      </c>
      <c r="CN13" s="111">
        <f t="shared" si="4"/>
        <v>24.854157562725177</v>
      </c>
      <c r="CO13" s="111">
        <f t="shared" si="4"/>
        <v>19.268275811371144</v>
      </c>
      <c r="CP13" s="111"/>
      <c r="CQ13" s="111">
        <f t="shared" si="4"/>
        <v>9.0412753532630106</v>
      </c>
      <c r="CR13" s="111">
        <f t="shared" si="4"/>
        <v>0</v>
      </c>
      <c r="CS13" s="111">
        <f t="shared" si="4"/>
        <v>13.350919638842967</v>
      </c>
      <c r="CT13" s="111">
        <f t="shared" si="4"/>
        <v>10.054635757588407</v>
      </c>
      <c r="CU13" s="111">
        <f t="shared" si="4"/>
        <v>7.8755485974435011</v>
      </c>
      <c r="CV13" s="111">
        <f t="shared" si="4"/>
        <v>7.850185409540603</v>
      </c>
      <c r="CW13" s="111">
        <f t="shared" si="4"/>
        <v>120.54848320506184</v>
      </c>
      <c r="CX13" s="111">
        <f t="shared" si="4"/>
        <v>83.323914916997182</v>
      </c>
      <c r="CY13" s="111">
        <f t="shared" si="4"/>
        <v>7.4490859029370862</v>
      </c>
      <c r="CZ13" s="111">
        <f t="shared" si="4"/>
        <v>8.9999924744387361</v>
      </c>
      <c r="DA13" s="111">
        <f t="shared" si="4"/>
        <v>34.836689787574898</v>
      </c>
      <c r="DB13" s="111">
        <f t="shared" si="4"/>
        <v>51.04811668206991</v>
      </c>
      <c r="DC13" s="111">
        <f t="shared" si="4"/>
        <v>9.8899209551581162</v>
      </c>
      <c r="DD13" s="111">
        <f t="shared" si="4"/>
        <v>60.473379161087514</v>
      </c>
      <c r="DE13" s="111">
        <f t="shared" si="4"/>
        <v>370.37360116657374</v>
      </c>
      <c r="DF13" s="111">
        <f t="shared" si="4"/>
        <v>174.96897365131116</v>
      </c>
      <c r="DG13" s="111">
        <f t="shared" si="4"/>
        <v>29.64367322087228</v>
      </c>
      <c r="DH13" s="111">
        <f t="shared" si="4"/>
        <v>0</v>
      </c>
      <c r="DI13" s="111">
        <f t="shared" si="4"/>
        <v>0</v>
      </c>
      <c r="DJ13" s="111">
        <f t="shared" si="4"/>
        <v>9.4119624644263347</v>
      </c>
      <c r="DK13" s="111">
        <f t="shared" si="4"/>
        <v>19.776095658039448</v>
      </c>
      <c r="DL13" s="111">
        <f t="shared" si="4"/>
        <v>13.435016571498871</v>
      </c>
      <c r="DM13" s="111">
        <f t="shared" si="4"/>
        <v>23.515793076116669</v>
      </c>
      <c r="DN13" s="111">
        <f t="shared" si="4"/>
        <v>38.590578850588741</v>
      </c>
      <c r="DO13" s="111">
        <f t="shared" si="4"/>
        <v>94.494044550557632</v>
      </c>
      <c r="DP13" s="111">
        <f t="shared" si="4"/>
        <v>213.46297934030383</v>
      </c>
      <c r="DQ13" s="111">
        <f t="shared" si="4"/>
        <v>151.11382648735449</v>
      </c>
      <c r="DR13" s="111">
        <f t="shared" si="4"/>
        <v>112.40370998146184</v>
      </c>
      <c r="DS13" s="111">
        <f t="shared" si="4"/>
        <v>9.0008692233485696</v>
      </c>
      <c r="DT13" s="111">
        <f t="shared" si="4"/>
        <v>8.1787622703677254</v>
      </c>
      <c r="DU13" s="111">
        <f t="shared" si="4"/>
        <v>13.319061429708547</v>
      </c>
      <c r="DV13" s="111">
        <f t="shared" si="4"/>
        <v>9.4983800212355316</v>
      </c>
      <c r="DW13" s="111">
        <f t="shared" si="4"/>
        <v>0</v>
      </c>
      <c r="DX13" s="111">
        <f t="shared" si="4"/>
        <v>10.212991002069426</v>
      </c>
      <c r="DY13" s="111">
        <f t="shared" si="4"/>
        <v>35.72855320472074</v>
      </c>
      <c r="DZ13" s="111">
        <f t="shared" si="4"/>
        <v>18.792755548616466</v>
      </c>
      <c r="EA13" s="111">
        <f t="shared" si="4"/>
        <v>12.975369002214451</v>
      </c>
      <c r="EB13" s="111">
        <f t="shared" si="4"/>
        <v>0</v>
      </c>
      <c r="EC13" s="111">
        <f t="shared" si="4"/>
        <v>9.7186045520534776</v>
      </c>
      <c r="ED13" s="111">
        <f t="shared" si="4"/>
        <v>33.322072399199179</v>
      </c>
      <c r="EE13" s="111">
        <f t="shared" ref="EE13:FI13" si="5">_xlfn.STDEV.S(EE6:EE11)</f>
        <v>20.537789507795988</v>
      </c>
      <c r="EF13" s="111">
        <f t="shared" si="5"/>
        <v>69.435503354324325</v>
      </c>
      <c r="EG13" s="111">
        <f t="shared" si="5"/>
        <v>63.899144314239628</v>
      </c>
      <c r="EH13" s="111">
        <f t="shared" si="5"/>
        <v>15.016697630266586</v>
      </c>
      <c r="EI13" s="111">
        <f t="shared" si="5"/>
        <v>15.210433283883342</v>
      </c>
      <c r="EJ13" s="111">
        <f t="shared" si="5"/>
        <v>8.83344271737311</v>
      </c>
      <c r="EK13" s="111">
        <f t="shared" si="5"/>
        <v>0</v>
      </c>
      <c r="EL13" s="111">
        <f t="shared" si="5"/>
        <v>14.995224534271587</v>
      </c>
      <c r="EM13" s="111">
        <f t="shared" si="5"/>
        <v>7.9241911488268846</v>
      </c>
      <c r="EN13" s="111">
        <f t="shared" si="5"/>
        <v>0</v>
      </c>
      <c r="EO13" s="111">
        <f t="shared" si="5"/>
        <v>17.053190347981683</v>
      </c>
      <c r="EP13" s="111"/>
      <c r="EQ13" s="111">
        <f t="shared" si="5"/>
        <v>56.922820931926559</v>
      </c>
      <c r="ER13" s="111">
        <f t="shared" si="5"/>
        <v>134.21685383162563</v>
      </c>
      <c r="ES13" s="111">
        <f t="shared" si="5"/>
        <v>27.331999127007581</v>
      </c>
      <c r="ET13" s="111">
        <f t="shared" si="5"/>
        <v>10.995364622609337</v>
      </c>
      <c r="EU13" s="111">
        <f t="shared" si="5"/>
        <v>10.534863452236872</v>
      </c>
      <c r="EV13" s="111">
        <f t="shared" si="5"/>
        <v>8.1076859695106407</v>
      </c>
      <c r="EW13" s="111">
        <f t="shared" si="5"/>
        <v>0</v>
      </c>
      <c r="EX13" s="111">
        <f t="shared" si="5"/>
        <v>20.561806205556739</v>
      </c>
      <c r="EY13" s="111">
        <f t="shared" si="5"/>
        <v>103.07590778505293</v>
      </c>
      <c r="EZ13" s="111">
        <f t="shared" si="5"/>
        <v>57.92522478880371</v>
      </c>
      <c r="FA13" s="111">
        <f t="shared" si="5"/>
        <v>0</v>
      </c>
      <c r="FB13" s="111">
        <f t="shared" si="5"/>
        <v>12.163745020408049</v>
      </c>
      <c r="FC13" s="111">
        <f t="shared" si="5"/>
        <v>0</v>
      </c>
      <c r="FD13" s="111">
        <f t="shared" si="5"/>
        <v>12.836964272902462</v>
      </c>
      <c r="FE13" s="111">
        <f t="shared" si="5"/>
        <v>83.323914916997182</v>
      </c>
      <c r="FF13" s="111">
        <f t="shared" si="5"/>
        <v>8.9258223028351473</v>
      </c>
      <c r="FG13" s="111">
        <f t="shared" si="5"/>
        <v>11.167338185750578</v>
      </c>
      <c r="FH13" s="111">
        <f t="shared" si="5"/>
        <v>0</v>
      </c>
      <c r="FI13" s="111">
        <f t="shared" si="5"/>
        <v>13.568442253671742</v>
      </c>
      <c r="FJ13" s="29"/>
      <c r="FK13" s="29"/>
      <c r="FL13" s="29"/>
    </row>
    <row r="14" spans="1:175">
      <c r="A14" s="29"/>
      <c r="B14" s="122" t="s">
        <v>173</v>
      </c>
      <c r="C14" s="111">
        <f>MEDIAN(C6:C11)</f>
        <v>2330.3475106911847</v>
      </c>
      <c r="D14" s="111">
        <f t="shared" ref="D14:BQ14" si="6">MEDIAN(D6:D11)</f>
        <v>195.40811503167299</v>
      </c>
      <c r="E14" s="111">
        <f t="shared" si="6"/>
        <v>7570.4055744846446</v>
      </c>
      <c r="F14" s="111">
        <f t="shared" si="6"/>
        <v>2846.9573429484799</v>
      </c>
      <c r="G14" s="111">
        <f t="shared" si="6"/>
        <v>218.23306401434951</v>
      </c>
      <c r="H14" s="111">
        <f t="shared" si="6"/>
        <v>313.3124825128445</v>
      </c>
      <c r="I14" s="111">
        <f t="shared" si="6"/>
        <v>144.6085385725265</v>
      </c>
      <c r="J14" s="111">
        <f t="shared" si="6"/>
        <v>15744.9695216858</v>
      </c>
      <c r="K14" s="111">
        <f t="shared" si="6"/>
        <v>8400.4111414913496</v>
      </c>
      <c r="L14" s="111">
        <f t="shared" si="6"/>
        <v>739.30320566742103</v>
      </c>
      <c r="M14" s="111">
        <f t="shared" si="6"/>
        <v>67.195353596673158</v>
      </c>
      <c r="N14" s="111">
        <f t="shared" si="6"/>
        <v>71.915297626183403</v>
      </c>
      <c r="O14" s="111">
        <f t="shared" si="6"/>
        <v>38.707484780489452</v>
      </c>
      <c r="P14" s="111">
        <f t="shared" si="6"/>
        <v>35.168489362405296</v>
      </c>
      <c r="Q14" s="111">
        <f t="shared" si="6"/>
        <v>12.8299265671779</v>
      </c>
      <c r="R14" s="111">
        <f t="shared" si="6"/>
        <v>68.357178365091244</v>
      </c>
      <c r="S14" s="111">
        <f t="shared" si="6"/>
        <v>85.446568252355092</v>
      </c>
      <c r="T14" s="111">
        <f t="shared" si="6"/>
        <v>485.85964313967548</v>
      </c>
      <c r="U14" s="111"/>
      <c r="V14" s="111">
        <f t="shared" si="6"/>
        <v>43896.905700659205</v>
      </c>
      <c r="W14" s="111">
        <f t="shared" si="6"/>
        <v>62778.783534208007</v>
      </c>
      <c r="X14" s="111">
        <f t="shared" si="6"/>
        <v>45712.862124659296</v>
      </c>
      <c r="Y14" s="111">
        <f t="shared" si="6"/>
        <v>68.266277692352247</v>
      </c>
      <c r="Z14" s="111">
        <f t="shared" si="6"/>
        <v>45.834398120392649</v>
      </c>
      <c r="AA14" s="111">
        <f t="shared" si="6"/>
        <v>164237.98727233999</v>
      </c>
      <c r="AB14" s="111">
        <f t="shared" si="6"/>
        <v>32160.194766081004</v>
      </c>
      <c r="AC14" s="111">
        <f t="shared" si="6"/>
        <v>300269.77773682552</v>
      </c>
      <c r="AD14" s="111">
        <f t="shared" si="6"/>
        <v>650.41516842231044</v>
      </c>
      <c r="AE14" s="111">
        <f t="shared" si="6"/>
        <v>5546.1596108346948</v>
      </c>
      <c r="AF14" s="111">
        <f t="shared" si="6"/>
        <v>9385.3728148734444</v>
      </c>
      <c r="AG14" s="111">
        <f t="shared" si="6"/>
        <v>637.26881923225301</v>
      </c>
      <c r="AH14" s="111">
        <f t="shared" si="6"/>
        <v>2871.7190377411098</v>
      </c>
      <c r="AI14" s="111">
        <f t="shared" si="6"/>
        <v>80.5506119467926</v>
      </c>
      <c r="AJ14" s="111">
        <f t="shared" si="6"/>
        <v>61.58276696154195</v>
      </c>
      <c r="AK14" s="111">
        <f t="shared" si="6"/>
        <v>316.13247582343098</v>
      </c>
      <c r="AL14" s="111">
        <f t="shared" si="6"/>
        <v>99.042794575486113</v>
      </c>
      <c r="AM14" s="111">
        <f t="shared" si="6"/>
        <v>101.3665494207529</v>
      </c>
      <c r="AN14" s="111">
        <f t="shared" si="6"/>
        <v>58.531200487045808</v>
      </c>
      <c r="AO14" s="111">
        <f t="shared" si="6"/>
        <v>45.567048857661845</v>
      </c>
      <c r="AP14" s="111">
        <f t="shared" si="6"/>
        <v>599.44205746463695</v>
      </c>
      <c r="AQ14" s="111">
        <f t="shared" si="6"/>
        <v>771.62323991908397</v>
      </c>
      <c r="AR14" s="111">
        <f t="shared" si="6"/>
        <v>1694.3480169358099</v>
      </c>
      <c r="AS14" s="111">
        <f t="shared" si="6"/>
        <v>13524.20755553645</v>
      </c>
      <c r="AT14" s="111">
        <f t="shared" si="6"/>
        <v>52.291929259702655</v>
      </c>
      <c r="AU14" s="111"/>
      <c r="AV14" s="111">
        <f t="shared" si="6"/>
        <v>109.54888735860735</v>
      </c>
      <c r="AW14" s="111">
        <f t="shared" si="6"/>
        <v>63.903880449475999</v>
      </c>
      <c r="AX14" s="111">
        <f t="shared" si="6"/>
        <v>57.50336619327615</v>
      </c>
      <c r="AY14" s="111">
        <f t="shared" si="6"/>
        <v>39.034634227357799</v>
      </c>
      <c r="AZ14" s="111">
        <f t="shared" si="6"/>
        <v>32.128463600343046</v>
      </c>
      <c r="BA14" s="111">
        <f t="shared" si="6"/>
        <v>217.45351418466498</v>
      </c>
      <c r="BB14" s="111">
        <f t="shared" si="6"/>
        <v>2403.6551701537101</v>
      </c>
      <c r="BC14" s="111">
        <f t="shared" si="6"/>
        <v>1348.032856820395</v>
      </c>
      <c r="BD14" s="111">
        <f t="shared" si="6"/>
        <v>95.104186461561909</v>
      </c>
      <c r="BE14" s="111">
        <f t="shared" si="6"/>
        <v>49.078541666195207</v>
      </c>
      <c r="BF14" s="111">
        <f t="shared" si="6"/>
        <v>239.1106152014975</v>
      </c>
      <c r="BG14" s="111">
        <f t="shared" si="6"/>
        <v>181.39024140824802</v>
      </c>
      <c r="BH14" s="111">
        <f t="shared" si="6"/>
        <v>383.3211463159605</v>
      </c>
      <c r="BI14" s="111">
        <f t="shared" si="6"/>
        <v>327.97336670879849</v>
      </c>
      <c r="BJ14" s="111">
        <f t="shared" si="6"/>
        <v>9957.1741601010999</v>
      </c>
      <c r="BK14" s="111">
        <f t="shared" si="6"/>
        <v>6624.6944249292901</v>
      </c>
      <c r="BL14" s="111">
        <f t="shared" si="6"/>
        <v>1339.21765812537</v>
      </c>
      <c r="BM14" s="111">
        <f t="shared" si="6"/>
        <v>1244.785890055485</v>
      </c>
      <c r="BN14" s="111">
        <f t="shared" si="6"/>
        <v>160.99416570386799</v>
      </c>
      <c r="BO14" s="111">
        <f t="shared" si="6"/>
        <v>73.4859857194906</v>
      </c>
      <c r="BP14" s="111">
        <f t="shared" si="6"/>
        <v>96.399869530286452</v>
      </c>
      <c r="BQ14" s="111">
        <f t="shared" si="6"/>
        <v>95.222869252255094</v>
      </c>
      <c r="BR14" s="111">
        <f t="shared" ref="BR14:ED14" si="7">MEDIAN(BR6:BR11)</f>
        <v>353.28117312552695</v>
      </c>
      <c r="BS14" s="111">
        <f t="shared" si="7"/>
        <v>340.274849462269</v>
      </c>
      <c r="BT14" s="111">
        <f t="shared" si="7"/>
        <v>423.63936606696745</v>
      </c>
      <c r="BU14" s="111">
        <f t="shared" si="7"/>
        <v>75.073526450777308</v>
      </c>
      <c r="BV14" s="111">
        <f t="shared" si="7"/>
        <v>77.199713224491404</v>
      </c>
      <c r="BW14" s="111">
        <f t="shared" si="7"/>
        <v>394.51755440717045</v>
      </c>
      <c r="BX14" s="111">
        <f t="shared" si="7"/>
        <v>2363.741982103315</v>
      </c>
      <c r="BY14" s="111">
        <f t="shared" si="7"/>
        <v>6772.0810103732401</v>
      </c>
      <c r="BZ14" s="111">
        <f t="shared" si="7"/>
        <v>1556.9897733145249</v>
      </c>
      <c r="CA14" s="111">
        <f t="shared" si="7"/>
        <v>362.5274304330685</v>
      </c>
      <c r="CB14" s="111">
        <f t="shared" si="7"/>
        <v>249.09293819407699</v>
      </c>
      <c r="CC14" s="111">
        <f t="shared" si="7"/>
        <v>150.69656505659299</v>
      </c>
      <c r="CD14" s="111">
        <f t="shared" si="7"/>
        <v>413.00144935218555</v>
      </c>
      <c r="CE14" s="111">
        <f t="shared" si="7"/>
        <v>874.40518299395148</v>
      </c>
      <c r="CF14" s="111">
        <f t="shared" si="7"/>
        <v>682.65736257919957</v>
      </c>
      <c r="CG14" s="111">
        <f t="shared" si="7"/>
        <v>45.74137140031295</v>
      </c>
      <c r="CH14" s="111">
        <f t="shared" si="7"/>
        <v>142.14407540039949</v>
      </c>
      <c r="CI14" s="111">
        <f t="shared" si="7"/>
        <v>34.787644883914098</v>
      </c>
      <c r="CJ14" s="111">
        <f t="shared" si="7"/>
        <v>0</v>
      </c>
      <c r="CK14" s="111">
        <f t="shared" si="7"/>
        <v>34.715509200374449</v>
      </c>
      <c r="CL14" s="111">
        <f t="shared" si="7"/>
        <v>0</v>
      </c>
      <c r="CM14" s="111">
        <f t="shared" si="7"/>
        <v>48.028129797183396</v>
      </c>
      <c r="CN14" s="111">
        <f t="shared" si="7"/>
        <v>11.96367978963405</v>
      </c>
      <c r="CO14" s="111">
        <f t="shared" si="7"/>
        <v>31.045855562371401</v>
      </c>
      <c r="CP14" s="111"/>
      <c r="CQ14" s="111">
        <f t="shared" si="7"/>
        <v>0</v>
      </c>
      <c r="CR14" s="111">
        <f t="shared" si="7"/>
        <v>0</v>
      </c>
      <c r="CS14" s="111">
        <f t="shared" si="7"/>
        <v>12.660540742990751</v>
      </c>
      <c r="CT14" s="111">
        <f t="shared" si="7"/>
        <v>0</v>
      </c>
      <c r="CU14" s="111">
        <f t="shared" si="7"/>
        <v>0</v>
      </c>
      <c r="CV14" s="111">
        <f t="shared" si="7"/>
        <v>0</v>
      </c>
      <c r="CW14" s="111">
        <f t="shared" si="7"/>
        <v>44.084559357716145</v>
      </c>
      <c r="CX14" s="111">
        <f t="shared" si="7"/>
        <v>63.802803950157603</v>
      </c>
      <c r="CY14" s="111">
        <f t="shared" si="7"/>
        <v>0</v>
      </c>
      <c r="CZ14" s="111">
        <f t="shared" si="7"/>
        <v>32.944736178036905</v>
      </c>
      <c r="DA14" s="111">
        <f t="shared" si="7"/>
        <v>48.352599244667246</v>
      </c>
      <c r="DB14" s="111">
        <f t="shared" si="7"/>
        <v>53.964898203981107</v>
      </c>
      <c r="DC14" s="111">
        <f t="shared" si="7"/>
        <v>0</v>
      </c>
      <c r="DD14" s="111">
        <f t="shared" si="7"/>
        <v>43.871340593165399</v>
      </c>
      <c r="DE14" s="111">
        <f t="shared" si="7"/>
        <v>271.93522577657251</v>
      </c>
      <c r="DF14" s="111">
        <f t="shared" si="7"/>
        <v>234.110016592965</v>
      </c>
      <c r="DG14" s="111">
        <f t="shared" si="7"/>
        <v>16.227400495436999</v>
      </c>
      <c r="DH14" s="111">
        <f t="shared" si="7"/>
        <v>0</v>
      </c>
      <c r="DI14" s="111">
        <f t="shared" si="7"/>
        <v>0</v>
      </c>
      <c r="DJ14" s="111">
        <f t="shared" si="7"/>
        <v>6.9995536966643002</v>
      </c>
      <c r="DK14" s="111">
        <f t="shared" si="7"/>
        <v>26.942472563370849</v>
      </c>
      <c r="DL14" s="111">
        <f t="shared" si="7"/>
        <v>24.119149453602198</v>
      </c>
      <c r="DM14" s="111">
        <f t="shared" si="7"/>
        <v>42.488339784397155</v>
      </c>
      <c r="DN14" s="111">
        <f t="shared" si="7"/>
        <v>7.6834763926631</v>
      </c>
      <c r="DO14" s="111">
        <f t="shared" si="7"/>
        <v>150.861357140926</v>
      </c>
      <c r="DP14" s="111">
        <f t="shared" si="7"/>
        <v>221.235815695241</v>
      </c>
      <c r="DQ14" s="111">
        <f t="shared" si="7"/>
        <v>80.666193615980006</v>
      </c>
      <c r="DR14" s="111">
        <f t="shared" si="7"/>
        <v>107.19642207551956</v>
      </c>
      <c r="DS14" s="111">
        <f t="shared" si="7"/>
        <v>7.3168314997517498</v>
      </c>
      <c r="DT14" s="111">
        <f t="shared" si="7"/>
        <v>0</v>
      </c>
      <c r="DU14" s="111">
        <f t="shared" si="7"/>
        <v>9.4680956892052492</v>
      </c>
      <c r="DV14" s="111">
        <f t="shared" si="7"/>
        <v>0</v>
      </c>
      <c r="DW14" s="111">
        <f t="shared" si="7"/>
        <v>0</v>
      </c>
      <c r="DX14" s="111">
        <f t="shared" si="7"/>
        <v>8.2568677735171008</v>
      </c>
      <c r="DY14" s="111">
        <f t="shared" si="7"/>
        <v>7.5417286435899502</v>
      </c>
      <c r="DZ14" s="111">
        <f t="shared" si="7"/>
        <v>0</v>
      </c>
      <c r="EA14" s="111">
        <f t="shared" si="7"/>
        <v>0</v>
      </c>
      <c r="EB14" s="111">
        <f t="shared" si="7"/>
        <v>0</v>
      </c>
      <c r="EC14" s="111">
        <f t="shared" si="7"/>
        <v>21.3425357734342</v>
      </c>
      <c r="ED14" s="111">
        <f t="shared" si="7"/>
        <v>6.2286667188110503</v>
      </c>
      <c r="EE14" s="111">
        <f t="shared" ref="EE14:FI14" si="8">MEDIAN(EE6:EE11)</f>
        <v>31.693882699179397</v>
      </c>
      <c r="EF14" s="111">
        <f t="shared" si="8"/>
        <v>33.319149756013303</v>
      </c>
      <c r="EG14" s="111">
        <f t="shared" si="8"/>
        <v>8.9883322132271495</v>
      </c>
      <c r="EH14" s="111">
        <f t="shared" si="8"/>
        <v>10.5981782382528</v>
      </c>
      <c r="EI14" s="111">
        <f t="shared" si="8"/>
        <v>0</v>
      </c>
      <c r="EJ14" s="111">
        <f t="shared" si="8"/>
        <v>0</v>
      </c>
      <c r="EK14" s="111">
        <f t="shared" si="8"/>
        <v>0</v>
      </c>
      <c r="EL14" s="111">
        <f t="shared" si="8"/>
        <v>8.4477896603816998</v>
      </c>
      <c r="EM14" s="111">
        <f t="shared" si="8"/>
        <v>0</v>
      </c>
      <c r="EN14" s="111">
        <f t="shared" si="8"/>
        <v>0</v>
      </c>
      <c r="EO14" s="111">
        <f t="shared" si="8"/>
        <v>12.34993252355765</v>
      </c>
      <c r="EP14" s="111"/>
      <c r="EQ14" s="111">
        <f t="shared" si="8"/>
        <v>16.796818019471402</v>
      </c>
      <c r="ER14" s="111">
        <f t="shared" si="8"/>
        <v>96.055725859576455</v>
      </c>
      <c r="ES14" s="111">
        <f t="shared" si="8"/>
        <v>10.0530392252273</v>
      </c>
      <c r="ET14" s="111">
        <f t="shared" si="8"/>
        <v>0</v>
      </c>
      <c r="EU14" s="111">
        <f t="shared" si="8"/>
        <v>0</v>
      </c>
      <c r="EV14" s="111">
        <f t="shared" si="8"/>
        <v>0</v>
      </c>
      <c r="EW14" s="111">
        <f t="shared" si="8"/>
        <v>0</v>
      </c>
      <c r="EX14" s="111">
        <f t="shared" si="8"/>
        <v>7.8301168472800997</v>
      </c>
      <c r="EY14" s="111">
        <f t="shared" si="8"/>
        <v>39.42417052448085</v>
      </c>
      <c r="EZ14" s="111">
        <f t="shared" si="8"/>
        <v>15.660530671353801</v>
      </c>
      <c r="FA14" s="111">
        <f t="shared" si="8"/>
        <v>0</v>
      </c>
      <c r="FB14" s="111">
        <f t="shared" si="8"/>
        <v>8.2748473160370004</v>
      </c>
      <c r="FC14" s="111">
        <f t="shared" si="8"/>
        <v>0</v>
      </c>
      <c r="FD14" s="111">
        <f t="shared" si="8"/>
        <v>0</v>
      </c>
      <c r="FE14" s="111">
        <f t="shared" si="8"/>
        <v>63.802803950157603</v>
      </c>
      <c r="FF14" s="111">
        <f t="shared" si="8"/>
        <v>6.3322442100182501</v>
      </c>
      <c r="FG14" s="111">
        <f t="shared" si="8"/>
        <v>0</v>
      </c>
      <c r="FH14" s="111">
        <f t="shared" si="8"/>
        <v>0</v>
      </c>
      <c r="FI14" s="111">
        <f t="shared" si="8"/>
        <v>0</v>
      </c>
      <c r="FJ14" s="29"/>
      <c r="FK14" s="29"/>
      <c r="FL14" s="29"/>
    </row>
    <row r="15" spans="1:175">
      <c r="A15" s="86"/>
      <c r="B15" s="123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24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</row>
    <row r="16" spans="1:175">
      <c r="A16" s="86"/>
      <c r="B16" s="123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24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</row>
    <row r="17" spans="1:168">
      <c r="A17" s="158" t="s">
        <v>174</v>
      </c>
      <c r="B17" s="123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24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29"/>
      <c r="EZ17" s="29"/>
      <c r="FA17" s="29"/>
      <c r="FB17" s="29"/>
      <c r="FC17" s="29"/>
      <c r="FD17" s="29"/>
      <c r="FE17" s="29"/>
      <c r="FF17" s="29"/>
      <c r="FG17" s="29"/>
      <c r="FH17" s="29"/>
      <c r="FI17" s="29"/>
      <c r="FJ17" s="29"/>
      <c r="FK17" s="29"/>
      <c r="FL17" s="29"/>
    </row>
    <row r="18" spans="1:168">
      <c r="A18" s="120" t="s">
        <v>231</v>
      </c>
      <c r="B18" s="134" t="s">
        <v>163</v>
      </c>
      <c r="C18" s="135">
        <v>768.31394672877298</v>
      </c>
      <c r="D18" s="135">
        <v>93.711792463932099</v>
      </c>
      <c r="E18" s="135">
        <v>4870.4421166215598</v>
      </c>
      <c r="F18" s="135">
        <v>2450.51771869084</v>
      </c>
      <c r="G18" s="135">
        <v>234.020214983301</v>
      </c>
      <c r="H18" s="135">
        <v>97.771833483398694</v>
      </c>
      <c r="I18" s="135">
        <v>269.47943678358303</v>
      </c>
      <c r="J18" s="135">
        <v>8390.1019834190101</v>
      </c>
      <c r="K18" s="135">
        <v>3821.0861970217202</v>
      </c>
      <c r="L18" s="135">
        <v>161.66583793079201</v>
      </c>
      <c r="M18" s="135">
        <v>169.55674572814701</v>
      </c>
      <c r="N18" s="135">
        <v>182.19303019519299</v>
      </c>
      <c r="O18" s="135">
        <v>36.703625228752301</v>
      </c>
      <c r="P18" s="135">
        <v>37.863956985279202</v>
      </c>
      <c r="Q18" s="135">
        <v>60.415006176793497</v>
      </c>
      <c r="R18" s="135">
        <v>51.6245269829544</v>
      </c>
      <c r="S18" s="135">
        <v>199.692506019343</v>
      </c>
      <c r="T18" s="135">
        <v>489.22677286066801</v>
      </c>
      <c r="U18" s="135"/>
      <c r="V18" s="135">
        <v>37841.946781622901</v>
      </c>
      <c r="W18" s="135">
        <v>54650.958768997501</v>
      </c>
      <c r="X18" s="135">
        <v>65826.128106966993</v>
      </c>
      <c r="Y18" s="135">
        <v>60.076613341708601</v>
      </c>
      <c r="Z18" s="135">
        <v>600.763220576717</v>
      </c>
      <c r="AA18" s="135">
        <v>148038.27873581101</v>
      </c>
      <c r="AB18" s="135">
        <v>10807.500638587901</v>
      </c>
      <c r="AC18" s="135">
        <v>94234.569900697403</v>
      </c>
      <c r="AD18" s="135">
        <v>1813.8697629913399</v>
      </c>
      <c r="AE18" s="135">
        <v>17056.873999911699</v>
      </c>
      <c r="AF18" s="135">
        <v>18920.804830177301</v>
      </c>
      <c r="AG18" s="135">
        <v>1452.2518973803899</v>
      </c>
      <c r="AH18" s="135">
        <v>2733.1252383653</v>
      </c>
      <c r="AI18" s="135">
        <v>296.81594698384799</v>
      </c>
      <c r="AJ18" s="135">
        <v>392.650839485348</v>
      </c>
      <c r="AK18" s="135">
        <v>307.29273715815901</v>
      </c>
      <c r="AL18" s="135">
        <v>26.601046298999599</v>
      </c>
      <c r="AM18" s="135">
        <v>480.81780086557802</v>
      </c>
      <c r="AN18" s="135">
        <v>368.45221198243701</v>
      </c>
      <c r="AO18" s="135">
        <v>26.7455313097622</v>
      </c>
      <c r="AP18" s="135">
        <v>859.11606953385603</v>
      </c>
      <c r="AQ18" s="135">
        <v>884.05835660790399</v>
      </c>
      <c r="AR18" s="135">
        <v>2190.98473816465</v>
      </c>
      <c r="AS18" s="135">
        <v>13572.136690634999</v>
      </c>
      <c r="AT18" s="135">
        <v>63.683200500507603</v>
      </c>
      <c r="AU18" s="135"/>
      <c r="AV18" s="135">
        <v>1</v>
      </c>
      <c r="AW18" s="135">
        <v>61.651205481609701</v>
      </c>
      <c r="AX18" s="135">
        <v>36.258316050238697</v>
      </c>
      <c r="AY18" s="135">
        <v>1</v>
      </c>
      <c r="AZ18" s="135">
        <v>14.036521712791</v>
      </c>
      <c r="BA18" s="135">
        <v>1</v>
      </c>
      <c r="BB18" s="135">
        <v>139.14925654066499</v>
      </c>
      <c r="BC18" s="135">
        <v>56.409138768941403</v>
      </c>
      <c r="BD18" s="135">
        <v>1</v>
      </c>
      <c r="BE18" s="135">
        <v>1</v>
      </c>
      <c r="BF18" s="135">
        <v>207.727514314904</v>
      </c>
      <c r="BG18" s="135">
        <v>63.814824286086498</v>
      </c>
      <c r="BH18" s="135">
        <v>38.490914683828699</v>
      </c>
      <c r="BI18" s="135">
        <v>46.8385126744625</v>
      </c>
      <c r="BJ18" s="135">
        <v>1803.41012006094</v>
      </c>
      <c r="BK18" s="135">
        <v>304.12404165646598</v>
      </c>
      <c r="BL18" s="135">
        <v>34.4627085113448</v>
      </c>
      <c r="BM18" s="135">
        <v>93.099599946844705</v>
      </c>
      <c r="BN18" s="135">
        <v>25.906216638323901</v>
      </c>
      <c r="BO18" s="135">
        <v>158.030013819098</v>
      </c>
      <c r="BP18" s="135">
        <v>1</v>
      </c>
      <c r="BQ18" s="135">
        <v>2885.7506898432698</v>
      </c>
      <c r="BR18" s="135">
        <v>1</v>
      </c>
      <c r="BS18" s="135">
        <v>1</v>
      </c>
      <c r="BT18" s="135">
        <v>1</v>
      </c>
      <c r="BU18" s="135">
        <v>1</v>
      </c>
      <c r="BV18" s="135">
        <v>276.83930064892098</v>
      </c>
      <c r="BW18" s="135">
        <v>96.149937803341999</v>
      </c>
      <c r="BX18" s="135">
        <v>178.58231813408699</v>
      </c>
      <c r="BY18" s="135">
        <v>568.16951184992399</v>
      </c>
      <c r="BZ18" s="135">
        <v>31.899106631207101</v>
      </c>
      <c r="CA18" s="135">
        <v>32.187266550146603</v>
      </c>
      <c r="CB18" s="135">
        <v>18.567358814322098</v>
      </c>
      <c r="CC18" s="135">
        <v>1</v>
      </c>
      <c r="CD18" s="135">
        <v>164.01712410372201</v>
      </c>
      <c r="CE18" s="135">
        <v>66.247487408661996</v>
      </c>
      <c r="CF18" s="135">
        <v>104.92764559170099</v>
      </c>
      <c r="CG18" s="135">
        <v>69.347032027829997</v>
      </c>
      <c r="CH18" s="135">
        <v>196.04294626283601</v>
      </c>
      <c r="CI18" s="136">
        <v>0</v>
      </c>
      <c r="CJ18" s="136">
        <v>0</v>
      </c>
      <c r="CK18" s="136">
        <v>0</v>
      </c>
      <c r="CL18" s="136">
        <v>0</v>
      </c>
      <c r="CM18" s="136">
        <v>0</v>
      </c>
      <c r="CN18" s="136">
        <v>0</v>
      </c>
      <c r="CO18" s="135">
        <v>51.869326275666999</v>
      </c>
      <c r="CP18" s="135"/>
      <c r="CQ18" s="136">
        <v>0</v>
      </c>
      <c r="CR18" s="136">
        <v>0</v>
      </c>
      <c r="CS18" s="136">
        <v>0</v>
      </c>
      <c r="CT18" s="135">
        <v>15.9595043483776</v>
      </c>
      <c r="CU18" s="136">
        <v>0</v>
      </c>
      <c r="CV18" s="136">
        <v>0</v>
      </c>
      <c r="CW18" s="136" t="s">
        <v>166</v>
      </c>
      <c r="CX18" s="135">
        <v>49.899455838332003</v>
      </c>
      <c r="CY18" s="136">
        <v>0</v>
      </c>
      <c r="CZ18" s="136">
        <v>0</v>
      </c>
      <c r="DA18" s="135">
        <v>21.561022169524499</v>
      </c>
      <c r="DB18" s="135">
        <v>101.71358097978001</v>
      </c>
      <c r="DC18" s="135">
        <v>15.1187432005825</v>
      </c>
      <c r="DD18" s="135">
        <v>41.231869192105101</v>
      </c>
      <c r="DE18" s="135">
        <v>173.006675257978</v>
      </c>
      <c r="DF18" s="135">
        <v>184.778739667883</v>
      </c>
      <c r="DG18" s="136">
        <v>0</v>
      </c>
      <c r="DH18" s="136">
        <v>0</v>
      </c>
      <c r="DI18" s="136">
        <v>0</v>
      </c>
      <c r="DJ18" s="135">
        <v>14.784040859429499</v>
      </c>
      <c r="DK18" s="135">
        <v>39.233117815676302</v>
      </c>
      <c r="DL18" s="135">
        <v>78.168897095090898</v>
      </c>
      <c r="DM18" s="135">
        <v>40.999704698138203</v>
      </c>
      <c r="DN18" s="135">
        <v>23.3973346376869</v>
      </c>
      <c r="DO18" s="135">
        <v>160.56708470205299</v>
      </c>
      <c r="DP18" s="135">
        <v>218.77057665061901</v>
      </c>
      <c r="DQ18" s="135">
        <v>133.62014153959399</v>
      </c>
      <c r="DR18" s="135">
        <v>44.626434719695503</v>
      </c>
      <c r="DS18" s="136">
        <v>0</v>
      </c>
      <c r="DT18" s="136">
        <v>0</v>
      </c>
      <c r="DU18" s="136">
        <v>0</v>
      </c>
      <c r="DV18" s="136">
        <v>0</v>
      </c>
      <c r="DW18" s="136">
        <v>0</v>
      </c>
      <c r="DX18" s="135">
        <v>18.4319427841852</v>
      </c>
      <c r="DY18" s="135">
        <v>20.9630111407727</v>
      </c>
      <c r="DZ18" s="135">
        <v>16.691336323492099</v>
      </c>
      <c r="EA18" s="136" t="s">
        <v>166</v>
      </c>
      <c r="EB18" s="136">
        <v>0</v>
      </c>
      <c r="EC18" s="136">
        <v>0</v>
      </c>
      <c r="ED18" s="135">
        <v>36.4163937398149</v>
      </c>
      <c r="EE18" s="135">
        <v>29.6508537734437</v>
      </c>
      <c r="EF18" s="135">
        <v>92.796952267400002</v>
      </c>
      <c r="EG18" s="136">
        <v>0</v>
      </c>
      <c r="EH18" s="136">
        <v>0</v>
      </c>
      <c r="EI18" s="135">
        <v>18.890850787733001</v>
      </c>
      <c r="EJ18" s="136">
        <v>0</v>
      </c>
      <c r="EK18" s="136">
        <v>0</v>
      </c>
      <c r="EL18" s="136">
        <v>0</v>
      </c>
      <c r="EM18" s="136">
        <v>0</v>
      </c>
      <c r="EN18" s="135">
        <v>21.611196509815201</v>
      </c>
      <c r="EO18" s="135">
        <v>28.440715465736201</v>
      </c>
      <c r="EP18" s="135"/>
      <c r="EQ18" s="136">
        <v>0</v>
      </c>
      <c r="ER18" s="135">
        <v>109.759589811547</v>
      </c>
      <c r="ES18" s="136">
        <v>0</v>
      </c>
      <c r="ET18" s="136">
        <v>0</v>
      </c>
      <c r="EU18" s="136">
        <v>0</v>
      </c>
      <c r="EV18" s="136">
        <v>0</v>
      </c>
      <c r="EW18" s="136">
        <v>0</v>
      </c>
      <c r="EX18" s="135">
        <v>16.0693437098906</v>
      </c>
      <c r="EY18" s="135">
        <v>31.570178818277899</v>
      </c>
      <c r="EZ18" s="136">
        <v>0</v>
      </c>
      <c r="FA18" s="136">
        <v>0</v>
      </c>
      <c r="FB18" s="136">
        <v>0</v>
      </c>
      <c r="FC18" s="136">
        <v>0</v>
      </c>
      <c r="FD18" s="136">
        <v>0</v>
      </c>
      <c r="FE18" s="135">
        <v>49.899455838332003</v>
      </c>
      <c r="FF18" s="136">
        <v>0</v>
      </c>
      <c r="FG18" s="136">
        <v>0</v>
      </c>
      <c r="FH18" s="136">
        <v>0</v>
      </c>
      <c r="FI18" s="136">
        <v>0</v>
      </c>
      <c r="FJ18" s="137"/>
      <c r="FK18" s="29"/>
      <c r="FL18" s="29"/>
    </row>
    <row r="19" spans="1:168">
      <c r="A19" s="120" t="s">
        <v>232</v>
      </c>
      <c r="B19" s="134" t="s">
        <v>163</v>
      </c>
      <c r="C19" s="135">
        <v>177.13467270637199</v>
      </c>
      <c r="D19" s="135">
        <v>41.835111678313801</v>
      </c>
      <c r="E19" s="135">
        <v>4630.3139375918099</v>
      </c>
      <c r="F19" s="135">
        <v>1517.0762555091101</v>
      </c>
      <c r="G19" s="135">
        <v>45.369967728498999</v>
      </c>
      <c r="H19" s="135">
        <v>255.363761238943</v>
      </c>
      <c r="I19" s="135">
        <v>418.411362536225</v>
      </c>
      <c r="J19" s="135">
        <v>8747.5195022500302</v>
      </c>
      <c r="K19" s="135">
        <v>4037.3090390751499</v>
      </c>
      <c r="L19" s="135">
        <v>293.73632772209697</v>
      </c>
      <c r="M19" s="135">
        <v>94.031594617184595</v>
      </c>
      <c r="N19" s="135">
        <v>28.975823655826002</v>
      </c>
      <c r="O19" s="135">
        <v>1</v>
      </c>
      <c r="P19" s="135">
        <v>43.4471144441723</v>
      </c>
      <c r="Q19" s="135">
        <v>1</v>
      </c>
      <c r="R19" s="135">
        <v>44.060292741357401</v>
      </c>
      <c r="S19" s="135">
        <v>134.37997345869999</v>
      </c>
      <c r="T19" s="135">
        <v>243.29516497331201</v>
      </c>
      <c r="U19" s="135"/>
      <c r="V19" s="135">
        <v>33469.646932694799</v>
      </c>
      <c r="W19" s="135">
        <v>52795.342451034201</v>
      </c>
      <c r="X19" s="135">
        <v>58709.604182321396</v>
      </c>
      <c r="Y19" s="135">
        <v>69.541429497968096</v>
      </c>
      <c r="Z19" s="135">
        <v>472.952910236028</v>
      </c>
      <c r="AA19" s="135">
        <v>187685.75223697201</v>
      </c>
      <c r="AB19" s="135">
        <v>27648.972077841401</v>
      </c>
      <c r="AC19" s="135">
        <v>260867.75741962201</v>
      </c>
      <c r="AD19" s="135">
        <v>1208.2748403666801</v>
      </c>
      <c r="AE19" s="135">
        <v>15623.544655645699</v>
      </c>
      <c r="AF19" s="135">
        <v>15730.713451072699</v>
      </c>
      <c r="AG19" s="135">
        <v>730.04622438923104</v>
      </c>
      <c r="AH19" s="135">
        <v>2929.46926313821</v>
      </c>
      <c r="AI19" s="135">
        <v>135.02369111384101</v>
      </c>
      <c r="AJ19" s="135">
        <v>1372.16156660705</v>
      </c>
      <c r="AK19" s="135">
        <v>385.32539685267301</v>
      </c>
      <c r="AL19" s="135">
        <v>181.619440023224</v>
      </c>
      <c r="AM19" s="135">
        <v>165.99055873833899</v>
      </c>
      <c r="AN19" s="135">
        <v>293.28606955336102</v>
      </c>
      <c r="AO19" s="135">
        <v>214.189704113571</v>
      </c>
      <c r="AP19" s="135">
        <v>1438.5089791718201</v>
      </c>
      <c r="AQ19" s="135">
        <v>1136.8384010397599</v>
      </c>
      <c r="AR19" s="135">
        <v>1920.44220239315</v>
      </c>
      <c r="AS19" s="135">
        <v>10779.9702638491</v>
      </c>
      <c r="AT19" s="135">
        <v>75.924870274350596</v>
      </c>
      <c r="AU19" s="135"/>
      <c r="AV19" s="135">
        <v>87.838963515193299</v>
      </c>
      <c r="AW19" s="135">
        <v>43.569212897511903</v>
      </c>
      <c r="AX19" s="135">
        <v>43.277315595149297</v>
      </c>
      <c r="AY19" s="135">
        <v>30.2830367990633</v>
      </c>
      <c r="AZ19" s="135">
        <v>1</v>
      </c>
      <c r="BA19" s="135">
        <v>1</v>
      </c>
      <c r="BB19" s="135">
        <v>482.81867787715601</v>
      </c>
      <c r="BC19" s="135">
        <v>429.26812445843302</v>
      </c>
      <c r="BD19" s="135">
        <v>1</v>
      </c>
      <c r="BE19" s="135">
        <v>1</v>
      </c>
      <c r="BF19" s="135">
        <v>43.406313546335099</v>
      </c>
      <c r="BG19" s="135">
        <v>1</v>
      </c>
      <c r="BH19" s="135">
        <v>103.38956830824399</v>
      </c>
      <c r="BI19" s="135">
        <v>1</v>
      </c>
      <c r="BJ19" s="135">
        <v>1438.4333250034099</v>
      </c>
      <c r="BK19" s="135">
        <v>1423.0831334099801</v>
      </c>
      <c r="BL19" s="135">
        <v>323.80800513413402</v>
      </c>
      <c r="BM19" s="135">
        <v>81.044870476964604</v>
      </c>
      <c r="BN19" s="135">
        <v>39.8505373983119</v>
      </c>
      <c r="BO19" s="135">
        <v>1</v>
      </c>
      <c r="BP19" s="135">
        <v>50.759582680063801</v>
      </c>
      <c r="BQ19" s="135">
        <v>1</v>
      </c>
      <c r="BR19" s="135">
        <v>55.593704248783702</v>
      </c>
      <c r="BS19" s="135">
        <v>25.485273793386799</v>
      </c>
      <c r="BT19" s="135">
        <v>51.450677998005297</v>
      </c>
      <c r="BU19" s="135">
        <v>1</v>
      </c>
      <c r="BV19" s="135">
        <v>62.668911245135803</v>
      </c>
      <c r="BW19" s="135">
        <v>179.35349312554899</v>
      </c>
      <c r="BX19" s="135">
        <v>448.89953685031497</v>
      </c>
      <c r="BY19" s="135">
        <v>1436.20898038068</v>
      </c>
      <c r="BZ19" s="135">
        <v>176.612986844208</v>
      </c>
      <c r="CA19" s="135">
        <v>88.061684672162002</v>
      </c>
      <c r="CB19" s="135">
        <v>35.683259945119097</v>
      </c>
      <c r="CC19" s="135">
        <v>42.265821351247602</v>
      </c>
      <c r="CD19" s="135">
        <v>151.51537654747801</v>
      </c>
      <c r="CE19" s="135">
        <v>254.559567322242</v>
      </c>
      <c r="CF19" s="135">
        <v>88.532216704112102</v>
      </c>
      <c r="CG19" s="135">
        <v>53.733455906824702</v>
      </c>
      <c r="CH19" s="135">
        <v>246.59173480668099</v>
      </c>
      <c r="CI19" s="136">
        <v>0</v>
      </c>
      <c r="CJ19" s="136">
        <v>0</v>
      </c>
      <c r="CK19" s="135">
        <v>51.789130428172598</v>
      </c>
      <c r="CL19" s="136">
        <v>0</v>
      </c>
      <c r="CM19" s="135">
        <v>34.227124912623403</v>
      </c>
      <c r="CN19" s="135">
        <v>29.115230448872801</v>
      </c>
      <c r="CO19" s="135">
        <v>33.502555196566199</v>
      </c>
      <c r="CP19" s="135"/>
      <c r="CQ19" s="136">
        <v>0</v>
      </c>
      <c r="CR19" s="136">
        <v>0</v>
      </c>
      <c r="CS19" s="135">
        <v>16.602719094700099</v>
      </c>
      <c r="CT19" s="135">
        <v>35.787453597637601</v>
      </c>
      <c r="CU19" s="136">
        <v>0</v>
      </c>
      <c r="CV19" s="135">
        <v>0</v>
      </c>
      <c r="CW19" s="135">
        <v>35.106184420138703</v>
      </c>
      <c r="CX19" s="135">
        <v>129.578117881266</v>
      </c>
      <c r="CY19" s="135">
        <v>18.028867327583399</v>
      </c>
      <c r="CZ19" s="135">
        <v>37.472962745664297</v>
      </c>
      <c r="DA19" s="135">
        <v>139.089912322787</v>
      </c>
      <c r="DB19" s="135">
        <v>23.877248132892699</v>
      </c>
      <c r="DC19" s="136">
        <v>0</v>
      </c>
      <c r="DD19" s="135">
        <v>14.7262821334139</v>
      </c>
      <c r="DE19" s="135">
        <v>696.03099631409805</v>
      </c>
      <c r="DF19" s="135">
        <v>620.69027863747601</v>
      </c>
      <c r="DG19" s="135">
        <v>24.582060530536499</v>
      </c>
      <c r="DH19" s="136">
        <v>0</v>
      </c>
      <c r="DI19" s="136">
        <v>0</v>
      </c>
      <c r="DJ19" s="136">
        <v>0</v>
      </c>
      <c r="DK19" s="136">
        <v>0</v>
      </c>
      <c r="DL19" s="135">
        <v>31.0199494613531</v>
      </c>
      <c r="DM19" s="135">
        <v>20.178485454164498</v>
      </c>
      <c r="DN19" s="135">
        <v>71.493585383476997</v>
      </c>
      <c r="DO19" s="135">
        <v>247.980265716308</v>
      </c>
      <c r="DP19" s="135">
        <v>462.50708654822</v>
      </c>
      <c r="DQ19" s="135">
        <v>120.49316387621001</v>
      </c>
      <c r="DR19" s="135">
        <v>26.819739846444602</v>
      </c>
      <c r="DS19" s="136">
        <v>0</v>
      </c>
      <c r="DT19" s="136">
        <v>0</v>
      </c>
      <c r="DU19" s="135">
        <v>47.357380161900103</v>
      </c>
      <c r="DV19" s="136">
        <v>0</v>
      </c>
      <c r="DW19" s="136">
        <v>0</v>
      </c>
      <c r="DX19" s="135">
        <v>25.7873176010721</v>
      </c>
      <c r="DY19" s="135">
        <v>20.855056377194501</v>
      </c>
      <c r="DZ19" s="135">
        <v>28.660210079199601</v>
      </c>
      <c r="EA19" s="136">
        <v>0</v>
      </c>
      <c r="EB19" s="136">
        <v>0</v>
      </c>
      <c r="EC19" s="135">
        <v>24.259480691037702</v>
      </c>
      <c r="ED19" s="135">
        <v>24.4535689556288</v>
      </c>
      <c r="EE19" s="135">
        <v>59.6771039400085</v>
      </c>
      <c r="EF19" s="135">
        <v>64.727392351031099</v>
      </c>
      <c r="EG19" s="135">
        <v>19.038241107044001</v>
      </c>
      <c r="EH19" s="136">
        <v>0</v>
      </c>
      <c r="EI19" s="136">
        <v>0</v>
      </c>
      <c r="EJ19" s="136">
        <v>0</v>
      </c>
      <c r="EK19" s="135">
        <v>17.938809161381499</v>
      </c>
      <c r="EL19" s="135">
        <v>15.5339293799372</v>
      </c>
      <c r="EM19" s="136">
        <v>0</v>
      </c>
      <c r="EN19" s="136">
        <v>0</v>
      </c>
      <c r="EO19" s="135">
        <v>20.043289157419899</v>
      </c>
      <c r="EP19" s="135"/>
      <c r="EQ19" s="135">
        <v>19.7560103431037</v>
      </c>
      <c r="ER19" s="135">
        <v>159.96750570488899</v>
      </c>
      <c r="ES19" s="135">
        <v>26.979543385837601</v>
      </c>
      <c r="ET19" s="136">
        <v>0</v>
      </c>
      <c r="EU19" s="135">
        <v>31.531792730875999</v>
      </c>
      <c r="EV19" s="135">
        <v>22.426327978821199</v>
      </c>
      <c r="EW19" s="136">
        <v>0</v>
      </c>
      <c r="EX19" s="135">
        <v>132.446619180814</v>
      </c>
      <c r="EY19" s="135">
        <v>292.19208772027503</v>
      </c>
      <c r="EZ19" s="135">
        <v>17.472816424212201</v>
      </c>
      <c r="FA19" s="135">
        <v>22.251455379783799</v>
      </c>
      <c r="FB19" s="135">
        <v>21.136535625100301</v>
      </c>
      <c r="FC19" s="136">
        <v>0</v>
      </c>
      <c r="FD19" s="136">
        <v>0</v>
      </c>
      <c r="FE19" s="135">
        <v>129.578117881266</v>
      </c>
      <c r="FF19" s="136">
        <v>0</v>
      </c>
      <c r="FG19" s="136">
        <v>0</v>
      </c>
      <c r="FH19" s="135">
        <v>18.510806140396198</v>
      </c>
      <c r="FI19" s="136">
        <v>0</v>
      </c>
      <c r="FJ19" s="137"/>
      <c r="FK19" s="29"/>
      <c r="FL19" s="29"/>
    </row>
    <row r="20" spans="1:168">
      <c r="A20" s="120" t="s">
        <v>213</v>
      </c>
      <c r="B20" s="134" t="s">
        <v>163</v>
      </c>
      <c r="C20" s="135">
        <v>1480.8560072028399</v>
      </c>
      <c r="D20" s="135">
        <v>67.587236079895206</v>
      </c>
      <c r="E20" s="135">
        <v>5770.6815843095301</v>
      </c>
      <c r="F20" s="135">
        <v>2775.6786441502099</v>
      </c>
      <c r="G20" s="135">
        <v>153.563144026841</v>
      </c>
      <c r="H20" s="135">
        <v>334.74576496936999</v>
      </c>
      <c r="I20" s="135">
        <v>154.00143146699099</v>
      </c>
      <c r="J20" s="135">
        <v>11521.957338694199</v>
      </c>
      <c r="K20" s="135">
        <v>5606.9870609814898</v>
      </c>
      <c r="L20" s="135">
        <v>522.70075701363203</v>
      </c>
      <c r="M20" s="135">
        <v>58.863751775712501</v>
      </c>
      <c r="N20" s="135">
        <v>161.22327237586799</v>
      </c>
      <c r="O20" s="135">
        <v>45.017623353650698</v>
      </c>
      <c r="P20" s="135">
        <v>32.059139184507202</v>
      </c>
      <c r="Q20" s="135">
        <v>1</v>
      </c>
      <c r="R20" s="135">
        <v>40.377318402851401</v>
      </c>
      <c r="S20" s="135">
        <v>31.1520716370682</v>
      </c>
      <c r="T20" s="135">
        <v>65.511663952972299</v>
      </c>
      <c r="U20" s="135"/>
      <c r="V20" s="135">
        <v>41889.662374735701</v>
      </c>
      <c r="W20" s="135">
        <v>58458.8268882794</v>
      </c>
      <c r="X20" s="135">
        <v>46702.313712631701</v>
      </c>
      <c r="Y20" s="135">
        <v>56.362809601473202</v>
      </c>
      <c r="Z20" s="135">
        <v>671.29265172869998</v>
      </c>
      <c r="AA20" s="135">
        <v>209158.557144005</v>
      </c>
      <c r="AB20" s="135">
        <v>24521.8509886762</v>
      </c>
      <c r="AC20" s="135">
        <v>222784.396139902</v>
      </c>
      <c r="AD20" s="135">
        <v>594.92115636380504</v>
      </c>
      <c r="AE20" s="135">
        <v>12481.8226349121</v>
      </c>
      <c r="AF20" s="135">
        <v>16308.007174843</v>
      </c>
      <c r="AG20" s="135">
        <v>877.61973655642498</v>
      </c>
      <c r="AH20" s="135">
        <v>1858.0615493821799</v>
      </c>
      <c r="AI20" s="135">
        <v>759.41594974973498</v>
      </c>
      <c r="AJ20" s="135">
        <v>427.81060125469702</v>
      </c>
      <c r="AK20" s="135">
        <v>470.65993154080002</v>
      </c>
      <c r="AL20" s="135">
        <v>42.259408374422598</v>
      </c>
      <c r="AM20" s="135">
        <v>537.40984299165598</v>
      </c>
      <c r="AN20" s="135">
        <v>748.60718880758498</v>
      </c>
      <c r="AO20" s="135">
        <v>32.410033639510402</v>
      </c>
      <c r="AP20" s="135">
        <v>650.51653861105899</v>
      </c>
      <c r="AQ20" s="135">
        <v>524.80314661486602</v>
      </c>
      <c r="AR20" s="135">
        <v>1601.60211807975</v>
      </c>
      <c r="AS20" s="135">
        <v>17772.730973739501</v>
      </c>
      <c r="AT20" s="135">
        <v>272.41467966628301</v>
      </c>
      <c r="AU20" s="135"/>
      <c r="AV20" s="135">
        <v>65.957090592552106</v>
      </c>
      <c r="AW20" s="135">
        <v>422.73937907429899</v>
      </c>
      <c r="AX20" s="135">
        <v>123.432416807821</v>
      </c>
      <c r="AY20" s="135">
        <v>51.290549168323402</v>
      </c>
      <c r="AZ20" s="135">
        <v>29.824183353071799</v>
      </c>
      <c r="BA20" s="135">
        <v>700.15080525593305</v>
      </c>
      <c r="BB20" s="135">
        <v>18864.201824481599</v>
      </c>
      <c r="BC20" s="135">
        <v>10858.6509059071</v>
      </c>
      <c r="BD20" s="135">
        <v>505.435466148736</v>
      </c>
      <c r="BE20" s="135">
        <v>211.38394272807</v>
      </c>
      <c r="BF20" s="135">
        <v>1638.6598280194601</v>
      </c>
      <c r="BG20" s="135">
        <v>1123.1008478305901</v>
      </c>
      <c r="BH20" s="135">
        <v>1516.23491070092</v>
      </c>
      <c r="BI20" s="135">
        <v>1330.3623157309401</v>
      </c>
      <c r="BJ20" s="135">
        <v>61187.316813261903</v>
      </c>
      <c r="BK20" s="135">
        <v>42143.180968872199</v>
      </c>
      <c r="BL20" s="135">
        <v>12836.5458934013</v>
      </c>
      <c r="BM20" s="135">
        <v>7803.3995108622203</v>
      </c>
      <c r="BN20" s="135">
        <v>508.69588127832702</v>
      </c>
      <c r="BO20" s="135">
        <v>398.44895264783202</v>
      </c>
      <c r="BP20" s="135">
        <v>854.50264956440799</v>
      </c>
      <c r="BQ20" s="135">
        <v>639.85680665620498</v>
      </c>
      <c r="BR20" s="135">
        <v>2317.4835135431499</v>
      </c>
      <c r="BS20" s="135">
        <v>831.61122112149098</v>
      </c>
      <c r="BT20" s="135">
        <v>1335.25948263499</v>
      </c>
      <c r="BU20" s="135">
        <v>627.58548185474399</v>
      </c>
      <c r="BV20" s="135">
        <v>250.25955453472201</v>
      </c>
      <c r="BW20" s="135">
        <v>4062.6866972829698</v>
      </c>
      <c r="BX20" s="135">
        <v>14181.4095111323</v>
      </c>
      <c r="BY20" s="135">
        <v>39838.209031917999</v>
      </c>
      <c r="BZ20" s="135">
        <v>10056.8625605664</v>
      </c>
      <c r="CA20" s="135">
        <v>2524.4374794668101</v>
      </c>
      <c r="CB20" s="135">
        <v>1405.3652466369001</v>
      </c>
      <c r="CC20" s="135">
        <v>1038.88960011112</v>
      </c>
      <c r="CD20" s="135">
        <v>4148.6809005146197</v>
      </c>
      <c r="CE20" s="135">
        <v>5017.3406632002598</v>
      </c>
      <c r="CF20" s="135">
        <v>3495.9764332353002</v>
      </c>
      <c r="CG20" s="135">
        <v>62.410550654174202</v>
      </c>
      <c r="CH20" s="135">
        <v>152.02472247106101</v>
      </c>
      <c r="CI20" s="136">
        <v>0</v>
      </c>
      <c r="CJ20" s="136">
        <v>0</v>
      </c>
      <c r="CK20" s="135">
        <v>180.35407045294099</v>
      </c>
      <c r="CL20" s="136">
        <v>0</v>
      </c>
      <c r="CM20" s="135">
        <v>234.626619996637</v>
      </c>
      <c r="CN20" s="135">
        <v>55.432452802737799</v>
      </c>
      <c r="CO20" s="135">
        <v>63.950376535101803</v>
      </c>
      <c r="CP20" s="135"/>
      <c r="CQ20" s="136">
        <v>0</v>
      </c>
      <c r="CR20" s="136">
        <v>0</v>
      </c>
      <c r="CS20" s="136">
        <v>0</v>
      </c>
      <c r="CT20" s="135">
        <v>21.945962886200299</v>
      </c>
      <c r="CU20" s="136">
        <v>0</v>
      </c>
      <c r="CV20" s="136">
        <v>0</v>
      </c>
      <c r="CW20" s="135">
        <v>19.957769207714001</v>
      </c>
      <c r="CX20" s="135">
        <v>112.6505452058</v>
      </c>
      <c r="CY20" s="135">
        <v>0</v>
      </c>
      <c r="CZ20" s="135">
        <v>29.9631995410926</v>
      </c>
      <c r="DA20" s="135">
        <v>62.197565647014301</v>
      </c>
      <c r="DB20" s="135">
        <v>114.155782874037</v>
      </c>
      <c r="DC20" s="136">
        <v>0</v>
      </c>
      <c r="DD20" s="135">
        <v>0</v>
      </c>
      <c r="DE20" s="135">
        <v>340.21397197935897</v>
      </c>
      <c r="DF20" s="135">
        <v>351.93057929074803</v>
      </c>
      <c r="DG20" s="136">
        <v>0</v>
      </c>
      <c r="DH20" s="136">
        <v>0</v>
      </c>
      <c r="DI20" s="135">
        <v>15.821979786555</v>
      </c>
      <c r="DJ20" s="135">
        <v>13.4873975378148</v>
      </c>
      <c r="DK20" s="135">
        <v>18.420824411035301</v>
      </c>
      <c r="DL20" s="136">
        <v>0</v>
      </c>
      <c r="DM20" s="135">
        <v>43.599814715960299</v>
      </c>
      <c r="DN20" s="136">
        <v>0</v>
      </c>
      <c r="DO20" s="135">
        <v>286.28994533205798</v>
      </c>
      <c r="DP20" s="135">
        <v>146.47712890263</v>
      </c>
      <c r="DQ20" s="135">
        <v>154.550352540343</v>
      </c>
      <c r="DR20" s="135">
        <v>90.039609905415006</v>
      </c>
      <c r="DS20" s="136">
        <v>0</v>
      </c>
      <c r="DT20" s="136">
        <v>0</v>
      </c>
      <c r="DU20" s="136">
        <v>0</v>
      </c>
      <c r="DV20" s="136">
        <v>0</v>
      </c>
      <c r="DW20" s="136">
        <v>0</v>
      </c>
      <c r="DX20" s="135">
        <v>13.6496311675839</v>
      </c>
      <c r="DY20" s="135">
        <v>12.6839363501264</v>
      </c>
      <c r="DZ20" s="135">
        <v>34.402530583242203</v>
      </c>
      <c r="EA20" s="136">
        <v>0</v>
      </c>
      <c r="EB20" s="136">
        <v>0</v>
      </c>
      <c r="EC20" s="136">
        <v>0</v>
      </c>
      <c r="ED20" s="135">
        <v>15.717843941138399</v>
      </c>
      <c r="EE20" s="136">
        <v>0</v>
      </c>
      <c r="EF20" s="135">
        <v>39.727093311226596</v>
      </c>
      <c r="EG20" s="135">
        <v>27.205490831456899</v>
      </c>
      <c r="EH20" s="136">
        <v>0</v>
      </c>
      <c r="EI20" s="136">
        <v>0</v>
      </c>
      <c r="EJ20" s="136">
        <v>0</v>
      </c>
      <c r="EK20" s="136">
        <v>0</v>
      </c>
      <c r="EL20" s="135">
        <v>22.324276030433001</v>
      </c>
      <c r="EM20" s="135">
        <v>28.416937919539901</v>
      </c>
      <c r="EN20" s="136">
        <v>0</v>
      </c>
      <c r="EO20" s="136">
        <v>0</v>
      </c>
      <c r="EP20" s="136"/>
      <c r="EQ20" s="136">
        <v>0</v>
      </c>
      <c r="ER20" s="135">
        <v>67.7449025219166</v>
      </c>
      <c r="ES20" s="136">
        <v>0</v>
      </c>
      <c r="ET20" s="136">
        <v>0</v>
      </c>
      <c r="EU20" s="135">
        <v>23.263880815710301</v>
      </c>
      <c r="EV20" s="136">
        <v>0</v>
      </c>
      <c r="EW20" s="136">
        <v>0</v>
      </c>
      <c r="EX20" s="136">
        <v>0</v>
      </c>
      <c r="EY20" s="135">
        <v>55.216008836985203</v>
      </c>
      <c r="EZ20" s="135">
        <v>17.2411945179526</v>
      </c>
      <c r="FA20" s="136">
        <v>0</v>
      </c>
      <c r="FB20" s="135">
        <v>42.773529567725802</v>
      </c>
      <c r="FC20" s="136">
        <v>0</v>
      </c>
      <c r="FD20" s="135">
        <v>40.535375601509003</v>
      </c>
      <c r="FE20" s="135">
        <v>112.6505452058</v>
      </c>
      <c r="FF20" s="136">
        <v>0</v>
      </c>
      <c r="FG20" s="136">
        <v>0</v>
      </c>
      <c r="FH20" s="136">
        <v>0</v>
      </c>
      <c r="FI20" s="136">
        <v>0</v>
      </c>
      <c r="FJ20" s="137"/>
      <c r="FK20" s="29"/>
      <c r="FL20" s="29"/>
    </row>
    <row r="21" spans="1:168">
      <c r="A21" s="120" t="s">
        <v>214</v>
      </c>
      <c r="B21" s="138" t="s">
        <v>162</v>
      </c>
      <c r="C21" s="135">
        <v>1071.3921540251499</v>
      </c>
      <c r="D21" s="135">
        <v>236.933619995729</v>
      </c>
      <c r="E21" s="135">
        <v>3901.9579665961001</v>
      </c>
      <c r="F21" s="135">
        <v>3253.1332049448602</v>
      </c>
      <c r="G21" s="135">
        <v>110.874661111029</v>
      </c>
      <c r="H21" s="135">
        <v>290.80600899718303</v>
      </c>
      <c r="I21" s="135">
        <v>475.14018832527302</v>
      </c>
      <c r="J21" s="135">
        <v>7886.6291748796202</v>
      </c>
      <c r="K21" s="135">
        <v>3456.4658034457598</v>
      </c>
      <c r="L21" s="135">
        <v>61.415594113648702</v>
      </c>
      <c r="M21" s="135">
        <v>55.379773458061699</v>
      </c>
      <c r="N21" s="135">
        <v>37.7845667234768</v>
      </c>
      <c r="O21" s="135">
        <v>43.865168130485699</v>
      </c>
      <c r="P21" s="135">
        <v>81.348642591487106</v>
      </c>
      <c r="Q21" s="135">
        <v>49.399363802657902</v>
      </c>
      <c r="R21" s="135">
        <v>43.172415608976102</v>
      </c>
      <c r="S21" s="135">
        <v>38.625795766128903</v>
      </c>
      <c r="T21" s="135">
        <v>168.11567775286301</v>
      </c>
      <c r="U21" s="135"/>
      <c r="V21" s="135">
        <v>37711.105797732802</v>
      </c>
      <c r="W21" s="135">
        <v>55341.907458570298</v>
      </c>
      <c r="X21" s="135">
        <v>88165.977900522703</v>
      </c>
      <c r="Y21" s="135">
        <v>285.03735595404999</v>
      </c>
      <c r="Z21" s="135">
        <v>116.811386900824</v>
      </c>
      <c r="AA21" s="135">
        <v>236011.19991222399</v>
      </c>
      <c r="AB21" s="135">
        <v>33628.341638311002</v>
      </c>
      <c r="AC21" s="135">
        <v>296150.07896577998</v>
      </c>
      <c r="AD21" s="135">
        <v>2201.27116379157</v>
      </c>
      <c r="AE21" s="135">
        <v>27001.550356644999</v>
      </c>
      <c r="AF21" s="135">
        <v>26863.2172550711</v>
      </c>
      <c r="AG21" s="135">
        <v>1506.21047460921</v>
      </c>
      <c r="AH21" s="135">
        <v>2752.4767883049299</v>
      </c>
      <c r="AI21" s="135">
        <v>83.279020325454894</v>
      </c>
      <c r="AJ21" s="135">
        <v>1338.9087023822401</v>
      </c>
      <c r="AK21" s="135">
        <v>575.68932608328203</v>
      </c>
      <c r="AL21" s="135">
        <v>139.21377463797899</v>
      </c>
      <c r="AM21" s="135">
        <v>196.449680423404</v>
      </c>
      <c r="AN21" s="135">
        <v>248.245108706373</v>
      </c>
      <c r="AO21" s="135">
        <v>54.332709422708099</v>
      </c>
      <c r="AP21" s="135">
        <v>1260.9927460553599</v>
      </c>
      <c r="AQ21" s="135">
        <v>675.64274293163498</v>
      </c>
      <c r="AR21" s="135">
        <v>1832.2771374819999</v>
      </c>
      <c r="AS21" s="135">
        <v>16761.313864781201</v>
      </c>
      <c r="AT21" s="135">
        <v>131.538760202042</v>
      </c>
      <c r="AU21" s="135"/>
      <c r="AV21" s="135">
        <v>182.89824588229101</v>
      </c>
      <c r="AW21" s="135">
        <v>41.807398915318103</v>
      </c>
      <c r="AX21" s="135">
        <v>49.601696261796398</v>
      </c>
      <c r="AY21" s="135">
        <v>70.330070750891394</v>
      </c>
      <c r="AZ21" s="135">
        <v>1</v>
      </c>
      <c r="BA21" s="135">
        <v>1009.69019158784</v>
      </c>
      <c r="BB21" s="135">
        <v>6864.1328593550597</v>
      </c>
      <c r="BC21" s="135">
        <v>3986.9338159963299</v>
      </c>
      <c r="BD21" s="135">
        <v>373.42202403001397</v>
      </c>
      <c r="BE21" s="135">
        <v>62.954415876394002</v>
      </c>
      <c r="BF21" s="135">
        <v>724.37077772444604</v>
      </c>
      <c r="BG21" s="135">
        <v>342.595459962728</v>
      </c>
      <c r="BH21" s="135">
        <v>416.79712644157502</v>
      </c>
      <c r="BI21" s="135">
        <v>805.923052663818</v>
      </c>
      <c r="BJ21" s="135">
        <v>19880.4466383994</v>
      </c>
      <c r="BK21" s="135">
        <v>14805.646687292799</v>
      </c>
      <c r="BL21" s="135">
        <v>4765.4889684446198</v>
      </c>
      <c r="BM21" s="135">
        <v>2876.2928155353902</v>
      </c>
      <c r="BN21" s="135">
        <v>318.36366620919898</v>
      </c>
      <c r="BO21" s="135">
        <v>109.76806244732001</v>
      </c>
      <c r="BP21" s="135">
        <v>492.95859332245902</v>
      </c>
      <c r="BQ21" s="135">
        <v>230.36774399295001</v>
      </c>
      <c r="BR21" s="135">
        <v>430.18395439009402</v>
      </c>
      <c r="BS21" s="135">
        <v>194.37513351417601</v>
      </c>
      <c r="BT21" s="135">
        <v>851.39202793664595</v>
      </c>
      <c r="BU21" s="135">
        <v>168.461158961922</v>
      </c>
      <c r="BV21" s="135">
        <v>126.26391763255501</v>
      </c>
      <c r="BW21" s="135">
        <v>1147.0662934212401</v>
      </c>
      <c r="BX21" s="135">
        <v>3793.2208767481002</v>
      </c>
      <c r="BY21" s="135">
        <v>13170.4101522862</v>
      </c>
      <c r="BZ21" s="135">
        <v>3639.39225974389</v>
      </c>
      <c r="CA21" s="135">
        <v>1226.06621211779</v>
      </c>
      <c r="CB21" s="135">
        <v>289.92948687052501</v>
      </c>
      <c r="CC21" s="135">
        <v>440.35198879222497</v>
      </c>
      <c r="CD21" s="135">
        <v>1165.1686676917</v>
      </c>
      <c r="CE21" s="135">
        <v>2561.5557426005298</v>
      </c>
      <c r="CF21" s="135">
        <v>1857.5618392379899</v>
      </c>
      <c r="CG21" s="135">
        <v>48.788531202417801</v>
      </c>
      <c r="CH21" s="135">
        <v>67.464130139741599</v>
      </c>
      <c r="CI21" s="135">
        <v>86.281070800894994</v>
      </c>
      <c r="CJ21" s="135">
        <v>28.107269584247099</v>
      </c>
      <c r="CK21" s="136">
        <v>0</v>
      </c>
      <c r="CL21" s="136">
        <v>0</v>
      </c>
      <c r="CM21" s="135">
        <v>64.608291914105195</v>
      </c>
      <c r="CN21" s="135">
        <v>43.453241515041597</v>
      </c>
      <c r="CO21" s="135">
        <v>35.310583180424501</v>
      </c>
      <c r="CP21" s="135"/>
      <c r="CQ21" s="136">
        <v>0</v>
      </c>
      <c r="CR21" s="136">
        <v>0</v>
      </c>
      <c r="CS21" s="136">
        <v>0</v>
      </c>
      <c r="CT21" s="136">
        <v>0</v>
      </c>
      <c r="CU21" s="136">
        <v>0</v>
      </c>
      <c r="CV21" s="136">
        <v>0</v>
      </c>
      <c r="CW21" s="136">
        <v>0</v>
      </c>
      <c r="CX21" s="135">
        <v>16.265684116865199</v>
      </c>
      <c r="CY21" s="136">
        <v>0</v>
      </c>
      <c r="CZ21" s="136">
        <v>0</v>
      </c>
      <c r="DA21" s="136" t="s">
        <v>166</v>
      </c>
      <c r="DB21" s="136">
        <v>0</v>
      </c>
      <c r="DC21" s="136">
        <v>0</v>
      </c>
      <c r="DD21" s="136">
        <v>0</v>
      </c>
      <c r="DE21" s="135">
        <v>30.2268315338146</v>
      </c>
      <c r="DF21" s="136">
        <v>0</v>
      </c>
      <c r="DG21" s="136">
        <v>0</v>
      </c>
      <c r="DH21" s="136">
        <v>0</v>
      </c>
      <c r="DI21" s="136">
        <v>0</v>
      </c>
      <c r="DJ21" s="136">
        <v>0</v>
      </c>
      <c r="DK21" s="136">
        <v>0</v>
      </c>
      <c r="DL21" s="136">
        <v>0</v>
      </c>
      <c r="DM21" s="136">
        <v>0</v>
      </c>
      <c r="DN21" s="136">
        <v>0</v>
      </c>
      <c r="DO21" s="136">
        <v>0</v>
      </c>
      <c r="DP21" s="135">
        <v>13.4485471094064</v>
      </c>
      <c r="DQ21" s="135">
        <v>14.014017906177401</v>
      </c>
      <c r="DR21" s="136">
        <v>0</v>
      </c>
      <c r="DS21" s="136">
        <v>0</v>
      </c>
      <c r="DT21" s="136">
        <v>0</v>
      </c>
      <c r="DU21" s="136">
        <v>0</v>
      </c>
      <c r="DV21" s="136">
        <v>0</v>
      </c>
      <c r="DW21" s="136">
        <v>0</v>
      </c>
      <c r="DX21" s="136">
        <v>0</v>
      </c>
      <c r="DY21" s="136">
        <v>0</v>
      </c>
      <c r="DZ21" s="136">
        <v>0</v>
      </c>
      <c r="EA21" s="136">
        <v>0</v>
      </c>
      <c r="EB21" s="136">
        <v>0</v>
      </c>
      <c r="EC21" s="135">
        <v>28.473687881684398</v>
      </c>
      <c r="ED21" s="135">
        <v>31.967861201386601</v>
      </c>
      <c r="EE21" s="136">
        <v>0</v>
      </c>
      <c r="EF21" s="136">
        <v>0</v>
      </c>
      <c r="EG21" s="136">
        <v>0</v>
      </c>
      <c r="EH21" s="136">
        <v>0</v>
      </c>
      <c r="EI21" s="136">
        <v>0</v>
      </c>
      <c r="EJ21" s="136">
        <v>0</v>
      </c>
      <c r="EK21" s="136">
        <v>0</v>
      </c>
      <c r="EL21" s="135">
        <v>11.1862208100767</v>
      </c>
      <c r="EM21" s="136">
        <v>0</v>
      </c>
      <c r="EN21" s="136">
        <v>0</v>
      </c>
      <c r="EO21" s="136">
        <v>0</v>
      </c>
      <c r="EP21" s="136"/>
      <c r="EQ21" s="136">
        <v>0</v>
      </c>
      <c r="ER21" s="136">
        <v>0</v>
      </c>
      <c r="ES21" s="136">
        <v>0</v>
      </c>
      <c r="ET21" s="136">
        <v>0</v>
      </c>
      <c r="EU21" s="136">
        <v>0</v>
      </c>
      <c r="EV21" s="135">
        <v>15.379154880411299</v>
      </c>
      <c r="EW21" s="136">
        <v>0</v>
      </c>
      <c r="EX21" s="136">
        <v>0</v>
      </c>
      <c r="EY21" s="135">
        <v>56.498352716436699</v>
      </c>
      <c r="EZ21" s="136">
        <v>0</v>
      </c>
      <c r="FA21" s="136" t="s">
        <v>166</v>
      </c>
      <c r="FB21" s="136">
        <v>0</v>
      </c>
      <c r="FC21" s="136">
        <v>0</v>
      </c>
      <c r="FD21" s="136">
        <v>0</v>
      </c>
      <c r="FE21" s="135">
        <v>16.265684116865199</v>
      </c>
      <c r="FF21" s="136">
        <v>0</v>
      </c>
      <c r="FG21" s="136">
        <v>0</v>
      </c>
      <c r="FH21" s="136">
        <v>0</v>
      </c>
      <c r="FI21" s="136">
        <v>0</v>
      </c>
      <c r="FJ21" s="137"/>
      <c r="FK21" s="29"/>
      <c r="FL21" s="29"/>
    </row>
    <row r="22" spans="1:168">
      <c r="A22" s="120" t="s">
        <v>233</v>
      </c>
      <c r="B22" s="134" t="s">
        <v>162</v>
      </c>
      <c r="C22" s="135">
        <v>590.25080738615497</v>
      </c>
      <c r="D22" s="135">
        <v>182.70474028698399</v>
      </c>
      <c r="E22" s="135">
        <v>2314.45608855826</v>
      </c>
      <c r="F22" s="135">
        <v>2047.88318603673</v>
      </c>
      <c r="G22" s="135">
        <v>100.548253257258</v>
      </c>
      <c r="H22" s="135">
        <v>251.99429486386899</v>
      </c>
      <c r="I22" s="135">
        <v>86.398963565194606</v>
      </c>
      <c r="J22" s="135">
        <v>7286.5773522030904</v>
      </c>
      <c r="K22" s="135">
        <v>3173.4537480215199</v>
      </c>
      <c r="L22" s="135">
        <v>164.55868906241901</v>
      </c>
      <c r="M22" s="135">
        <v>198.228483736426</v>
      </c>
      <c r="N22" s="135">
        <v>56.337648148069803</v>
      </c>
      <c r="O22" s="135">
        <v>1</v>
      </c>
      <c r="P22" s="135">
        <v>42.741026575713001</v>
      </c>
      <c r="Q22" s="135">
        <v>38.076446654377598</v>
      </c>
      <c r="R22" s="135">
        <v>33.4095418595764</v>
      </c>
      <c r="S22" s="135">
        <v>67.818867866953099</v>
      </c>
      <c r="T22" s="135">
        <v>151.548843999561</v>
      </c>
      <c r="U22" s="135"/>
      <c r="V22" s="135">
        <v>45845.365354465997</v>
      </c>
      <c r="W22" s="135">
        <v>68440.8358139919</v>
      </c>
      <c r="X22" s="135">
        <v>112474.99640607501</v>
      </c>
      <c r="Y22" s="135">
        <v>56.272011927375097</v>
      </c>
      <c r="Z22" s="135">
        <v>478.163376893161</v>
      </c>
      <c r="AA22" s="135">
        <v>306387.96959754103</v>
      </c>
      <c r="AB22" s="135">
        <v>29851.703672926302</v>
      </c>
      <c r="AC22" s="135">
        <v>274188.69089163799</v>
      </c>
      <c r="AD22" s="135">
        <v>2124.1276526128499</v>
      </c>
      <c r="AE22" s="135">
        <v>12431.809641743201</v>
      </c>
      <c r="AF22" s="135">
        <v>26375.551321789098</v>
      </c>
      <c r="AG22" s="135">
        <v>1007.62600848966</v>
      </c>
      <c r="AH22" s="135">
        <v>3473.2628406547701</v>
      </c>
      <c r="AI22" s="135">
        <v>217.54119162665901</v>
      </c>
      <c r="AJ22" s="135">
        <v>79.482783105633303</v>
      </c>
      <c r="AK22" s="135">
        <v>428.97920896486602</v>
      </c>
      <c r="AL22" s="135">
        <v>246.64987383028901</v>
      </c>
      <c r="AM22" s="135">
        <v>303.83235005175698</v>
      </c>
      <c r="AN22" s="135">
        <v>452.56027344753301</v>
      </c>
      <c r="AO22" s="135">
        <v>285.314555103891</v>
      </c>
      <c r="AP22" s="135">
        <v>1549.7813222100101</v>
      </c>
      <c r="AQ22" s="135">
        <v>1019.26056010671</v>
      </c>
      <c r="AR22" s="135">
        <v>2488.19885072529</v>
      </c>
      <c r="AS22" s="135">
        <v>15681.095931411999</v>
      </c>
      <c r="AT22" s="135">
        <v>136.35902668641501</v>
      </c>
      <c r="AU22" s="135"/>
      <c r="AV22" s="135">
        <v>100.730482005756</v>
      </c>
      <c r="AW22" s="135">
        <v>154.28573603613501</v>
      </c>
      <c r="AX22" s="135">
        <v>351.88394105691799</v>
      </c>
      <c r="AY22" s="135">
        <v>50.631344880842398</v>
      </c>
      <c r="AZ22" s="135">
        <v>29.358712481119799</v>
      </c>
      <c r="BA22" s="135">
        <v>1303.2710965772901</v>
      </c>
      <c r="BB22" s="135">
        <v>19162.7889112462</v>
      </c>
      <c r="BC22" s="135">
        <v>7239.2170495505197</v>
      </c>
      <c r="BD22" s="135">
        <v>336.08372310471202</v>
      </c>
      <c r="BE22" s="135">
        <v>416.68633987194897</v>
      </c>
      <c r="BF22" s="135">
        <v>2132.97513655394</v>
      </c>
      <c r="BG22" s="135">
        <v>530.405316743409</v>
      </c>
      <c r="BH22" s="135">
        <v>1529.54367053277</v>
      </c>
      <c r="BI22" s="135">
        <v>806.60347299864497</v>
      </c>
      <c r="BJ22" s="135">
        <v>71253.688358309999</v>
      </c>
      <c r="BK22" s="135">
        <v>40975.068655791001</v>
      </c>
      <c r="BL22" s="135">
        <v>9648.0469636092002</v>
      </c>
      <c r="BM22" s="135">
        <v>6393.8882900513699</v>
      </c>
      <c r="BN22" s="135">
        <v>560.76044311825603</v>
      </c>
      <c r="BO22" s="135">
        <v>307.059189118299</v>
      </c>
      <c r="BP22" s="135">
        <v>835.06358732293495</v>
      </c>
      <c r="BQ22" s="135">
        <v>704.70139700363097</v>
      </c>
      <c r="BR22" s="135">
        <v>3039.96000523672</v>
      </c>
      <c r="BS22" s="135">
        <v>2101.2038185463598</v>
      </c>
      <c r="BT22" s="135">
        <v>2772.2977621783102</v>
      </c>
      <c r="BU22" s="135">
        <v>706.523342694451</v>
      </c>
      <c r="BV22" s="135">
        <v>1314.2645342971</v>
      </c>
      <c r="BW22" s="135">
        <v>5754.5562088999504</v>
      </c>
      <c r="BX22" s="135">
        <v>14121.093167213699</v>
      </c>
      <c r="BY22" s="135">
        <v>50799.849606941403</v>
      </c>
      <c r="BZ22" s="135">
        <v>12409.835130543601</v>
      </c>
      <c r="CA22" s="135">
        <v>3009.5025575483501</v>
      </c>
      <c r="CB22" s="135">
        <v>2417.2900635565202</v>
      </c>
      <c r="CC22" s="135">
        <v>568.73867816612596</v>
      </c>
      <c r="CD22" s="135">
        <v>6991.4405028745696</v>
      </c>
      <c r="CE22" s="135">
        <v>8929.3144604729296</v>
      </c>
      <c r="CF22" s="135">
        <v>6397.2397988189596</v>
      </c>
      <c r="CG22" s="135">
        <v>46.795604098955401</v>
      </c>
      <c r="CH22" s="135">
        <v>244.226462100525</v>
      </c>
      <c r="CI22" s="135">
        <v>54.260360767799597</v>
      </c>
      <c r="CJ22" s="136">
        <v>0</v>
      </c>
      <c r="CK22" s="135">
        <v>164.69937988457201</v>
      </c>
      <c r="CL22" s="136">
        <v>0</v>
      </c>
      <c r="CM22" s="135">
        <v>328.79632896940802</v>
      </c>
      <c r="CN22" s="136">
        <v>0</v>
      </c>
      <c r="CO22" s="135">
        <v>26.750831491830699</v>
      </c>
      <c r="CP22" s="135"/>
      <c r="CQ22" s="135">
        <v>17.9749434264866</v>
      </c>
      <c r="CR22" s="135">
        <v>16.963722281137599</v>
      </c>
      <c r="CS22" s="136">
        <v>0</v>
      </c>
      <c r="CT22" s="136">
        <v>0</v>
      </c>
      <c r="CU22" s="136">
        <v>0</v>
      </c>
      <c r="CV22" s="135">
        <v>28.105107182706099</v>
      </c>
      <c r="CW22" s="135">
        <v>172.20531706985301</v>
      </c>
      <c r="CX22" s="135">
        <v>386.41760133318502</v>
      </c>
      <c r="CY22" s="135">
        <v>14.233546214890399</v>
      </c>
      <c r="CZ22" s="135">
        <v>55.967624460867299</v>
      </c>
      <c r="DA22" s="135">
        <v>37.714888180373897</v>
      </c>
      <c r="DB22" s="135">
        <v>243.88935514183299</v>
      </c>
      <c r="DC22" s="136">
        <v>0</v>
      </c>
      <c r="DD22" s="135">
        <v>64.023331030782302</v>
      </c>
      <c r="DE22" s="135">
        <v>716.08673837770095</v>
      </c>
      <c r="DF22" s="135">
        <v>569.59481685766696</v>
      </c>
      <c r="DG22" s="136">
        <v>0</v>
      </c>
      <c r="DH22" s="136">
        <v>0</v>
      </c>
      <c r="DI22" s="136">
        <v>0</v>
      </c>
      <c r="DJ22" s="135">
        <v>29.643560529524201</v>
      </c>
      <c r="DK22" s="135">
        <v>70.853272903077894</v>
      </c>
      <c r="DL22" s="135">
        <v>25.832007999293499</v>
      </c>
      <c r="DM22" s="135">
        <v>123.304669326268</v>
      </c>
      <c r="DN22" s="135">
        <v>54.541591327582502</v>
      </c>
      <c r="DO22" s="135">
        <v>189.648559716145</v>
      </c>
      <c r="DP22" s="135">
        <v>531.34322116350199</v>
      </c>
      <c r="DQ22" s="135">
        <v>210.621523025979</v>
      </c>
      <c r="DR22" s="135">
        <v>252.52008525782901</v>
      </c>
      <c r="DS22" s="136">
        <v>0</v>
      </c>
      <c r="DT22" s="136">
        <v>0</v>
      </c>
      <c r="DU22" s="135">
        <v>25.945719068113299</v>
      </c>
      <c r="DV22" s="136">
        <v>0</v>
      </c>
      <c r="DW22" s="136">
        <v>0</v>
      </c>
      <c r="DX22" s="136">
        <v>0</v>
      </c>
      <c r="DY22" s="135">
        <v>88.814386772579994</v>
      </c>
      <c r="DZ22" s="135">
        <v>80.629131857770304</v>
      </c>
      <c r="EA22" s="135">
        <v>14.044148681494599</v>
      </c>
      <c r="EB22" s="136">
        <v>0</v>
      </c>
      <c r="EC22" s="136">
        <v>0</v>
      </c>
      <c r="ED22" s="135">
        <v>46.318231046992302</v>
      </c>
      <c r="EE22" s="135">
        <v>29.7898230621024</v>
      </c>
      <c r="EF22" s="135">
        <v>147.900079924116</v>
      </c>
      <c r="EG22" s="135">
        <v>66.226425856084802</v>
      </c>
      <c r="EH22" s="135">
        <v>20.460895489099901</v>
      </c>
      <c r="EI22" s="136">
        <v>0</v>
      </c>
      <c r="EJ22" s="136">
        <v>0</v>
      </c>
      <c r="EK22" s="136">
        <v>0</v>
      </c>
      <c r="EL22" s="136">
        <v>0</v>
      </c>
      <c r="EM22" s="136">
        <v>0</v>
      </c>
      <c r="EN22" s="136">
        <v>0</v>
      </c>
      <c r="EO22" s="135">
        <v>10.6938980627598</v>
      </c>
      <c r="EP22" s="135"/>
      <c r="EQ22" s="135">
        <v>16.644312348346499</v>
      </c>
      <c r="ER22" s="135">
        <v>106.461637102808</v>
      </c>
      <c r="ES22" s="135">
        <v>29.8935332291219</v>
      </c>
      <c r="ET22" s="136">
        <v>0</v>
      </c>
      <c r="EU22" s="135">
        <v>24.659859864805899</v>
      </c>
      <c r="EV22" s="136">
        <v>0</v>
      </c>
      <c r="EW22" s="135">
        <v>43.390590629882801</v>
      </c>
      <c r="EX22" s="135">
        <v>38.788233927102603</v>
      </c>
      <c r="EY22" s="135">
        <v>101.67220939317301</v>
      </c>
      <c r="EZ22" s="135">
        <v>55.4674881857134</v>
      </c>
      <c r="FA22" s="135">
        <v>28.945367351446301</v>
      </c>
      <c r="FB22" s="136">
        <v>0</v>
      </c>
      <c r="FC22" s="136">
        <v>0</v>
      </c>
      <c r="FD22" s="136">
        <v>0</v>
      </c>
      <c r="FE22" s="135">
        <v>386.41760133318502</v>
      </c>
      <c r="FF22" s="135">
        <v>13.5963338268631</v>
      </c>
      <c r="FG22" s="136">
        <v>0</v>
      </c>
      <c r="FH22" s="136">
        <v>0</v>
      </c>
      <c r="FI22" s="136">
        <v>0</v>
      </c>
      <c r="FJ22" s="137"/>
      <c r="FK22" s="29"/>
      <c r="FL22" s="29"/>
    </row>
    <row r="23" spans="1:168">
      <c r="A23" s="120" t="s">
        <v>215</v>
      </c>
      <c r="B23" s="134" t="s">
        <v>162</v>
      </c>
      <c r="C23" s="139">
        <v>2229.39506574081</v>
      </c>
      <c r="D23" s="139">
        <v>165.04964266704999</v>
      </c>
      <c r="E23" s="139">
        <v>6427.1997547450401</v>
      </c>
      <c r="F23" s="139">
        <v>2390.0142427779501</v>
      </c>
      <c r="G23" s="139">
        <v>56.4260803050012</v>
      </c>
      <c r="H23" s="139">
        <v>438.941900828786</v>
      </c>
      <c r="I23" s="139">
        <v>157.15464156504601</v>
      </c>
      <c r="J23" s="139">
        <v>20803.315425126799</v>
      </c>
      <c r="K23" s="139">
        <v>10160.899582875099</v>
      </c>
      <c r="L23" s="139">
        <v>757.70489607135198</v>
      </c>
      <c r="M23" s="139">
        <v>299.097411231058</v>
      </c>
      <c r="N23" s="139">
        <v>195.091538549576</v>
      </c>
      <c r="O23" s="139">
        <v>84.63701629034</v>
      </c>
      <c r="P23" s="139">
        <v>26.931691887632901</v>
      </c>
      <c r="Q23" s="139">
        <v>1</v>
      </c>
      <c r="R23" s="139">
        <v>23.209766932741601</v>
      </c>
      <c r="S23" s="139">
        <v>150.79001770100299</v>
      </c>
      <c r="T23" s="139">
        <v>374.52404274017601</v>
      </c>
      <c r="U23" s="139"/>
      <c r="V23" s="139">
        <v>54183.546252293803</v>
      </c>
      <c r="W23" s="139">
        <v>79076.045144968302</v>
      </c>
      <c r="X23" s="139">
        <v>57796.8927019603</v>
      </c>
      <c r="Y23" s="139">
        <v>64.939978495967097</v>
      </c>
      <c r="Z23" s="139">
        <v>80.158876428783302</v>
      </c>
      <c r="AA23" s="139">
        <v>338425.58496129198</v>
      </c>
      <c r="AB23" s="139">
        <v>40381.179721452303</v>
      </c>
      <c r="AC23" s="139">
        <v>384829.44497301901</v>
      </c>
      <c r="AD23" s="139">
        <v>1093.8652730019101</v>
      </c>
      <c r="AE23" s="139">
        <v>7551.9082857295298</v>
      </c>
      <c r="AF23" s="139">
        <v>18232.4046671656</v>
      </c>
      <c r="AG23" s="139">
        <v>265.43000474932501</v>
      </c>
      <c r="AH23" s="139">
        <v>4160.0271490710302</v>
      </c>
      <c r="AI23" s="139">
        <v>1377.92493956423</v>
      </c>
      <c r="AJ23" s="139">
        <v>1105.7401515689501</v>
      </c>
      <c r="AK23" s="139">
        <v>307.32831277707697</v>
      </c>
      <c r="AL23" s="139">
        <v>53.341111559142703</v>
      </c>
      <c r="AM23" s="139">
        <v>76.656551230885</v>
      </c>
      <c r="AN23" s="139">
        <v>41.728202603158401</v>
      </c>
      <c r="AO23" s="139">
        <v>200.81816904381199</v>
      </c>
      <c r="AP23" s="139">
        <v>788.15429965293902</v>
      </c>
      <c r="AQ23" s="139">
        <v>1331.5085210636801</v>
      </c>
      <c r="AR23" s="139">
        <v>1934.70023127079</v>
      </c>
      <c r="AS23" s="139">
        <v>10486.1478655685</v>
      </c>
      <c r="AT23" s="139">
        <v>54.799017172145</v>
      </c>
      <c r="AU23" s="139"/>
      <c r="AV23" s="139">
        <v>63.386866911985599</v>
      </c>
      <c r="AW23" s="139">
        <v>80.173854198532396</v>
      </c>
      <c r="AX23" s="139">
        <v>132.777214176212</v>
      </c>
      <c r="AY23" s="139">
        <v>1</v>
      </c>
      <c r="AZ23" s="139">
        <v>1</v>
      </c>
      <c r="BA23" s="139">
        <v>533.25700365690898</v>
      </c>
      <c r="BB23" s="139">
        <v>2614.5613463889099</v>
      </c>
      <c r="BC23" s="139">
        <v>1560.47092611061</v>
      </c>
      <c r="BD23" s="139">
        <v>84.952989222625007</v>
      </c>
      <c r="BE23" s="139">
        <v>116.0077489216</v>
      </c>
      <c r="BF23" s="139">
        <v>581.976235384711</v>
      </c>
      <c r="BG23" s="139">
        <v>381.62730016076699</v>
      </c>
      <c r="BH23" s="139">
        <v>709.51487868299296</v>
      </c>
      <c r="BI23" s="139">
        <v>603.38083707630301</v>
      </c>
      <c r="BJ23" s="139">
        <v>14354.970190521801</v>
      </c>
      <c r="BK23" s="139">
        <v>12227.7779121148</v>
      </c>
      <c r="BL23" s="139">
        <v>2501.5626606655601</v>
      </c>
      <c r="BM23" s="139">
        <v>1301.42579693894</v>
      </c>
      <c r="BN23" s="139">
        <v>208.81576396142799</v>
      </c>
      <c r="BO23" s="139">
        <v>57.593984974439202</v>
      </c>
      <c r="BP23" s="139">
        <v>126.464659456086</v>
      </c>
      <c r="BQ23" s="139">
        <v>58.362323887272602</v>
      </c>
      <c r="BR23" s="139">
        <v>440.13227128506799</v>
      </c>
      <c r="BS23" s="139">
        <v>548.06197996625701</v>
      </c>
      <c r="BT23" s="139">
        <v>252.07257566534199</v>
      </c>
      <c r="BU23" s="139">
        <v>84.156489161257795</v>
      </c>
      <c r="BV23" s="139">
        <v>148.32544985004799</v>
      </c>
      <c r="BW23" s="139">
        <v>366.48681223643501</v>
      </c>
      <c r="BX23" s="139">
        <v>3099.6892123071998</v>
      </c>
      <c r="BY23" s="139">
        <v>9746.0031021101095</v>
      </c>
      <c r="BZ23" s="139">
        <v>2198.41989418822</v>
      </c>
      <c r="CA23" s="139">
        <v>381.93635616898899</v>
      </c>
      <c r="CB23" s="139">
        <v>251.58519462093099</v>
      </c>
      <c r="CC23" s="139">
        <v>142.58036786389599</v>
      </c>
      <c r="CD23" s="139">
        <v>897.949536149952</v>
      </c>
      <c r="CE23" s="139">
        <v>1058.4304938083401</v>
      </c>
      <c r="CF23" s="139">
        <v>1430.9739507623499</v>
      </c>
      <c r="CG23" s="139">
        <v>99.664102226330797</v>
      </c>
      <c r="CH23" s="139">
        <v>342.31150467064799</v>
      </c>
      <c r="CI23" s="139">
        <v>29.700819660353499</v>
      </c>
      <c r="CJ23" s="139">
        <v>56.203688152741499</v>
      </c>
      <c r="CK23" s="139" t="s">
        <v>159</v>
      </c>
      <c r="CL23" s="140">
        <v>0</v>
      </c>
      <c r="CM23" s="139">
        <v>29.558716817208499</v>
      </c>
      <c r="CN23" s="140">
        <v>0</v>
      </c>
      <c r="CO23" s="139">
        <v>30.238167053422799</v>
      </c>
      <c r="CP23" s="139"/>
      <c r="CQ23" s="139">
        <v>25.3861105213062</v>
      </c>
      <c r="CR23" s="139">
        <v>15.621110076784399</v>
      </c>
      <c r="CS23" s="139">
        <v>29.285187477881099</v>
      </c>
      <c r="CT23" s="139">
        <v>16.5875931178862</v>
      </c>
      <c r="CU23" s="139">
        <v>14.3707677978629</v>
      </c>
      <c r="CV23" s="139">
        <v>13.018109498362699</v>
      </c>
      <c r="CW23" s="139">
        <v>170.825206819161</v>
      </c>
      <c r="CX23" s="139">
        <v>444.26572103404698</v>
      </c>
      <c r="CY23" s="140">
        <v>0</v>
      </c>
      <c r="CZ23" s="139">
        <v>34.678865212444499</v>
      </c>
      <c r="DA23" s="139">
        <v>67.377981606903802</v>
      </c>
      <c r="DB23" s="139">
        <v>201.93632242886099</v>
      </c>
      <c r="DC23" s="139">
        <v>27.596850460190598</v>
      </c>
      <c r="DD23" s="139">
        <v>116.214805197921</v>
      </c>
      <c r="DE23" s="139">
        <v>1332.6974355422601</v>
      </c>
      <c r="DF23" s="139">
        <v>1172.58204511434</v>
      </c>
      <c r="DG23" s="140">
        <v>0</v>
      </c>
      <c r="DH23" s="139">
        <v>22.8916883395874</v>
      </c>
      <c r="DI23" s="140">
        <v>0</v>
      </c>
      <c r="DJ23" s="140">
        <v>0</v>
      </c>
      <c r="DK23" s="139">
        <v>39.229267605047603</v>
      </c>
      <c r="DL23" s="139">
        <v>53.713139780423802</v>
      </c>
      <c r="DM23" s="139">
        <v>100.693178377145</v>
      </c>
      <c r="DN23" s="139">
        <v>38.915849332523102</v>
      </c>
      <c r="DO23" s="139">
        <v>704.98320040236104</v>
      </c>
      <c r="DP23" s="139">
        <v>867.08679041167295</v>
      </c>
      <c r="DQ23" s="139">
        <v>521.90191832464996</v>
      </c>
      <c r="DR23" s="139">
        <v>405.13504550840099</v>
      </c>
      <c r="DS23" s="139">
        <v>33.573654437280801</v>
      </c>
      <c r="DT23" s="140">
        <v>0</v>
      </c>
      <c r="DU23" s="139">
        <v>18.494245723785902</v>
      </c>
      <c r="DV23" s="139">
        <v>19.567965649049299</v>
      </c>
      <c r="DW23" s="139">
        <v>18.934703769006401</v>
      </c>
      <c r="DX23" s="139">
        <v>17.3018543516059</v>
      </c>
      <c r="DY23" s="139">
        <v>30.268129371988302</v>
      </c>
      <c r="DZ23" s="139">
        <v>38.318335333891199</v>
      </c>
      <c r="EA23" s="139">
        <v>37.471513843130801</v>
      </c>
      <c r="EB23" s="140">
        <v>0</v>
      </c>
      <c r="EC23" s="139">
        <v>35.179365050454201</v>
      </c>
      <c r="ED23" s="139">
        <v>246.00440855985499</v>
      </c>
      <c r="EE23" s="139">
        <v>210.685400869501</v>
      </c>
      <c r="EF23" s="139">
        <v>106.950029117187</v>
      </c>
      <c r="EG23" s="139">
        <v>122.97132426660301</v>
      </c>
      <c r="EH23" s="139">
        <v>20.516712497422098</v>
      </c>
      <c r="EI23" s="140">
        <v>0</v>
      </c>
      <c r="EJ23" s="140">
        <v>0</v>
      </c>
      <c r="EK23" s="140">
        <v>0</v>
      </c>
      <c r="EL23" s="140">
        <v>0</v>
      </c>
      <c r="EM23" s="139">
        <v>19.367493640261401</v>
      </c>
      <c r="EN23" s="140">
        <v>0</v>
      </c>
      <c r="EO23" s="139">
        <v>24.123046993960301</v>
      </c>
      <c r="EP23" s="139"/>
      <c r="EQ23" s="139">
        <v>72.155762603439499</v>
      </c>
      <c r="ER23" s="139">
        <v>367.16323561176898</v>
      </c>
      <c r="ES23" s="139">
        <v>158.692947232937</v>
      </c>
      <c r="ET23" s="140">
        <v>0</v>
      </c>
      <c r="EU23" s="140">
        <v>0</v>
      </c>
      <c r="EV23" s="140">
        <v>0</v>
      </c>
      <c r="EW23" s="140">
        <v>0</v>
      </c>
      <c r="EX23" s="139">
        <v>170.809085323929</v>
      </c>
      <c r="EY23" s="139">
        <v>391.63518391195498</v>
      </c>
      <c r="EZ23" s="139">
        <v>30.211977259626799</v>
      </c>
      <c r="FA23" s="140">
        <v>0</v>
      </c>
      <c r="FB23" s="139">
        <v>116.107428816064</v>
      </c>
      <c r="FC23" s="140">
        <v>0</v>
      </c>
      <c r="FD23" s="139">
        <v>44.888496126421103</v>
      </c>
      <c r="FE23" s="139">
        <v>444.26572103404698</v>
      </c>
      <c r="FF23" s="139">
        <v>40.586311485601698</v>
      </c>
      <c r="FG23" s="139">
        <v>24.5192181182545</v>
      </c>
      <c r="FH23" s="139">
        <v>15.934179335125201</v>
      </c>
      <c r="FI23" s="140">
        <v>0</v>
      </c>
      <c r="FJ23" s="141"/>
      <c r="FK23" s="29"/>
      <c r="FL23" s="29"/>
    </row>
    <row r="24" spans="1:168">
      <c r="A24" s="29"/>
      <c r="B24" s="122" t="s">
        <v>172</v>
      </c>
      <c r="C24" s="112">
        <f>AVERAGE(C18:C23)</f>
        <v>1052.8904422983499</v>
      </c>
      <c r="D24" s="112">
        <f t="shared" ref="D24:BQ24" si="9">AVERAGE(D18:D23)</f>
        <v>131.30369052865066</v>
      </c>
      <c r="E24" s="112">
        <f t="shared" si="9"/>
        <v>4652.5085747370504</v>
      </c>
      <c r="F24" s="112">
        <f t="shared" si="9"/>
        <v>2405.71720868495</v>
      </c>
      <c r="G24" s="112">
        <f t="shared" si="9"/>
        <v>116.80038690198819</v>
      </c>
      <c r="H24" s="112">
        <f t="shared" si="9"/>
        <v>278.2705940635916</v>
      </c>
      <c r="I24" s="112">
        <f t="shared" si="9"/>
        <v>260.09767070705215</v>
      </c>
      <c r="J24" s="112">
        <f t="shared" si="9"/>
        <v>10772.683462762127</v>
      </c>
      <c r="K24" s="112">
        <f t="shared" si="9"/>
        <v>5042.7002385701226</v>
      </c>
      <c r="L24" s="112">
        <f t="shared" si="9"/>
        <v>326.96368365232343</v>
      </c>
      <c r="M24" s="112">
        <f t="shared" si="9"/>
        <v>145.85962675776497</v>
      </c>
      <c r="N24" s="112">
        <f t="shared" si="9"/>
        <v>110.26764660800158</v>
      </c>
      <c r="O24" s="112">
        <f t="shared" si="9"/>
        <v>35.370572167204784</v>
      </c>
      <c r="P24" s="112">
        <f t="shared" si="9"/>
        <v>44.065261944798614</v>
      </c>
      <c r="Q24" s="112">
        <f t="shared" si="9"/>
        <v>25.1484694389715</v>
      </c>
      <c r="R24" s="112">
        <f t="shared" si="9"/>
        <v>39.308977088076226</v>
      </c>
      <c r="S24" s="112">
        <f t="shared" si="9"/>
        <v>103.74320540819936</v>
      </c>
      <c r="T24" s="112">
        <f t="shared" si="9"/>
        <v>248.70369437992539</v>
      </c>
      <c r="U24" s="112"/>
      <c r="V24" s="112">
        <f t="shared" si="9"/>
        <v>41823.54558225767</v>
      </c>
      <c r="W24" s="112">
        <f t="shared" si="9"/>
        <v>61460.652754306931</v>
      </c>
      <c r="X24" s="112">
        <f t="shared" si="9"/>
        <v>71612.652168413013</v>
      </c>
      <c r="Y24" s="112">
        <f t="shared" si="9"/>
        <v>98.705033136423665</v>
      </c>
      <c r="Z24" s="112">
        <f t="shared" si="9"/>
        <v>403.35707046070223</v>
      </c>
      <c r="AA24" s="112">
        <f t="shared" si="9"/>
        <v>237617.89043130749</v>
      </c>
      <c r="AB24" s="112">
        <f t="shared" si="9"/>
        <v>27806.591456299186</v>
      </c>
      <c r="AC24" s="112">
        <f t="shared" si="9"/>
        <v>255509.15638177641</v>
      </c>
      <c r="AD24" s="112">
        <f t="shared" si="9"/>
        <v>1506.0549748546925</v>
      </c>
      <c r="AE24" s="112">
        <f t="shared" si="9"/>
        <v>15357.918262431203</v>
      </c>
      <c r="AF24" s="112">
        <f t="shared" si="9"/>
        <v>20405.116450019799</v>
      </c>
      <c r="AG24" s="112">
        <f t="shared" si="9"/>
        <v>973.1973910290402</v>
      </c>
      <c r="AH24" s="112">
        <f t="shared" si="9"/>
        <v>2984.4038048194034</v>
      </c>
      <c r="AI24" s="112">
        <f t="shared" si="9"/>
        <v>478.33345656062801</v>
      </c>
      <c r="AJ24" s="112">
        <f t="shared" si="9"/>
        <v>786.12577406731964</v>
      </c>
      <c r="AK24" s="112">
        <f t="shared" si="9"/>
        <v>412.54581889614286</v>
      </c>
      <c r="AL24" s="112">
        <f t="shared" si="9"/>
        <v>114.94744245400949</v>
      </c>
      <c r="AM24" s="112">
        <f t="shared" si="9"/>
        <v>293.52613071693651</v>
      </c>
      <c r="AN24" s="112">
        <f t="shared" si="9"/>
        <v>358.81317585007463</v>
      </c>
      <c r="AO24" s="112">
        <f t="shared" si="9"/>
        <v>135.63511710554243</v>
      </c>
      <c r="AP24" s="112">
        <f t="shared" si="9"/>
        <v>1091.1783258725072</v>
      </c>
      <c r="AQ24" s="112">
        <f t="shared" si="9"/>
        <v>928.68528806075904</v>
      </c>
      <c r="AR24" s="112">
        <f t="shared" si="9"/>
        <v>1994.7008796859382</v>
      </c>
      <c r="AS24" s="112">
        <f t="shared" si="9"/>
        <v>14175.565931664218</v>
      </c>
      <c r="AT24" s="112">
        <f t="shared" si="9"/>
        <v>122.45325908362385</v>
      </c>
      <c r="AU24" s="112"/>
      <c r="AV24" s="112">
        <f t="shared" si="9"/>
        <v>83.635274817963008</v>
      </c>
      <c r="AW24" s="112">
        <f t="shared" si="9"/>
        <v>134.03779776723434</v>
      </c>
      <c r="AX24" s="112">
        <f t="shared" si="9"/>
        <v>122.87181665802257</v>
      </c>
      <c r="AY24" s="112">
        <f t="shared" si="9"/>
        <v>34.089166933186753</v>
      </c>
      <c r="AZ24" s="112">
        <f t="shared" si="9"/>
        <v>12.703236257830433</v>
      </c>
      <c r="BA24" s="112">
        <f t="shared" si="9"/>
        <v>591.39484951299539</v>
      </c>
      <c r="BB24" s="112">
        <f t="shared" si="9"/>
        <v>8021.2754793149325</v>
      </c>
      <c r="BC24" s="112">
        <f t="shared" si="9"/>
        <v>4021.8249934653227</v>
      </c>
      <c r="BD24" s="112">
        <f t="shared" si="9"/>
        <v>216.98236708434783</v>
      </c>
      <c r="BE24" s="112">
        <f t="shared" si="9"/>
        <v>134.83874123300217</v>
      </c>
      <c r="BF24" s="112">
        <f t="shared" si="9"/>
        <v>888.18596759063257</v>
      </c>
      <c r="BG24" s="112">
        <f t="shared" si="9"/>
        <v>407.09062483059671</v>
      </c>
      <c r="BH24" s="112">
        <f t="shared" si="9"/>
        <v>718.99517822505516</v>
      </c>
      <c r="BI24" s="112">
        <f t="shared" si="9"/>
        <v>599.01803185736139</v>
      </c>
      <c r="BJ24" s="112">
        <f t="shared" si="9"/>
        <v>28319.710907592907</v>
      </c>
      <c r="BK24" s="112">
        <f t="shared" si="9"/>
        <v>18646.480233189544</v>
      </c>
      <c r="BL24" s="112">
        <f t="shared" si="9"/>
        <v>5018.3191999610262</v>
      </c>
      <c r="BM24" s="112">
        <f t="shared" si="9"/>
        <v>3091.5251473019548</v>
      </c>
      <c r="BN24" s="112">
        <f t="shared" si="9"/>
        <v>277.06541810064101</v>
      </c>
      <c r="BO24" s="112">
        <f t="shared" si="9"/>
        <v>171.98336716783137</v>
      </c>
      <c r="BP24" s="112">
        <f t="shared" si="9"/>
        <v>393.45817872432525</v>
      </c>
      <c r="BQ24" s="112">
        <f t="shared" si="9"/>
        <v>753.33982689722143</v>
      </c>
      <c r="BR24" s="112">
        <f t="shared" ref="BR24:ED24" si="10">AVERAGE(BR18:BR23)</f>
        <v>1047.3922414506358</v>
      </c>
      <c r="BS24" s="112">
        <f t="shared" si="10"/>
        <v>616.95623782361179</v>
      </c>
      <c r="BT24" s="112">
        <f t="shared" si="10"/>
        <v>877.24542106888214</v>
      </c>
      <c r="BU24" s="112">
        <f t="shared" si="10"/>
        <v>264.78774544539579</v>
      </c>
      <c r="BV24" s="112">
        <f t="shared" si="10"/>
        <v>363.10361136808029</v>
      </c>
      <c r="BW24" s="112">
        <f t="shared" si="10"/>
        <v>1934.3832404615812</v>
      </c>
      <c r="BX24" s="112">
        <f t="shared" si="10"/>
        <v>5970.4824370642846</v>
      </c>
      <c r="BY24" s="112">
        <f t="shared" si="10"/>
        <v>19259.808397581055</v>
      </c>
      <c r="BZ24" s="112">
        <f t="shared" si="10"/>
        <v>4752.1703230862549</v>
      </c>
      <c r="CA24" s="112">
        <f t="shared" si="10"/>
        <v>1210.3652594207081</v>
      </c>
      <c r="CB24" s="112">
        <f t="shared" si="10"/>
        <v>736.40343507405305</v>
      </c>
      <c r="CC24" s="112">
        <f t="shared" si="10"/>
        <v>372.30440938076907</v>
      </c>
      <c r="CD24" s="112">
        <f t="shared" si="10"/>
        <v>2253.128684647007</v>
      </c>
      <c r="CE24" s="112">
        <f t="shared" si="10"/>
        <v>2981.2414024688273</v>
      </c>
      <c r="CF24" s="112">
        <f t="shared" si="10"/>
        <v>2229.201980725069</v>
      </c>
      <c r="CG24" s="112">
        <f t="shared" si="10"/>
        <v>63.456546019422149</v>
      </c>
      <c r="CH24" s="112">
        <f t="shared" si="10"/>
        <v>208.11025007524879</v>
      </c>
      <c r="CI24" s="112">
        <f t="shared" si="10"/>
        <v>28.373708538174679</v>
      </c>
      <c r="CJ24" s="112">
        <f t="shared" si="10"/>
        <v>14.0518262894981</v>
      </c>
      <c r="CK24" s="112">
        <f t="shared" si="10"/>
        <v>79.368516153137122</v>
      </c>
      <c r="CL24" s="112">
        <f t="shared" si="10"/>
        <v>0</v>
      </c>
      <c r="CM24" s="112">
        <f t="shared" si="10"/>
        <v>115.30284710166369</v>
      </c>
      <c r="CN24" s="112">
        <f t="shared" si="10"/>
        <v>21.3334874611087</v>
      </c>
      <c r="CO24" s="112">
        <f t="shared" si="10"/>
        <v>40.270306622168825</v>
      </c>
      <c r="CP24" s="112"/>
      <c r="CQ24" s="112">
        <f t="shared" si="10"/>
        <v>7.2268423246321332</v>
      </c>
      <c r="CR24" s="112">
        <f t="shared" si="10"/>
        <v>5.4308053929869997</v>
      </c>
      <c r="CS24" s="112">
        <f t="shared" si="10"/>
        <v>7.6479844287635332</v>
      </c>
      <c r="CT24" s="112">
        <f t="shared" si="10"/>
        <v>15.046752325016948</v>
      </c>
      <c r="CU24" s="112">
        <f t="shared" si="10"/>
        <v>2.3951279663104832</v>
      </c>
      <c r="CV24" s="112">
        <f t="shared" si="10"/>
        <v>6.8538694468447998</v>
      </c>
      <c r="CW24" s="112">
        <f t="shared" si="10"/>
        <v>79.618895503373352</v>
      </c>
      <c r="CX24" s="112">
        <f t="shared" si="10"/>
        <v>189.84618756824921</v>
      </c>
      <c r="CY24" s="112">
        <f t="shared" si="10"/>
        <v>5.3770689237456324</v>
      </c>
      <c r="CZ24" s="112">
        <f t="shared" si="10"/>
        <v>26.347108660011447</v>
      </c>
      <c r="DA24" s="112">
        <f t="shared" si="10"/>
        <v>65.588273985320697</v>
      </c>
      <c r="DB24" s="112">
        <f t="shared" si="10"/>
        <v>114.26204825956728</v>
      </c>
      <c r="DC24" s="112">
        <f t="shared" si="10"/>
        <v>7.1192656101288492</v>
      </c>
      <c r="DD24" s="112">
        <f t="shared" si="10"/>
        <v>39.366047925703718</v>
      </c>
      <c r="DE24" s="112">
        <f t="shared" si="10"/>
        <v>548.04377483420183</v>
      </c>
      <c r="DF24" s="112">
        <f t="shared" si="10"/>
        <v>483.26274326135234</v>
      </c>
      <c r="DG24" s="112">
        <f t="shared" si="10"/>
        <v>4.0970100884227501</v>
      </c>
      <c r="DH24" s="112">
        <f t="shared" si="10"/>
        <v>3.8152813899312332</v>
      </c>
      <c r="DI24" s="112">
        <f t="shared" si="10"/>
        <v>2.6369966310924999</v>
      </c>
      <c r="DJ24" s="112">
        <f t="shared" si="10"/>
        <v>9.6524998211280835</v>
      </c>
      <c r="DK24" s="112">
        <f t="shared" si="10"/>
        <v>27.956080455806184</v>
      </c>
      <c r="DL24" s="112">
        <f t="shared" si="10"/>
        <v>31.455665722693549</v>
      </c>
      <c r="DM24" s="112">
        <f t="shared" si="10"/>
        <v>54.795975428612671</v>
      </c>
      <c r="DN24" s="112">
        <f t="shared" si="10"/>
        <v>31.391393446878251</v>
      </c>
      <c r="DO24" s="112">
        <f t="shared" si="10"/>
        <v>264.91150931148746</v>
      </c>
      <c r="DP24" s="112">
        <f t="shared" si="10"/>
        <v>373.27222513100838</v>
      </c>
      <c r="DQ24" s="112">
        <f t="shared" si="10"/>
        <v>192.53351953549222</v>
      </c>
      <c r="DR24" s="112">
        <f t="shared" si="10"/>
        <v>136.52348587296419</v>
      </c>
      <c r="DS24" s="112">
        <f t="shared" si="10"/>
        <v>5.5956090728801335</v>
      </c>
      <c r="DT24" s="112">
        <f t="shared" si="10"/>
        <v>0</v>
      </c>
      <c r="DU24" s="112">
        <f t="shared" si="10"/>
        <v>15.299557492299883</v>
      </c>
      <c r="DV24" s="112">
        <f t="shared" si="10"/>
        <v>3.261327608174883</v>
      </c>
      <c r="DW24" s="112">
        <f t="shared" si="10"/>
        <v>3.1557839615010668</v>
      </c>
      <c r="DX24" s="112">
        <f t="shared" si="10"/>
        <v>12.528457650741183</v>
      </c>
      <c r="DY24" s="112">
        <f t="shared" si="10"/>
        <v>28.930753335443651</v>
      </c>
      <c r="DZ24" s="112">
        <f t="shared" si="10"/>
        <v>33.116924029599232</v>
      </c>
      <c r="EA24" s="112">
        <f t="shared" si="10"/>
        <v>10.303132504925079</v>
      </c>
      <c r="EB24" s="112">
        <f t="shared" si="10"/>
        <v>0</v>
      </c>
      <c r="EC24" s="112">
        <f t="shared" si="10"/>
        <v>14.65208893719605</v>
      </c>
      <c r="ED24" s="112">
        <f t="shared" si="10"/>
        <v>66.813051240802665</v>
      </c>
      <c r="EE24" s="112">
        <f t="shared" ref="EE24:FI24" si="11">AVERAGE(EE18:EE23)</f>
        <v>54.967196940842598</v>
      </c>
      <c r="EF24" s="112">
        <f t="shared" si="11"/>
        <v>75.350257828493454</v>
      </c>
      <c r="EG24" s="112">
        <f t="shared" si="11"/>
        <v>39.240247010198118</v>
      </c>
      <c r="EH24" s="112">
        <f t="shared" si="11"/>
        <v>6.8296013310870007</v>
      </c>
      <c r="EI24" s="112">
        <f t="shared" si="11"/>
        <v>3.1484751312888335</v>
      </c>
      <c r="EJ24" s="112">
        <f t="shared" si="11"/>
        <v>0</v>
      </c>
      <c r="EK24" s="112">
        <f t="shared" si="11"/>
        <v>2.9898015268969167</v>
      </c>
      <c r="EL24" s="112">
        <f t="shared" si="11"/>
        <v>8.1740710367411502</v>
      </c>
      <c r="EM24" s="112">
        <f t="shared" si="11"/>
        <v>7.9640719266335509</v>
      </c>
      <c r="EN24" s="112">
        <f t="shared" si="11"/>
        <v>3.6018660849692004</v>
      </c>
      <c r="EO24" s="112">
        <f t="shared" si="11"/>
        <v>13.8834916133127</v>
      </c>
      <c r="EP24" s="112"/>
      <c r="EQ24" s="112">
        <f t="shared" si="11"/>
        <v>18.092680882481616</v>
      </c>
      <c r="ER24" s="112">
        <f t="shared" si="11"/>
        <v>135.18281179215492</v>
      </c>
      <c r="ES24" s="112">
        <f t="shared" si="11"/>
        <v>35.927670641316084</v>
      </c>
      <c r="ET24" s="112">
        <f t="shared" si="11"/>
        <v>0</v>
      </c>
      <c r="EU24" s="112">
        <f t="shared" si="11"/>
        <v>13.242588901898699</v>
      </c>
      <c r="EV24" s="112">
        <f t="shared" si="11"/>
        <v>6.3009138098720827</v>
      </c>
      <c r="EW24" s="112">
        <f t="shared" si="11"/>
        <v>7.2317651049804672</v>
      </c>
      <c r="EX24" s="112">
        <f t="shared" si="11"/>
        <v>59.685547023622696</v>
      </c>
      <c r="EY24" s="112">
        <f t="shared" si="11"/>
        <v>154.79733689951715</v>
      </c>
      <c r="EZ24" s="112">
        <f t="shared" si="11"/>
        <v>20.065579397917499</v>
      </c>
      <c r="FA24" s="112">
        <f t="shared" si="11"/>
        <v>10.239364546246019</v>
      </c>
      <c r="FB24" s="112">
        <f t="shared" si="11"/>
        <v>30.002915668148351</v>
      </c>
      <c r="FC24" s="112">
        <f t="shared" si="11"/>
        <v>0</v>
      </c>
      <c r="FD24" s="112">
        <f t="shared" si="11"/>
        <v>14.237311954655018</v>
      </c>
      <c r="FE24" s="112">
        <f t="shared" si="11"/>
        <v>189.84618756824921</v>
      </c>
      <c r="FF24" s="112">
        <f t="shared" si="11"/>
        <v>9.0304408854107994</v>
      </c>
      <c r="FG24" s="112">
        <f t="shared" si="11"/>
        <v>4.0865363530424164</v>
      </c>
      <c r="FH24" s="112">
        <f t="shared" si="11"/>
        <v>5.7408309125869001</v>
      </c>
      <c r="FI24" s="112">
        <f t="shared" si="11"/>
        <v>0</v>
      </c>
      <c r="FJ24" s="112"/>
      <c r="FK24" s="29"/>
      <c r="FL24" s="29"/>
    </row>
    <row r="25" spans="1:168">
      <c r="A25" s="29"/>
      <c r="B25" s="122" t="s">
        <v>165</v>
      </c>
      <c r="C25" s="112">
        <f>_xlfn.STDEV.S(C18:C23)</f>
        <v>725.20719089903059</v>
      </c>
      <c r="D25" s="112">
        <f t="shared" ref="D25:BQ25" si="12">_xlfn.STDEV.S(D18:D23)</f>
        <v>75.387138386243606</v>
      </c>
      <c r="E25" s="112">
        <f t="shared" si="12"/>
        <v>1447.5940686420638</v>
      </c>
      <c r="F25" s="112">
        <f t="shared" si="12"/>
        <v>595.81321480974736</v>
      </c>
      <c r="G25" s="112">
        <f t="shared" si="12"/>
        <v>69.481790652453171</v>
      </c>
      <c r="H25" s="112">
        <f t="shared" si="12"/>
        <v>112.21124706080495</v>
      </c>
      <c r="I25" s="112">
        <f t="shared" si="12"/>
        <v>157.11107346807148</v>
      </c>
      <c r="J25" s="112">
        <f t="shared" si="12"/>
        <v>5127.0891867591654</v>
      </c>
      <c r="K25" s="112">
        <f t="shared" si="12"/>
        <v>2646.8002796631167</v>
      </c>
      <c r="L25" s="112">
        <f t="shared" si="12"/>
        <v>264.26108267088631</v>
      </c>
      <c r="M25" s="112">
        <f t="shared" si="12"/>
        <v>95.107202936081592</v>
      </c>
      <c r="N25" s="112">
        <f t="shared" si="12"/>
        <v>77.117353855014883</v>
      </c>
      <c r="O25" s="112">
        <f t="shared" si="12"/>
        <v>31.486046961720248</v>
      </c>
      <c r="P25" s="112">
        <f t="shared" si="12"/>
        <v>19.330538367728341</v>
      </c>
      <c r="Q25" s="112">
        <f t="shared" si="12"/>
        <v>27.380331680006023</v>
      </c>
      <c r="R25" s="112">
        <f t="shared" si="12"/>
        <v>9.8417801607317763</v>
      </c>
      <c r="S25" s="112">
        <f t="shared" si="12"/>
        <v>68.056726573808959</v>
      </c>
      <c r="T25" s="112">
        <f t="shared" si="12"/>
        <v>156.97399588591412</v>
      </c>
      <c r="U25" s="112"/>
      <c r="V25" s="112">
        <f t="shared" si="12"/>
        <v>7368.8796287006344</v>
      </c>
      <c r="W25" s="112">
        <f t="shared" si="12"/>
        <v>10265.812602744167</v>
      </c>
      <c r="X25" s="112">
        <f t="shared" si="12"/>
        <v>24310.970564961179</v>
      </c>
      <c r="Y25" s="112">
        <f t="shared" si="12"/>
        <v>91.42856142072246</v>
      </c>
      <c r="Z25" s="112">
        <f t="shared" si="12"/>
        <v>248.09825859986927</v>
      </c>
      <c r="AA25" s="112">
        <f t="shared" si="12"/>
        <v>72417.892025019275</v>
      </c>
      <c r="AB25" s="112">
        <f t="shared" si="12"/>
        <v>9959.7086466962555</v>
      </c>
      <c r="AC25" s="112">
        <f t="shared" si="12"/>
        <v>95742.846648635037</v>
      </c>
      <c r="AD25" s="112">
        <f t="shared" si="12"/>
        <v>640.12928727775522</v>
      </c>
      <c r="AE25" s="112">
        <f t="shared" si="12"/>
        <v>6577.2183451541423</v>
      </c>
      <c r="AF25" s="112">
        <f t="shared" si="12"/>
        <v>4958.091646020709</v>
      </c>
      <c r="AG25" s="112">
        <f t="shared" si="12"/>
        <v>465.61223093416066</v>
      </c>
      <c r="AH25" s="112">
        <f t="shared" si="12"/>
        <v>775.84394612176163</v>
      </c>
      <c r="AI25" s="112">
        <f t="shared" si="12"/>
        <v>502.62570937877598</v>
      </c>
      <c r="AJ25" s="112">
        <f t="shared" si="12"/>
        <v>553.84417847751149</v>
      </c>
      <c r="AK25" s="112">
        <f t="shared" si="12"/>
        <v>103.10479767734354</v>
      </c>
      <c r="AL25" s="112">
        <f t="shared" si="12"/>
        <v>88.61548012194784</v>
      </c>
      <c r="AM25" s="112">
        <f t="shared" si="12"/>
        <v>182.96733413639748</v>
      </c>
      <c r="AN25" s="112">
        <f t="shared" si="12"/>
        <v>235.74680538812839</v>
      </c>
      <c r="AO25" s="112">
        <f t="shared" si="12"/>
        <v>111.30680914109632</v>
      </c>
      <c r="AP25" s="112">
        <f t="shared" si="12"/>
        <v>374.0725839483186</v>
      </c>
      <c r="AQ25" s="112">
        <f t="shared" si="12"/>
        <v>297.6377100540912</v>
      </c>
      <c r="AR25" s="112">
        <f t="shared" si="12"/>
        <v>307.27516589878024</v>
      </c>
      <c r="AS25" s="112">
        <f t="shared" si="12"/>
        <v>3078.9060313148602</v>
      </c>
      <c r="AT25" s="112">
        <f t="shared" si="12"/>
        <v>81.191442364366907</v>
      </c>
      <c r="AU25" s="112"/>
      <c r="AV25" s="112">
        <f t="shared" si="12"/>
        <v>59.521692510292567</v>
      </c>
      <c r="AW25" s="112">
        <f t="shared" si="12"/>
        <v>147.37078172660426</v>
      </c>
      <c r="AX25" s="112">
        <f t="shared" si="12"/>
        <v>119.79205142585734</v>
      </c>
      <c r="AY25" s="112">
        <f t="shared" si="12"/>
        <v>28.590931691142146</v>
      </c>
      <c r="AZ25" s="112">
        <f t="shared" si="12"/>
        <v>14.022885469737043</v>
      </c>
      <c r="BA25" s="112">
        <f t="shared" si="12"/>
        <v>528.03007642162709</v>
      </c>
      <c r="BB25" s="112">
        <f t="shared" si="12"/>
        <v>8845.678659974179</v>
      </c>
      <c r="BC25" s="112">
        <f t="shared" si="12"/>
        <v>4284.4899158819417</v>
      </c>
      <c r="BD25" s="112">
        <f t="shared" si="12"/>
        <v>215.68134459534818</v>
      </c>
      <c r="BE25" s="112">
        <f t="shared" si="12"/>
        <v>159.15075654456513</v>
      </c>
      <c r="BF25" s="112">
        <f t="shared" si="12"/>
        <v>825.83137230374427</v>
      </c>
      <c r="BG25" s="112">
        <f t="shared" si="12"/>
        <v>403.83982733044189</v>
      </c>
      <c r="BH25" s="112">
        <f t="shared" si="12"/>
        <v>667.24057245651238</v>
      </c>
      <c r="BI25" s="112">
        <f t="shared" si="12"/>
        <v>506.61872970988486</v>
      </c>
      <c r="BJ25" s="112">
        <f t="shared" si="12"/>
        <v>30382.752983679598</v>
      </c>
      <c r="BK25" s="112">
        <f t="shared" si="12"/>
        <v>18653.14979586978</v>
      </c>
      <c r="BL25" s="112">
        <f t="shared" si="12"/>
        <v>5212.1837129036821</v>
      </c>
      <c r="BM25" s="112">
        <f t="shared" si="12"/>
        <v>3298.8388940825243</v>
      </c>
      <c r="BN25" s="112">
        <f t="shared" si="12"/>
        <v>227.96970999868464</v>
      </c>
      <c r="BO25" s="112">
        <f t="shared" si="12"/>
        <v>152.26149999272306</v>
      </c>
      <c r="BP25" s="112">
        <f t="shared" si="12"/>
        <v>389.93049704031091</v>
      </c>
      <c r="BQ25" s="112">
        <f t="shared" si="12"/>
        <v>1084.8897571162483</v>
      </c>
      <c r="BR25" s="112">
        <f t="shared" ref="BR25:ED25" si="13">_xlfn.STDEV.S(BR18:BR23)</f>
        <v>1297.0558920162671</v>
      </c>
      <c r="BS25" s="112">
        <f t="shared" si="13"/>
        <v>795.18913969265225</v>
      </c>
      <c r="BT25" s="112">
        <f t="shared" si="13"/>
        <v>1062.2855300088288</v>
      </c>
      <c r="BU25" s="112">
        <f t="shared" si="13"/>
        <v>318.69325274482998</v>
      </c>
      <c r="BV25" s="112">
        <f t="shared" si="13"/>
        <v>472.72954678238875</v>
      </c>
      <c r="BW25" s="112">
        <f t="shared" si="13"/>
        <v>2394.192781998951</v>
      </c>
      <c r="BX25" s="112">
        <f t="shared" si="13"/>
        <v>6494.115567851105</v>
      </c>
      <c r="BY25" s="112">
        <f t="shared" si="13"/>
        <v>21037.566849637155</v>
      </c>
      <c r="BZ25" s="112">
        <f t="shared" si="13"/>
        <v>5248.9273495303432</v>
      </c>
      <c r="CA25" s="112">
        <f t="shared" si="13"/>
        <v>1288.2461318744361</v>
      </c>
      <c r="CB25" s="112">
        <f t="shared" si="13"/>
        <v>970.93510308916098</v>
      </c>
      <c r="CC25" s="112">
        <f t="shared" si="13"/>
        <v>396.76650079939532</v>
      </c>
      <c r="CD25" s="112">
        <f t="shared" si="13"/>
        <v>2751.2197375719315</v>
      </c>
      <c r="CE25" s="112">
        <f t="shared" si="13"/>
        <v>3444.7233416175632</v>
      </c>
      <c r="CF25" s="112">
        <f t="shared" si="13"/>
        <v>2401.9804178500717</v>
      </c>
      <c r="CG25" s="112">
        <f t="shared" si="13"/>
        <v>19.667512216254163</v>
      </c>
      <c r="CH25" s="112">
        <f t="shared" si="13"/>
        <v>93.667197517619314</v>
      </c>
      <c r="CI25" s="112">
        <f t="shared" si="13"/>
        <v>35.889677068599944</v>
      </c>
      <c r="CJ25" s="112">
        <f t="shared" si="13"/>
        <v>23.51233817820243</v>
      </c>
      <c r="CK25" s="112">
        <f t="shared" si="13"/>
        <v>87.804874170030118</v>
      </c>
      <c r="CL25" s="112">
        <f t="shared" si="13"/>
        <v>0</v>
      </c>
      <c r="CM25" s="112">
        <f t="shared" si="13"/>
        <v>133.87131332741166</v>
      </c>
      <c r="CN25" s="112">
        <f t="shared" si="13"/>
        <v>24.811011839357</v>
      </c>
      <c r="CO25" s="112">
        <f t="shared" si="13"/>
        <v>14.485194621458144</v>
      </c>
      <c r="CP25" s="112"/>
      <c r="CQ25" s="112">
        <f t="shared" si="13"/>
        <v>11.438441315798242</v>
      </c>
      <c r="CR25" s="112">
        <f t="shared" si="13"/>
        <v>8.4240734845275327</v>
      </c>
      <c r="CS25" s="112">
        <f t="shared" si="13"/>
        <v>12.508576993539325</v>
      </c>
      <c r="CT25" s="112">
        <f t="shared" si="13"/>
        <v>13.665962193080711</v>
      </c>
      <c r="CU25" s="112">
        <f t="shared" si="13"/>
        <v>5.8668413861306625</v>
      </c>
      <c r="CV25" s="112">
        <f t="shared" si="13"/>
        <v>11.640576156671999</v>
      </c>
      <c r="CW25" s="112">
        <f t="shared" si="13"/>
        <v>84.809841177692178</v>
      </c>
      <c r="CX25" s="112">
        <f t="shared" si="13"/>
        <v>180.37533425741299</v>
      </c>
      <c r="CY25" s="112">
        <f t="shared" si="13"/>
        <v>8.416135380360263</v>
      </c>
      <c r="CZ25" s="112">
        <f t="shared" si="13"/>
        <v>22.235081000248861</v>
      </c>
      <c r="DA25" s="112">
        <f t="shared" si="13"/>
        <v>45.090229910094848</v>
      </c>
      <c r="DB25" s="112">
        <f t="shared" si="13"/>
        <v>95.783840109358977</v>
      </c>
      <c r="DC25" s="112">
        <f t="shared" si="13"/>
        <v>11.71374316196067</v>
      </c>
      <c r="DD25" s="112">
        <f t="shared" si="13"/>
        <v>45.218765817485142</v>
      </c>
      <c r="DE25" s="112">
        <f t="shared" si="13"/>
        <v>472.82141710429397</v>
      </c>
      <c r="DF25" s="112">
        <f t="shared" si="13"/>
        <v>410.21564354299346</v>
      </c>
      <c r="DG25" s="112">
        <f t="shared" si="13"/>
        <v>10.035584187670727</v>
      </c>
      <c r="DH25" s="112">
        <f t="shared" si="13"/>
        <v>9.3454926304681027</v>
      </c>
      <c r="DI25" s="112">
        <f t="shared" si="13"/>
        <v>6.459296199614875</v>
      </c>
      <c r="DJ25" s="112">
        <f t="shared" si="13"/>
        <v>12.001615895891957</v>
      </c>
      <c r="DK25" s="112">
        <f t="shared" si="13"/>
        <v>27.380399619868044</v>
      </c>
      <c r="DL25" s="112">
        <f t="shared" si="13"/>
        <v>30.621085296402192</v>
      </c>
      <c r="DM25" s="112">
        <f t="shared" si="13"/>
        <v>47.574478481928999</v>
      </c>
      <c r="DN25" s="112">
        <f t="shared" si="13"/>
        <v>29.104910368282589</v>
      </c>
      <c r="DO25" s="112">
        <f t="shared" si="13"/>
        <v>237.12324902063125</v>
      </c>
      <c r="DP25" s="112">
        <f t="shared" si="13"/>
        <v>310.34882937867707</v>
      </c>
      <c r="DQ25" s="112">
        <f t="shared" si="13"/>
        <v>173.65670178750335</v>
      </c>
      <c r="DR25" s="112">
        <f t="shared" si="13"/>
        <v>159.3027142652781</v>
      </c>
      <c r="DS25" s="112">
        <f t="shared" si="13"/>
        <v>13.706387028644377</v>
      </c>
      <c r="DT25" s="112">
        <f t="shared" si="13"/>
        <v>0</v>
      </c>
      <c r="DU25" s="112">
        <f t="shared" si="13"/>
        <v>19.253468061057593</v>
      </c>
      <c r="DV25" s="112">
        <f t="shared" si="13"/>
        <v>7.9885885240799714</v>
      </c>
      <c r="DW25" s="112">
        <f t="shared" si="13"/>
        <v>7.7300604441365266</v>
      </c>
      <c r="DX25" s="112">
        <f t="shared" si="13"/>
        <v>10.474878063584415</v>
      </c>
      <c r="DY25" s="112">
        <f t="shared" si="13"/>
        <v>31.040256042917331</v>
      </c>
      <c r="DZ25" s="112">
        <f t="shared" si="13"/>
        <v>27.101698265545863</v>
      </c>
      <c r="EA25" s="112">
        <f t="shared" si="13"/>
        <v>16.359857615621621</v>
      </c>
      <c r="EB25" s="112">
        <f t="shared" si="13"/>
        <v>0</v>
      </c>
      <c r="EC25" s="112">
        <f t="shared" si="13"/>
        <v>16.424121096695025</v>
      </c>
      <c r="ED25" s="112">
        <f t="shared" si="13"/>
        <v>88.399966286418802</v>
      </c>
      <c r="EE25" s="112">
        <f t="shared" ref="EE25:FI25" si="14">_xlfn.STDEV.S(EE18:EE23)</f>
        <v>79.483262545738725</v>
      </c>
      <c r="EF25" s="112">
        <f t="shared" si="14"/>
        <v>52.203306129872175</v>
      </c>
      <c r="EG25" s="112">
        <f t="shared" si="14"/>
        <v>47.690035682217264</v>
      </c>
      <c r="EH25" s="112">
        <f t="shared" si="14"/>
        <v>10.580387609801758</v>
      </c>
      <c r="EI25" s="112">
        <f t="shared" si="14"/>
        <v>7.712157539499918</v>
      </c>
      <c r="EJ25" s="112">
        <f t="shared" si="14"/>
        <v>0</v>
      </c>
      <c r="EK25" s="112">
        <f t="shared" si="14"/>
        <v>7.3234881730914809</v>
      </c>
      <c r="EL25" s="112">
        <f t="shared" si="14"/>
        <v>9.6323950748865297</v>
      </c>
      <c r="EM25" s="112">
        <f t="shared" si="14"/>
        <v>12.665413698043935</v>
      </c>
      <c r="EN25" s="112">
        <f t="shared" si="14"/>
        <v>8.8227340300106594</v>
      </c>
      <c r="EO25" s="112">
        <f t="shared" si="14"/>
        <v>12.250555515884846</v>
      </c>
      <c r="EP25" s="112"/>
      <c r="EQ25" s="112">
        <f t="shared" si="14"/>
        <v>27.963249260478165</v>
      </c>
      <c r="ER25" s="112">
        <f t="shared" si="14"/>
        <v>125.47725562034023</v>
      </c>
      <c r="ES25" s="112">
        <f t="shared" si="14"/>
        <v>61.741696584138865</v>
      </c>
      <c r="ET25" s="112">
        <f t="shared" si="14"/>
        <v>0</v>
      </c>
      <c r="EU25" s="112">
        <f t="shared" si="14"/>
        <v>14.774124860946717</v>
      </c>
      <c r="EV25" s="112">
        <f t="shared" si="14"/>
        <v>10.012487227584531</v>
      </c>
      <c r="EW25" s="112">
        <f t="shared" si="14"/>
        <v>17.714134446866964</v>
      </c>
      <c r="EX25" s="112">
        <f t="shared" si="14"/>
        <v>73.629361424666172</v>
      </c>
      <c r="EY25" s="112">
        <f t="shared" si="14"/>
        <v>150.03721283871693</v>
      </c>
      <c r="EZ25" s="112">
        <f t="shared" si="14"/>
        <v>20.862401867109043</v>
      </c>
      <c r="FA25" s="112">
        <f t="shared" si="14"/>
        <v>14.219165113273027</v>
      </c>
      <c r="FB25" s="112">
        <f t="shared" si="14"/>
        <v>45.510907054572066</v>
      </c>
      <c r="FC25" s="112">
        <f t="shared" si="14"/>
        <v>0</v>
      </c>
      <c r="FD25" s="112">
        <f t="shared" si="14"/>
        <v>22.099264465054748</v>
      </c>
      <c r="FE25" s="112">
        <f t="shared" si="14"/>
        <v>180.37533425741299</v>
      </c>
      <c r="FF25" s="112">
        <f t="shared" si="14"/>
        <v>16.387896741366124</v>
      </c>
      <c r="FG25" s="112">
        <f t="shared" si="14"/>
        <v>10.009928880287976</v>
      </c>
      <c r="FH25" s="112">
        <f t="shared" si="14"/>
        <v>8.9309033994303224</v>
      </c>
      <c r="FI25" s="112">
        <f t="shared" si="14"/>
        <v>0</v>
      </c>
      <c r="FJ25" s="112"/>
      <c r="FK25" s="29"/>
      <c r="FL25" s="29"/>
    </row>
    <row r="26" spans="1:168">
      <c r="A26" s="29"/>
      <c r="B26" s="122" t="s">
        <v>173</v>
      </c>
      <c r="C26" s="112">
        <f>MEDIAN(C18:C23)</f>
        <v>919.85305037696139</v>
      </c>
      <c r="D26" s="112">
        <f t="shared" ref="D26:BQ26" si="15">MEDIAN(D18:D23)</f>
        <v>129.38071756549104</v>
      </c>
      <c r="E26" s="112">
        <f t="shared" si="15"/>
        <v>4750.3780271066844</v>
      </c>
      <c r="F26" s="112">
        <f t="shared" si="15"/>
        <v>2420.2659807343953</v>
      </c>
      <c r="G26" s="112">
        <f t="shared" si="15"/>
        <v>105.7114571841435</v>
      </c>
      <c r="H26" s="112">
        <f t="shared" si="15"/>
        <v>273.08488511806303</v>
      </c>
      <c r="I26" s="112">
        <f t="shared" si="15"/>
        <v>213.31703917431452</v>
      </c>
      <c r="J26" s="112">
        <f t="shared" si="15"/>
        <v>8568.8107428345211</v>
      </c>
      <c r="K26" s="112">
        <f t="shared" si="15"/>
        <v>3929.1976180484353</v>
      </c>
      <c r="L26" s="112">
        <f t="shared" si="15"/>
        <v>229.14750839225798</v>
      </c>
      <c r="M26" s="112">
        <f t="shared" si="15"/>
        <v>131.79417017266582</v>
      </c>
      <c r="N26" s="112">
        <f t="shared" si="15"/>
        <v>108.7804602619689</v>
      </c>
      <c r="O26" s="112">
        <f t="shared" si="15"/>
        <v>40.284396679619</v>
      </c>
      <c r="P26" s="112">
        <f t="shared" si="15"/>
        <v>40.302491780496098</v>
      </c>
      <c r="Q26" s="112">
        <f t="shared" si="15"/>
        <v>19.538223327188799</v>
      </c>
      <c r="R26" s="112">
        <f t="shared" si="15"/>
        <v>41.774867005913748</v>
      </c>
      <c r="S26" s="112">
        <f t="shared" si="15"/>
        <v>101.09942066282655</v>
      </c>
      <c r="T26" s="112">
        <f t="shared" si="15"/>
        <v>205.70542136308751</v>
      </c>
      <c r="U26" s="112"/>
      <c r="V26" s="112">
        <f t="shared" si="15"/>
        <v>39865.804578179304</v>
      </c>
      <c r="W26" s="112">
        <f t="shared" si="15"/>
        <v>56900.367173424849</v>
      </c>
      <c r="X26" s="112">
        <f t="shared" si="15"/>
        <v>62267.866144644198</v>
      </c>
      <c r="Y26" s="112">
        <f t="shared" si="15"/>
        <v>62.508295918837845</v>
      </c>
      <c r="Z26" s="112">
        <f t="shared" si="15"/>
        <v>475.5581435645945</v>
      </c>
      <c r="AA26" s="112">
        <f t="shared" si="15"/>
        <v>222584.8785281145</v>
      </c>
      <c r="AB26" s="112">
        <f t="shared" si="15"/>
        <v>28750.337875383851</v>
      </c>
      <c r="AC26" s="112">
        <f t="shared" si="15"/>
        <v>267528.22415562999</v>
      </c>
      <c r="AD26" s="112">
        <f t="shared" si="15"/>
        <v>1511.07230167901</v>
      </c>
      <c r="AE26" s="112">
        <f t="shared" si="15"/>
        <v>14052.683645278899</v>
      </c>
      <c r="AF26" s="112">
        <f t="shared" si="15"/>
        <v>18576.604748671452</v>
      </c>
      <c r="AG26" s="112">
        <f t="shared" si="15"/>
        <v>942.62287252304247</v>
      </c>
      <c r="AH26" s="112">
        <f t="shared" si="15"/>
        <v>2840.9730257215697</v>
      </c>
      <c r="AI26" s="112">
        <f t="shared" si="15"/>
        <v>257.17856930525352</v>
      </c>
      <c r="AJ26" s="112">
        <f t="shared" si="15"/>
        <v>766.77537641182357</v>
      </c>
      <c r="AK26" s="112">
        <f t="shared" si="15"/>
        <v>407.15230290876951</v>
      </c>
      <c r="AL26" s="112">
        <f t="shared" si="15"/>
        <v>96.277443098560838</v>
      </c>
      <c r="AM26" s="112">
        <f t="shared" si="15"/>
        <v>250.14101523758049</v>
      </c>
      <c r="AN26" s="112">
        <f t="shared" si="15"/>
        <v>330.86914076789901</v>
      </c>
      <c r="AO26" s="112">
        <f t="shared" si="15"/>
        <v>127.57543923326006</v>
      </c>
      <c r="AP26" s="112">
        <f t="shared" si="15"/>
        <v>1060.0544077946079</v>
      </c>
      <c r="AQ26" s="112">
        <f t="shared" si="15"/>
        <v>951.65945835730702</v>
      </c>
      <c r="AR26" s="112">
        <f t="shared" si="15"/>
        <v>1927.5712168319701</v>
      </c>
      <c r="AS26" s="112">
        <f t="shared" si="15"/>
        <v>14626.616311023499</v>
      </c>
      <c r="AT26" s="112">
        <f t="shared" si="15"/>
        <v>103.7318152381963</v>
      </c>
      <c r="AU26" s="112"/>
      <c r="AV26" s="112">
        <f t="shared" si="15"/>
        <v>76.89802705387271</v>
      </c>
      <c r="AW26" s="112">
        <f t="shared" si="15"/>
        <v>70.912529840071045</v>
      </c>
      <c r="AX26" s="112">
        <f t="shared" si="15"/>
        <v>86.517056534808688</v>
      </c>
      <c r="AY26" s="112">
        <f t="shared" si="15"/>
        <v>40.457190839952851</v>
      </c>
      <c r="AZ26" s="112">
        <f t="shared" si="15"/>
        <v>7.5182608563955</v>
      </c>
      <c r="BA26" s="112">
        <f t="shared" si="15"/>
        <v>616.70390445642101</v>
      </c>
      <c r="BB26" s="112">
        <f t="shared" si="15"/>
        <v>4739.347102871985</v>
      </c>
      <c r="BC26" s="112">
        <f t="shared" si="15"/>
        <v>2773.70237105347</v>
      </c>
      <c r="BD26" s="112">
        <f t="shared" si="15"/>
        <v>210.5183561636685</v>
      </c>
      <c r="BE26" s="112">
        <f t="shared" si="15"/>
        <v>89.481082398997003</v>
      </c>
      <c r="BF26" s="112">
        <f t="shared" si="15"/>
        <v>653.17350655457858</v>
      </c>
      <c r="BG26" s="112">
        <f t="shared" si="15"/>
        <v>362.11138006174747</v>
      </c>
      <c r="BH26" s="112">
        <f t="shared" si="15"/>
        <v>563.15600256228402</v>
      </c>
      <c r="BI26" s="112">
        <f t="shared" si="15"/>
        <v>704.65194487006056</v>
      </c>
      <c r="BJ26" s="112">
        <f t="shared" si="15"/>
        <v>17117.708414460601</v>
      </c>
      <c r="BK26" s="112">
        <f t="shared" si="15"/>
        <v>13516.712299703799</v>
      </c>
      <c r="BL26" s="112">
        <f t="shared" si="15"/>
        <v>3633.5258145550897</v>
      </c>
      <c r="BM26" s="112">
        <f t="shared" si="15"/>
        <v>2088.8593062371651</v>
      </c>
      <c r="BN26" s="112">
        <f t="shared" si="15"/>
        <v>263.58971508531351</v>
      </c>
      <c r="BO26" s="112">
        <f t="shared" si="15"/>
        <v>133.89903813320899</v>
      </c>
      <c r="BP26" s="112">
        <f t="shared" si="15"/>
        <v>309.71162638927251</v>
      </c>
      <c r="BQ26" s="112">
        <f t="shared" si="15"/>
        <v>435.11227532457747</v>
      </c>
      <c r="BR26" s="112">
        <f t="shared" ref="BR26:ED26" si="16">MEDIAN(BR18:BR23)</f>
        <v>435.15811283758103</v>
      </c>
      <c r="BS26" s="112">
        <f t="shared" si="16"/>
        <v>371.21855674021651</v>
      </c>
      <c r="BT26" s="112">
        <f t="shared" si="16"/>
        <v>551.73230180099392</v>
      </c>
      <c r="BU26" s="112">
        <f t="shared" si="16"/>
        <v>126.30882406158989</v>
      </c>
      <c r="BV26" s="112">
        <f t="shared" si="16"/>
        <v>199.292502192385</v>
      </c>
      <c r="BW26" s="112">
        <f t="shared" si="16"/>
        <v>756.77655282883757</v>
      </c>
      <c r="BX26" s="112">
        <f t="shared" si="16"/>
        <v>3446.45504452765</v>
      </c>
      <c r="BY26" s="112">
        <f t="shared" si="16"/>
        <v>11458.206627198155</v>
      </c>
      <c r="BZ26" s="112">
        <f t="shared" si="16"/>
        <v>2918.906076966055</v>
      </c>
      <c r="CA26" s="112">
        <f t="shared" si="16"/>
        <v>804.00128414338951</v>
      </c>
      <c r="CB26" s="112">
        <f t="shared" si="16"/>
        <v>270.75734074572802</v>
      </c>
      <c r="CC26" s="112">
        <f t="shared" si="16"/>
        <v>291.46617832806044</v>
      </c>
      <c r="CD26" s="112">
        <f t="shared" si="16"/>
        <v>1031.5591019208259</v>
      </c>
      <c r="CE26" s="112">
        <f t="shared" si="16"/>
        <v>1809.9931182044349</v>
      </c>
      <c r="CF26" s="112">
        <f t="shared" si="16"/>
        <v>1644.26789500017</v>
      </c>
      <c r="CG26" s="112">
        <f t="shared" si="16"/>
        <v>58.072003280499452</v>
      </c>
      <c r="CH26" s="112">
        <f t="shared" si="16"/>
        <v>220.13470418168049</v>
      </c>
      <c r="CI26" s="112">
        <f t="shared" si="16"/>
        <v>14.85040983017675</v>
      </c>
      <c r="CJ26" s="112">
        <f t="shared" si="16"/>
        <v>0</v>
      </c>
      <c r="CK26" s="112">
        <f t="shared" si="16"/>
        <v>51.789130428172598</v>
      </c>
      <c r="CL26" s="112">
        <f t="shared" si="16"/>
        <v>0</v>
      </c>
      <c r="CM26" s="112">
        <f t="shared" si="16"/>
        <v>49.417708413364295</v>
      </c>
      <c r="CN26" s="112">
        <f t="shared" si="16"/>
        <v>14.5576152244364</v>
      </c>
      <c r="CO26" s="112">
        <f t="shared" si="16"/>
        <v>34.406569188495354</v>
      </c>
      <c r="CP26" s="112"/>
      <c r="CQ26" s="112">
        <f t="shared" si="16"/>
        <v>0</v>
      </c>
      <c r="CR26" s="112">
        <f t="shared" si="16"/>
        <v>0</v>
      </c>
      <c r="CS26" s="112">
        <f t="shared" si="16"/>
        <v>0</v>
      </c>
      <c r="CT26" s="112">
        <f t="shared" si="16"/>
        <v>16.2735487331319</v>
      </c>
      <c r="CU26" s="112">
        <f t="shared" si="16"/>
        <v>0</v>
      </c>
      <c r="CV26" s="112">
        <f t="shared" si="16"/>
        <v>0</v>
      </c>
      <c r="CW26" s="112">
        <f t="shared" si="16"/>
        <v>35.106184420138703</v>
      </c>
      <c r="CX26" s="112">
        <f t="shared" si="16"/>
        <v>121.114331543533</v>
      </c>
      <c r="CY26" s="112">
        <f t="shared" si="16"/>
        <v>0</v>
      </c>
      <c r="CZ26" s="112">
        <f t="shared" si="16"/>
        <v>32.321032376768549</v>
      </c>
      <c r="DA26" s="112">
        <f t="shared" si="16"/>
        <v>62.197565647014301</v>
      </c>
      <c r="DB26" s="112">
        <f t="shared" si="16"/>
        <v>107.9346819269085</v>
      </c>
      <c r="DC26" s="112">
        <f t="shared" si="16"/>
        <v>0</v>
      </c>
      <c r="DD26" s="112">
        <f t="shared" si="16"/>
        <v>27.979075662759499</v>
      </c>
      <c r="DE26" s="112">
        <f t="shared" si="16"/>
        <v>518.12248414672854</v>
      </c>
      <c r="DF26" s="112">
        <f t="shared" si="16"/>
        <v>460.76269807420749</v>
      </c>
      <c r="DG26" s="112">
        <f t="shared" si="16"/>
        <v>0</v>
      </c>
      <c r="DH26" s="112">
        <f t="shared" si="16"/>
        <v>0</v>
      </c>
      <c r="DI26" s="112">
        <f t="shared" si="16"/>
        <v>0</v>
      </c>
      <c r="DJ26" s="112">
        <f t="shared" si="16"/>
        <v>6.7436987689074002</v>
      </c>
      <c r="DK26" s="112">
        <f t="shared" si="16"/>
        <v>28.825046008041454</v>
      </c>
      <c r="DL26" s="112">
        <f t="shared" si="16"/>
        <v>28.425978730323301</v>
      </c>
      <c r="DM26" s="112">
        <f t="shared" si="16"/>
        <v>42.299759707049247</v>
      </c>
      <c r="DN26" s="112">
        <f t="shared" si="16"/>
        <v>31.156591985105003</v>
      </c>
      <c r="DO26" s="112">
        <f t="shared" si="16"/>
        <v>218.81441271622651</v>
      </c>
      <c r="DP26" s="112">
        <f t="shared" si="16"/>
        <v>340.63883159941952</v>
      </c>
      <c r="DQ26" s="112">
        <f t="shared" si="16"/>
        <v>144.08524703996849</v>
      </c>
      <c r="DR26" s="112">
        <f t="shared" si="16"/>
        <v>67.333022312555258</v>
      </c>
      <c r="DS26" s="112">
        <f t="shared" si="16"/>
        <v>0</v>
      </c>
      <c r="DT26" s="112">
        <f t="shared" si="16"/>
        <v>0</v>
      </c>
      <c r="DU26" s="112">
        <f t="shared" si="16"/>
        <v>9.2471228618929509</v>
      </c>
      <c r="DV26" s="112">
        <f t="shared" si="16"/>
        <v>0</v>
      </c>
      <c r="DW26" s="112">
        <f t="shared" si="16"/>
        <v>0</v>
      </c>
      <c r="DX26" s="112">
        <f t="shared" si="16"/>
        <v>15.475742759594901</v>
      </c>
      <c r="DY26" s="112">
        <f t="shared" si="16"/>
        <v>20.9090337589836</v>
      </c>
      <c r="DZ26" s="112">
        <f t="shared" si="16"/>
        <v>31.531370331220902</v>
      </c>
      <c r="EA26" s="112">
        <f t="shared" si="16"/>
        <v>0</v>
      </c>
      <c r="EB26" s="112">
        <f t="shared" si="16"/>
        <v>0</v>
      </c>
      <c r="EC26" s="112">
        <f t="shared" si="16"/>
        <v>12.129740345518851</v>
      </c>
      <c r="ED26" s="112">
        <f t="shared" si="16"/>
        <v>34.192127470600752</v>
      </c>
      <c r="EE26" s="112">
        <f t="shared" ref="EE26:FI26" si="17">MEDIAN(EE18:EE23)</f>
        <v>29.72033841777305</v>
      </c>
      <c r="EF26" s="112">
        <f t="shared" si="17"/>
        <v>78.762172309215543</v>
      </c>
      <c r="EG26" s="112">
        <f t="shared" si="17"/>
        <v>23.12186596925045</v>
      </c>
      <c r="EH26" s="112">
        <f t="shared" si="17"/>
        <v>0</v>
      </c>
      <c r="EI26" s="112">
        <f t="shared" si="17"/>
        <v>0</v>
      </c>
      <c r="EJ26" s="112">
        <f t="shared" si="17"/>
        <v>0</v>
      </c>
      <c r="EK26" s="112">
        <f t="shared" si="17"/>
        <v>0</v>
      </c>
      <c r="EL26" s="112">
        <f t="shared" si="17"/>
        <v>5.5931104050383498</v>
      </c>
      <c r="EM26" s="112">
        <f t="shared" si="17"/>
        <v>0</v>
      </c>
      <c r="EN26" s="112">
        <f t="shared" si="17"/>
        <v>0</v>
      </c>
      <c r="EO26" s="112">
        <f t="shared" si="17"/>
        <v>15.368593610089849</v>
      </c>
      <c r="EP26" s="112"/>
      <c r="EQ26" s="112">
        <f t="shared" si="17"/>
        <v>8.3221561741732497</v>
      </c>
      <c r="ER26" s="112">
        <f t="shared" si="17"/>
        <v>108.11061345717749</v>
      </c>
      <c r="ES26" s="112">
        <f t="shared" si="17"/>
        <v>13.489771692918801</v>
      </c>
      <c r="ET26" s="112">
        <f t="shared" si="17"/>
        <v>0</v>
      </c>
      <c r="EU26" s="112">
        <f t="shared" si="17"/>
        <v>11.631940407855151</v>
      </c>
      <c r="EV26" s="112">
        <f t="shared" si="17"/>
        <v>0</v>
      </c>
      <c r="EW26" s="112">
        <f t="shared" si="17"/>
        <v>0</v>
      </c>
      <c r="EX26" s="112">
        <f t="shared" si="17"/>
        <v>27.428788818496599</v>
      </c>
      <c r="EY26" s="112">
        <f t="shared" si="17"/>
        <v>79.085281054804852</v>
      </c>
      <c r="EZ26" s="112">
        <f t="shared" si="17"/>
        <v>17.357005471082402</v>
      </c>
      <c r="FA26" s="112">
        <f t="shared" si="17"/>
        <v>0</v>
      </c>
      <c r="FB26" s="112">
        <f t="shared" si="17"/>
        <v>10.56826781255015</v>
      </c>
      <c r="FC26" s="112">
        <f t="shared" si="17"/>
        <v>0</v>
      </c>
      <c r="FD26" s="112">
        <f t="shared" si="17"/>
        <v>0</v>
      </c>
      <c r="FE26" s="112">
        <f t="shared" si="17"/>
        <v>121.114331543533</v>
      </c>
      <c r="FF26" s="112">
        <f t="shared" si="17"/>
        <v>0</v>
      </c>
      <c r="FG26" s="112">
        <f t="shared" si="17"/>
        <v>0</v>
      </c>
      <c r="FH26" s="112">
        <f t="shared" si="17"/>
        <v>0</v>
      </c>
      <c r="FI26" s="112">
        <f t="shared" si="17"/>
        <v>0</v>
      </c>
      <c r="FJ26" s="112"/>
      <c r="FK26" s="29"/>
      <c r="FL26" s="29"/>
    </row>
    <row r="27" spans="1:168">
      <c r="A27" s="29"/>
      <c r="B27" s="29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2"/>
      <c r="BF27" s="112"/>
      <c r="BG27" s="112"/>
      <c r="BH27" s="112"/>
      <c r="BI27" s="112"/>
      <c r="BJ27" s="112"/>
      <c r="BK27" s="112"/>
      <c r="BL27" s="112"/>
      <c r="BM27" s="112"/>
      <c r="BN27" s="112"/>
      <c r="BO27" s="112"/>
      <c r="BP27" s="112"/>
      <c r="BQ27" s="112"/>
      <c r="BR27" s="112"/>
      <c r="BS27" s="112"/>
      <c r="BT27" s="112"/>
      <c r="BU27" s="112"/>
      <c r="BV27" s="112"/>
      <c r="BW27" s="112"/>
      <c r="BX27" s="112"/>
      <c r="BY27" s="112"/>
      <c r="BZ27" s="112"/>
      <c r="CA27" s="112"/>
      <c r="CB27" s="112"/>
      <c r="CC27" s="112"/>
      <c r="CD27" s="112"/>
      <c r="CE27" s="112"/>
      <c r="CF27" s="112"/>
      <c r="CG27" s="112"/>
      <c r="CH27" s="112"/>
      <c r="CI27" s="112"/>
      <c r="CJ27" s="112"/>
      <c r="CK27" s="112"/>
      <c r="CL27" s="112"/>
      <c r="CM27" s="112"/>
      <c r="CN27" s="112"/>
      <c r="CO27" s="112"/>
      <c r="CP27" s="112"/>
      <c r="CQ27" s="112"/>
      <c r="CR27" s="112"/>
      <c r="CS27" s="112"/>
      <c r="CT27" s="112"/>
      <c r="CU27" s="112"/>
      <c r="CV27" s="112"/>
      <c r="CW27" s="112"/>
      <c r="CX27" s="112"/>
      <c r="CY27" s="112"/>
      <c r="CZ27" s="112"/>
      <c r="DA27" s="112"/>
      <c r="DB27" s="112"/>
      <c r="DC27" s="112"/>
      <c r="DD27" s="112"/>
      <c r="DE27" s="112"/>
      <c r="DF27" s="112"/>
      <c r="DG27" s="112"/>
      <c r="DH27" s="112"/>
      <c r="DI27" s="112"/>
      <c r="DJ27" s="112"/>
      <c r="DK27" s="112"/>
      <c r="DL27" s="112"/>
      <c r="DM27" s="112"/>
      <c r="DN27" s="112"/>
      <c r="DO27" s="112"/>
      <c r="DP27" s="112"/>
      <c r="DQ27" s="112"/>
      <c r="DR27" s="112"/>
      <c r="DS27" s="112"/>
      <c r="DT27" s="112"/>
      <c r="DU27" s="112"/>
      <c r="DV27" s="112"/>
      <c r="DW27" s="112"/>
      <c r="DX27" s="112"/>
      <c r="DY27" s="112"/>
      <c r="DZ27" s="112"/>
      <c r="EA27" s="112"/>
      <c r="EB27" s="112"/>
      <c r="EC27" s="112"/>
      <c r="ED27" s="112"/>
      <c r="EE27" s="112"/>
      <c r="EF27" s="112"/>
      <c r="EG27" s="112"/>
      <c r="EH27" s="112"/>
      <c r="EI27" s="112"/>
      <c r="EJ27" s="112"/>
      <c r="EK27" s="112"/>
      <c r="EL27" s="112"/>
      <c r="EM27" s="112"/>
      <c r="EN27" s="112"/>
      <c r="EO27" s="112"/>
      <c r="EP27" s="112"/>
      <c r="EQ27" s="112"/>
      <c r="ER27" s="112"/>
      <c r="ES27" s="112"/>
      <c r="ET27" s="112"/>
      <c r="EU27" s="112"/>
      <c r="EV27" s="112"/>
      <c r="EW27" s="112"/>
      <c r="EX27" s="112"/>
      <c r="EY27" s="112"/>
      <c r="EZ27" s="112"/>
      <c r="FA27" s="112"/>
      <c r="FB27" s="112"/>
      <c r="FC27" s="112"/>
      <c r="FD27" s="112"/>
      <c r="FE27" s="112"/>
      <c r="FF27" s="112"/>
      <c r="FG27" s="112"/>
      <c r="FH27" s="112"/>
      <c r="FI27" s="112"/>
      <c r="FJ27" s="112"/>
      <c r="FK27" s="29"/>
      <c r="FL27" s="29"/>
    </row>
    <row r="28" spans="1:168" s="21" customFormat="1">
      <c r="A28" s="125" t="s">
        <v>175</v>
      </c>
      <c r="B28" s="119" t="s">
        <v>176</v>
      </c>
      <c r="C28" s="113">
        <f>_xlfn.T.TEST(C6:C11,C18:C23,2,3)</f>
        <v>4.3606359362440839E-2</v>
      </c>
      <c r="D28" s="113">
        <f t="shared" ref="D28:BQ28" si="18">_xlfn.T.TEST(D6:D11,D18:D23,2,3)</f>
        <v>0.23467776542434859</v>
      </c>
      <c r="E28" s="113">
        <f t="shared" si="18"/>
        <v>7.1630778573970599E-2</v>
      </c>
      <c r="F28" s="113">
        <f t="shared" si="18"/>
        <v>0.18093990518411723</v>
      </c>
      <c r="G28" s="113">
        <f t="shared" si="18"/>
        <v>0.11373774483417329</v>
      </c>
      <c r="H28" s="113">
        <f t="shared" si="18"/>
        <v>0.74038079650084243</v>
      </c>
      <c r="I28" s="113">
        <f t="shared" si="18"/>
        <v>0.35236677820119444</v>
      </c>
      <c r="J28" s="113">
        <f t="shared" si="18"/>
        <v>5.6604819826181298E-2</v>
      </c>
      <c r="K28" s="113">
        <f t="shared" si="18"/>
        <v>3.0631546833701284E-2</v>
      </c>
      <c r="L28" s="113">
        <f t="shared" si="18"/>
        <v>0.1503627135631673</v>
      </c>
      <c r="M28" s="113">
        <f t="shared" si="18"/>
        <v>0.13462180775235263</v>
      </c>
      <c r="N28" s="113">
        <f t="shared" si="18"/>
        <v>0.41836565503639678</v>
      </c>
      <c r="O28" s="113">
        <f t="shared" si="18"/>
        <v>0.89981839745123826</v>
      </c>
      <c r="P28" s="113">
        <f t="shared" si="18"/>
        <v>0.91049011272842018</v>
      </c>
      <c r="Q28" s="113">
        <f t="shared" si="18"/>
        <v>0.56621531210801168</v>
      </c>
      <c r="R28" s="113">
        <f t="shared" si="18"/>
        <v>6.3524048764336496E-2</v>
      </c>
      <c r="S28" s="113">
        <f t="shared" si="18"/>
        <v>0.86185189957119113</v>
      </c>
      <c r="T28" s="113">
        <f t="shared" si="18"/>
        <v>0.27027932010091266</v>
      </c>
      <c r="U28" s="113"/>
      <c r="V28" s="113">
        <f t="shared" si="18"/>
        <v>0.45442478244678464</v>
      </c>
      <c r="W28" s="113">
        <f t="shared" si="18"/>
        <v>0.96412554865347055</v>
      </c>
      <c r="X28" s="113">
        <f t="shared" si="18"/>
        <v>5.2434833410633097E-2</v>
      </c>
      <c r="Y28" s="113">
        <f t="shared" si="18"/>
        <v>0.38564930473117293</v>
      </c>
      <c r="Z28" s="28">
        <f t="shared" si="18"/>
        <v>2.0361895102849459E-2</v>
      </c>
      <c r="AA28" s="28">
        <f t="shared" si="18"/>
        <v>4.6099110776662372E-2</v>
      </c>
      <c r="AB28" s="113">
        <f t="shared" si="18"/>
        <v>0.59960744861835547</v>
      </c>
      <c r="AC28" s="113">
        <f t="shared" si="18"/>
        <v>0.48464362516282067</v>
      </c>
      <c r="AD28" s="28">
        <f t="shared" si="18"/>
        <v>2.3109518005590992E-2</v>
      </c>
      <c r="AE28" s="113">
        <f t="shared" si="18"/>
        <v>0.28757760692550005</v>
      </c>
      <c r="AF28" s="28">
        <f t="shared" si="18"/>
        <v>9.7505695542717298E-3</v>
      </c>
      <c r="AG28" s="113">
        <f t="shared" si="18"/>
        <v>0.7060851658041607</v>
      </c>
      <c r="AH28" s="113">
        <f t="shared" si="18"/>
        <v>0.53115798296487349</v>
      </c>
      <c r="AI28" s="113">
        <f t="shared" si="18"/>
        <v>0.13280101015776744</v>
      </c>
      <c r="AJ28" s="28">
        <f t="shared" si="18"/>
        <v>2.3934334103155892E-2</v>
      </c>
      <c r="AK28" s="113">
        <f t="shared" si="18"/>
        <v>0.48560213803149854</v>
      </c>
      <c r="AL28" s="113">
        <f t="shared" si="18"/>
        <v>0.82761262444295314</v>
      </c>
      <c r="AM28" s="28">
        <f t="shared" si="18"/>
        <v>4.7544841733983559E-2</v>
      </c>
      <c r="AN28" s="28">
        <f t="shared" si="18"/>
        <v>3.2316455910366644E-2</v>
      </c>
      <c r="AO28" s="113">
        <f t="shared" si="18"/>
        <v>0.35530203633917767</v>
      </c>
      <c r="AP28" s="28">
        <f t="shared" si="18"/>
        <v>2.9818370123620961E-2</v>
      </c>
      <c r="AQ28" s="113">
        <f t="shared" si="18"/>
        <v>0.38069801272984366</v>
      </c>
      <c r="AR28" s="113">
        <f t="shared" si="18"/>
        <v>0.37643080807702423</v>
      </c>
      <c r="AS28" s="113">
        <f t="shared" si="18"/>
        <v>0.667766426898319</v>
      </c>
      <c r="AT28" s="113">
        <f t="shared" si="18"/>
        <v>0.1142602956866824</v>
      </c>
      <c r="AU28" s="113"/>
      <c r="AV28" s="113">
        <f t="shared" si="18"/>
        <v>0.39547053942986887</v>
      </c>
      <c r="AW28" s="113">
        <f t="shared" si="18"/>
        <v>0.25312262263836049</v>
      </c>
      <c r="AX28" s="113">
        <f t="shared" si="18"/>
        <v>0.75518048166196095</v>
      </c>
      <c r="AY28" s="113">
        <f t="shared" si="18"/>
        <v>0.26791556173048231</v>
      </c>
      <c r="AZ28" s="113">
        <f t="shared" si="18"/>
        <v>0.18758933653876417</v>
      </c>
      <c r="BA28" s="113">
        <f t="shared" si="18"/>
        <v>0.72708472307177774</v>
      </c>
      <c r="BB28" s="113">
        <f t="shared" si="18"/>
        <v>0.34989180431674866</v>
      </c>
      <c r="BC28" s="113">
        <f t="shared" si="18"/>
        <v>0.50016052176111381</v>
      </c>
      <c r="BD28" s="113">
        <f t="shared" si="18"/>
        <v>0.42210125222713901</v>
      </c>
      <c r="BE28" s="113">
        <f t="shared" si="18"/>
        <v>0.3309204325259239</v>
      </c>
      <c r="BF28" s="113">
        <f t="shared" si="18"/>
        <v>0.18969829635928948</v>
      </c>
      <c r="BG28" s="113">
        <f t="shared" si="18"/>
        <v>0.47199344860077641</v>
      </c>
      <c r="BH28" s="113">
        <f t="shared" si="18"/>
        <v>0.70629252219714167</v>
      </c>
      <c r="BI28" s="113">
        <f t="shared" si="18"/>
        <v>0.69267389960682513</v>
      </c>
      <c r="BJ28" s="113">
        <f t="shared" si="18"/>
        <v>0.3646967072015399</v>
      </c>
      <c r="BK28" s="113">
        <f t="shared" si="18"/>
        <v>0.32769467494151366</v>
      </c>
      <c r="BL28" s="113">
        <f t="shared" si="18"/>
        <v>0.3727163001445325</v>
      </c>
      <c r="BM28" s="113">
        <f t="shared" si="18"/>
        <v>0.48264254736978984</v>
      </c>
      <c r="BN28" s="113">
        <f t="shared" si="18"/>
        <v>0.99177575254399852</v>
      </c>
      <c r="BO28" s="113">
        <f t="shared" si="18"/>
        <v>0.21054768968628185</v>
      </c>
      <c r="BP28" s="113">
        <f t="shared" si="18"/>
        <v>0.19352918734898869</v>
      </c>
      <c r="BQ28" s="113">
        <f t="shared" si="18"/>
        <v>0.22590241617183746</v>
      </c>
      <c r="BR28" s="113">
        <f t="shared" ref="BR28:ED28" si="19">_xlfn.T.TEST(BR6:BR11,BR18:BR23,2,3)</f>
        <v>0.31856166938747876</v>
      </c>
      <c r="BS28" s="113">
        <f t="shared" si="19"/>
        <v>0.48410266970890725</v>
      </c>
      <c r="BT28" s="113">
        <f t="shared" si="19"/>
        <v>0.40099594828347551</v>
      </c>
      <c r="BU28" s="113">
        <f t="shared" si="19"/>
        <v>0.26242358022146345</v>
      </c>
      <c r="BV28" s="113">
        <f t="shared" si="19"/>
        <v>0.23167391416551772</v>
      </c>
      <c r="BW28" s="113">
        <f t="shared" si="19"/>
        <v>0.23099177477951569</v>
      </c>
      <c r="BX28" s="113">
        <f t="shared" si="19"/>
        <v>0.40358848422469717</v>
      </c>
      <c r="BY28" s="113">
        <f t="shared" si="19"/>
        <v>0.30388154052462651</v>
      </c>
      <c r="BZ28" s="113">
        <f t="shared" si="19"/>
        <v>0.39925314505547338</v>
      </c>
      <c r="CA28" s="113">
        <f t="shared" si="19"/>
        <v>0.34157049333434525</v>
      </c>
      <c r="CB28" s="113">
        <f t="shared" si="19"/>
        <v>0.29654032980221368</v>
      </c>
      <c r="CC28" s="113">
        <f t="shared" si="19"/>
        <v>0.67721862126426735</v>
      </c>
      <c r="CD28" s="113">
        <f t="shared" si="19"/>
        <v>0.28511825347854425</v>
      </c>
      <c r="CE28" s="113">
        <f t="shared" si="19"/>
        <v>0.36288580416762933</v>
      </c>
      <c r="CF28" s="113">
        <f t="shared" si="19"/>
        <v>0.24248797673559566</v>
      </c>
      <c r="CG28" s="113">
        <f t="shared" si="19"/>
        <v>7.23753181948079E-2</v>
      </c>
      <c r="CH28" s="113">
        <f t="shared" si="19"/>
        <v>0.3346852428096998</v>
      </c>
      <c r="CI28" s="113">
        <f t="shared" si="19"/>
        <v>0.79728916047949205</v>
      </c>
      <c r="CJ28" s="113">
        <f t="shared" si="19"/>
        <v>0.20309664763927093</v>
      </c>
      <c r="CK28" s="113">
        <f t="shared" si="19"/>
        <v>0.28651832905996821</v>
      </c>
      <c r="CL28" s="113">
        <f t="shared" si="19"/>
        <v>0.36321746764912266</v>
      </c>
      <c r="CM28" s="113">
        <f t="shared" si="19"/>
        <v>0.60524377987844979</v>
      </c>
      <c r="CN28" s="113">
        <f t="shared" si="19"/>
        <v>0.87355044937917081</v>
      </c>
      <c r="CO28" s="113">
        <f t="shared" si="19"/>
        <v>0.34614249359760263</v>
      </c>
      <c r="CP28" s="113"/>
      <c r="CQ28" s="113">
        <f t="shared" si="19"/>
        <v>0.56638887348826517</v>
      </c>
      <c r="CR28" s="113">
        <f t="shared" si="19"/>
        <v>0.17514041473382713</v>
      </c>
      <c r="CS28" s="113">
        <f t="shared" si="19"/>
        <v>0.40608727031261194</v>
      </c>
      <c r="CT28" s="113">
        <f t="shared" si="19"/>
        <v>0.23187756410319979</v>
      </c>
      <c r="CU28" s="113">
        <f t="shared" si="19"/>
        <v>0.84236463875288259</v>
      </c>
      <c r="CV28" s="113">
        <f t="shared" si="19"/>
        <v>0.76223553965785507</v>
      </c>
      <c r="CW28" s="113">
        <f t="shared" si="19"/>
        <v>0.89881803245185321</v>
      </c>
      <c r="CX28" s="113">
        <f t="shared" si="19"/>
        <v>0.30535454096029607</v>
      </c>
      <c r="CY28" s="113">
        <f t="shared" si="19"/>
        <v>0.8942341239552416</v>
      </c>
      <c r="CZ28" s="113">
        <f t="shared" si="19"/>
        <v>0.54345143892812686</v>
      </c>
      <c r="DA28" s="113">
        <f t="shared" si="19"/>
        <v>0.48655405022967768</v>
      </c>
      <c r="DB28" s="113">
        <f t="shared" si="19"/>
        <v>0.2568029720243592</v>
      </c>
      <c r="DC28" s="113">
        <f t="shared" si="19"/>
        <v>0.68861913470307279</v>
      </c>
      <c r="DD28" s="113">
        <f t="shared" si="19"/>
        <v>0.47402395928653929</v>
      </c>
      <c r="DE28" s="113">
        <f t="shared" si="19"/>
        <v>0.63992030798125632</v>
      </c>
      <c r="DF28" s="113">
        <f t="shared" si="19"/>
        <v>0.35735246021071776</v>
      </c>
      <c r="DG28" s="113">
        <f t="shared" si="19"/>
        <v>0.17002901531751169</v>
      </c>
      <c r="DH28" s="113">
        <f t="shared" si="19"/>
        <v>0.36321746764912266</v>
      </c>
      <c r="DI28" s="113">
        <f t="shared" si="19"/>
        <v>0.36321746764912266</v>
      </c>
      <c r="DJ28" s="113">
        <f t="shared" si="19"/>
        <v>0.84970479988436964</v>
      </c>
      <c r="DK28" s="113">
        <f t="shared" si="19"/>
        <v>0.73804306306084566</v>
      </c>
      <c r="DL28" s="113">
        <f t="shared" si="19"/>
        <v>0.55129982085992135</v>
      </c>
      <c r="DM28" s="113">
        <f t="shared" si="19"/>
        <v>0.85669469631069883</v>
      </c>
      <c r="DN28" s="113">
        <f t="shared" si="19"/>
        <v>0.82735624628744187</v>
      </c>
      <c r="DO28" s="113">
        <f t="shared" si="19"/>
        <v>0.30361207136250284</v>
      </c>
      <c r="DP28" s="113">
        <f t="shared" si="19"/>
        <v>0.55167100190863616</v>
      </c>
      <c r="DQ28" s="113">
        <f t="shared" si="19"/>
        <v>0.54295081068595952</v>
      </c>
      <c r="DR28" s="113">
        <f t="shared" si="19"/>
        <v>0.90006651388813097</v>
      </c>
      <c r="DS28" s="113">
        <f t="shared" si="19"/>
        <v>0.7096529233457165</v>
      </c>
      <c r="DT28" s="113">
        <f t="shared" si="19"/>
        <v>0.36321746764912266</v>
      </c>
      <c r="DU28" s="113">
        <f t="shared" si="19"/>
        <v>0.72387961713171456</v>
      </c>
      <c r="DV28" s="113">
        <f t="shared" si="19"/>
        <v>0.90565727029774168</v>
      </c>
      <c r="DW28" s="113">
        <f t="shared" si="19"/>
        <v>0.36321746764912266</v>
      </c>
      <c r="DX28" s="113">
        <f t="shared" si="19"/>
        <v>0.5966364324875354</v>
      </c>
      <c r="DY28" s="113">
        <f t="shared" si="19"/>
        <v>0.80176335038333379</v>
      </c>
      <c r="DZ28" s="113">
        <f t="shared" si="19"/>
        <v>0.13663633272569162</v>
      </c>
      <c r="EA28" s="113">
        <f t="shared" si="19"/>
        <v>0.59532634256835548</v>
      </c>
      <c r="EB28" s="113" t="e">
        <f t="shared" si="19"/>
        <v>#DIV/0!</v>
      </c>
      <c r="EC28" s="113">
        <f t="shared" si="19"/>
        <v>0.71109015899280048</v>
      </c>
      <c r="ED28" s="113">
        <f t="shared" si="19"/>
        <v>0.30156875254614257</v>
      </c>
      <c r="EE28" s="113">
        <f t="shared" ref="EE28:FI28" si="20">_xlfn.T.TEST(EE6:EE11,EE18:EE23,2,3)</f>
        <v>0.50548593090143545</v>
      </c>
      <c r="EF28" s="113">
        <f t="shared" si="20"/>
        <v>0.50751080080277045</v>
      </c>
      <c r="EG28" s="113">
        <f t="shared" si="20"/>
        <v>0.8543303732165699</v>
      </c>
      <c r="EH28" s="113">
        <f t="shared" si="20"/>
        <v>0.40710093961891247</v>
      </c>
      <c r="EI28" s="113">
        <f t="shared" si="20"/>
        <v>0.67270464755048875</v>
      </c>
      <c r="EJ28" s="113">
        <f t="shared" si="20"/>
        <v>0.36321746764912266</v>
      </c>
      <c r="EK28" s="113">
        <f t="shared" si="20"/>
        <v>0.36321746764912266</v>
      </c>
      <c r="EL28" s="113">
        <f t="shared" si="20"/>
        <v>0.56116489464441255</v>
      </c>
      <c r="EM28" s="113">
        <f t="shared" si="20"/>
        <v>0.45941846512998641</v>
      </c>
      <c r="EN28" s="113">
        <f t="shared" si="20"/>
        <v>0.36321746764912266</v>
      </c>
      <c r="EO28" s="113">
        <f t="shared" si="20"/>
        <v>0.89948164947450404</v>
      </c>
      <c r="EP28" s="113"/>
      <c r="EQ28" s="113">
        <f t="shared" si="20"/>
        <v>0.33813323555454122</v>
      </c>
      <c r="ER28" s="113">
        <f t="shared" si="20"/>
        <v>0.89148072598892103</v>
      </c>
      <c r="ES28" s="113">
        <f t="shared" si="20"/>
        <v>0.62226963153487602</v>
      </c>
      <c r="ET28" s="113">
        <f t="shared" si="20"/>
        <v>0.36321746764912266</v>
      </c>
      <c r="EU28" s="113">
        <f t="shared" si="20"/>
        <v>0.25804192812971338</v>
      </c>
      <c r="EV28" s="113">
        <f t="shared" si="20"/>
        <v>0.5826628658448566</v>
      </c>
      <c r="EW28" s="113">
        <f t="shared" si="20"/>
        <v>0.36321746764912266</v>
      </c>
      <c r="EX28" s="113">
        <f t="shared" si="20"/>
        <v>0.19592542034506891</v>
      </c>
      <c r="EY28" s="113">
        <f t="shared" si="20"/>
        <v>0.31089821877896973</v>
      </c>
      <c r="EZ28" s="113">
        <f t="shared" si="20"/>
        <v>0.5828745636072834</v>
      </c>
      <c r="FA28" s="113">
        <f t="shared" si="20"/>
        <v>0.18263863215815226</v>
      </c>
      <c r="FB28" s="113">
        <f t="shared" si="20"/>
        <v>0.35100370052868202</v>
      </c>
      <c r="FC28" s="113" t="e">
        <f t="shared" si="20"/>
        <v>#DIV/0!</v>
      </c>
      <c r="FD28" s="113">
        <f t="shared" si="20"/>
        <v>0.41354807434578289</v>
      </c>
      <c r="FE28" s="113">
        <f t="shared" si="20"/>
        <v>0.30535454096029607</v>
      </c>
      <c r="FF28" s="113">
        <f t="shared" si="20"/>
        <v>0.88494008871704977</v>
      </c>
      <c r="FG28" s="113">
        <f t="shared" si="20"/>
        <v>0.62912739464250578</v>
      </c>
      <c r="FH28" s="113">
        <f t="shared" si="20"/>
        <v>0.17617738298643143</v>
      </c>
      <c r="FI28" s="113">
        <f t="shared" si="20"/>
        <v>0.36321746764912266</v>
      </c>
      <c r="FJ28" s="110"/>
      <c r="FK28" s="110"/>
      <c r="FL28" s="110"/>
    </row>
    <row r="29" spans="1:168">
      <c r="A29" s="120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</row>
    <row r="30" spans="1:168" ht="20">
      <c r="A30" s="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  <c r="FL30" s="29"/>
    </row>
    <row r="31" spans="1:168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</row>
    <row r="32" spans="1:168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</row>
    <row r="33" spans="1:17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</row>
    <row r="34" spans="1:175" ht="20">
      <c r="A34" s="7" t="s">
        <v>200</v>
      </c>
      <c r="B34" s="31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  <c r="EY34" s="29"/>
      <c r="EZ34" s="29"/>
      <c r="FA34" s="29"/>
      <c r="FB34" s="29"/>
      <c r="FC34" s="29"/>
      <c r="FD34" s="29"/>
      <c r="FE34" s="29"/>
      <c r="FF34" s="29"/>
      <c r="FG34" s="29"/>
      <c r="FH34" s="29"/>
      <c r="FI34" s="29"/>
      <c r="FJ34" s="29"/>
      <c r="FK34" s="29"/>
      <c r="FL34" s="29"/>
    </row>
    <row r="35" spans="1:175" s="19" customFormat="1" ht="76" customHeight="1">
      <c r="A35" s="3" t="s">
        <v>164</v>
      </c>
      <c r="B35" s="4" t="s">
        <v>0</v>
      </c>
      <c r="C35" s="4" t="s">
        <v>71</v>
      </c>
      <c r="D35" s="4" t="s">
        <v>72</v>
      </c>
      <c r="E35" s="4" t="s">
        <v>73</v>
      </c>
      <c r="F35" s="4" t="s">
        <v>74</v>
      </c>
      <c r="G35" s="4" t="s">
        <v>75</v>
      </c>
      <c r="H35" s="4" t="s">
        <v>76</v>
      </c>
      <c r="I35" s="4" t="s">
        <v>77</v>
      </c>
      <c r="J35" s="4" t="s">
        <v>78</v>
      </c>
      <c r="K35" s="4" t="s">
        <v>79</v>
      </c>
      <c r="L35" s="4" t="s">
        <v>80</v>
      </c>
      <c r="M35" s="4" t="s">
        <v>81</v>
      </c>
      <c r="N35" s="4" t="s">
        <v>82</v>
      </c>
      <c r="O35" s="4" t="s">
        <v>83</v>
      </c>
      <c r="P35" s="4" t="s">
        <v>84</v>
      </c>
      <c r="Q35" s="4" t="s">
        <v>85</v>
      </c>
      <c r="R35" s="4" t="s">
        <v>86</v>
      </c>
      <c r="S35" s="4" t="s">
        <v>87</v>
      </c>
      <c r="T35" s="4" t="s">
        <v>88</v>
      </c>
      <c r="U35" s="199" t="s">
        <v>194</v>
      </c>
      <c r="V35" s="4" t="s">
        <v>89</v>
      </c>
      <c r="W35" s="4" t="s">
        <v>90</v>
      </c>
      <c r="X35" s="4" t="s">
        <v>91</v>
      </c>
      <c r="Y35" s="4" t="s">
        <v>92</v>
      </c>
      <c r="Z35" s="4" t="s">
        <v>93</v>
      </c>
      <c r="AA35" s="4" t="s">
        <v>94</v>
      </c>
      <c r="AB35" s="4" t="s">
        <v>95</v>
      </c>
      <c r="AC35" s="4" t="s">
        <v>96</v>
      </c>
      <c r="AD35" s="4" t="s">
        <v>97</v>
      </c>
      <c r="AE35" s="4" t="s">
        <v>98</v>
      </c>
      <c r="AF35" s="4" t="s">
        <v>99</v>
      </c>
      <c r="AG35" s="4" t="s">
        <v>100</v>
      </c>
      <c r="AH35" s="4" t="s">
        <v>101</v>
      </c>
      <c r="AI35" s="4" t="s">
        <v>102</v>
      </c>
      <c r="AJ35" s="4" t="s">
        <v>103</v>
      </c>
      <c r="AK35" s="4" t="s">
        <v>104</v>
      </c>
      <c r="AL35" s="4" t="s">
        <v>105</v>
      </c>
      <c r="AM35" s="4" t="s">
        <v>106</v>
      </c>
      <c r="AN35" s="4" t="s">
        <v>107</v>
      </c>
      <c r="AO35" s="4" t="s">
        <v>108</v>
      </c>
      <c r="AP35" s="4" t="s">
        <v>109</v>
      </c>
      <c r="AQ35" s="4" t="s">
        <v>110</v>
      </c>
      <c r="AR35" s="4" t="s">
        <v>111</v>
      </c>
      <c r="AS35" s="4" t="s">
        <v>112</v>
      </c>
      <c r="AT35" s="4" t="s">
        <v>113</v>
      </c>
      <c r="AU35" s="199" t="s">
        <v>193</v>
      </c>
      <c r="AV35" s="4" t="s">
        <v>160</v>
      </c>
      <c r="AW35" s="4" t="s">
        <v>114</v>
      </c>
      <c r="AX35" s="4" t="s">
        <v>115</v>
      </c>
      <c r="AY35" s="4" t="s">
        <v>116</v>
      </c>
      <c r="AZ35" s="4" t="s">
        <v>117</v>
      </c>
      <c r="BA35" s="4" t="s">
        <v>118</v>
      </c>
      <c r="BB35" s="4" t="s">
        <v>119</v>
      </c>
      <c r="BC35" s="4" t="s">
        <v>120</v>
      </c>
      <c r="BD35" s="4" t="s">
        <v>121</v>
      </c>
      <c r="BE35" s="4" t="s">
        <v>122</v>
      </c>
      <c r="BF35" s="4" t="s">
        <v>123</v>
      </c>
      <c r="BG35" s="4" t="s">
        <v>124</v>
      </c>
      <c r="BH35" s="4" t="s">
        <v>125</v>
      </c>
      <c r="BI35" s="4" t="s">
        <v>126</v>
      </c>
      <c r="BJ35" s="4" t="s">
        <v>127</v>
      </c>
      <c r="BK35" s="4" t="s">
        <v>128</v>
      </c>
      <c r="BL35" s="4" t="s">
        <v>129</v>
      </c>
      <c r="BM35" s="4" t="s">
        <v>130</v>
      </c>
      <c r="BN35" s="4" t="s">
        <v>131</v>
      </c>
      <c r="BO35" s="4" t="s">
        <v>132</v>
      </c>
      <c r="BP35" s="4" t="s">
        <v>133</v>
      </c>
      <c r="BQ35" s="4" t="s">
        <v>134</v>
      </c>
      <c r="BR35" s="4" t="s">
        <v>135</v>
      </c>
      <c r="BS35" s="4" t="s">
        <v>136</v>
      </c>
      <c r="BT35" s="4" t="s">
        <v>137</v>
      </c>
      <c r="BU35" s="4" t="s">
        <v>138</v>
      </c>
      <c r="BV35" s="4" t="s">
        <v>139</v>
      </c>
      <c r="BW35" s="4" t="s">
        <v>140</v>
      </c>
      <c r="BX35" s="4" t="s">
        <v>141</v>
      </c>
      <c r="BY35" s="4" t="s">
        <v>142</v>
      </c>
      <c r="BZ35" s="4" t="s">
        <v>143</v>
      </c>
      <c r="CA35" s="4" t="s">
        <v>144</v>
      </c>
      <c r="CB35" s="4" t="s">
        <v>145</v>
      </c>
      <c r="CC35" s="4" t="s">
        <v>146</v>
      </c>
      <c r="CD35" s="4" t="s">
        <v>147</v>
      </c>
      <c r="CE35" s="4" t="s">
        <v>148</v>
      </c>
      <c r="CF35" s="4" t="s">
        <v>149</v>
      </c>
      <c r="CG35" s="4" t="s">
        <v>150</v>
      </c>
      <c r="CH35" s="4" t="s">
        <v>151</v>
      </c>
      <c r="CI35" s="4" t="s">
        <v>152</v>
      </c>
      <c r="CJ35" s="4" t="s">
        <v>153</v>
      </c>
      <c r="CK35" s="4" t="s">
        <v>154</v>
      </c>
      <c r="CL35" s="4" t="s">
        <v>155</v>
      </c>
      <c r="CM35" s="4" t="s">
        <v>156</v>
      </c>
      <c r="CN35" s="4" t="s">
        <v>157</v>
      </c>
      <c r="CO35" s="3" t="s">
        <v>158</v>
      </c>
      <c r="CP35" s="200" t="s">
        <v>192</v>
      </c>
      <c r="CQ35" s="89" t="s">
        <v>1</v>
      </c>
      <c r="CR35" s="4" t="s">
        <v>2</v>
      </c>
      <c r="CS35" s="4" t="s">
        <v>3</v>
      </c>
      <c r="CT35" s="4" t="s">
        <v>4</v>
      </c>
      <c r="CU35" s="4" t="s">
        <v>5</v>
      </c>
      <c r="CV35" s="4" t="s">
        <v>6</v>
      </c>
      <c r="CW35" s="4" t="s">
        <v>7</v>
      </c>
      <c r="CX35" s="4" t="s">
        <v>8</v>
      </c>
      <c r="CY35" s="4" t="s">
        <v>9</v>
      </c>
      <c r="CZ35" s="4" t="s">
        <v>10</v>
      </c>
      <c r="DA35" s="4" t="s">
        <v>11</v>
      </c>
      <c r="DB35" s="4" t="s">
        <v>12</v>
      </c>
      <c r="DC35" s="4" t="s">
        <v>13</v>
      </c>
      <c r="DD35" s="4" t="s">
        <v>14</v>
      </c>
      <c r="DE35" s="4" t="s">
        <v>15</v>
      </c>
      <c r="DF35" s="4" t="s">
        <v>16</v>
      </c>
      <c r="DG35" s="4" t="s">
        <v>17</v>
      </c>
      <c r="DH35" s="4" t="s">
        <v>18</v>
      </c>
      <c r="DI35" s="4" t="s">
        <v>19</v>
      </c>
      <c r="DJ35" s="4" t="s">
        <v>20</v>
      </c>
      <c r="DK35" s="4" t="s">
        <v>21</v>
      </c>
      <c r="DL35" s="4" t="s">
        <v>22</v>
      </c>
      <c r="DM35" s="4" t="s">
        <v>23</v>
      </c>
      <c r="DN35" s="4" t="s">
        <v>24</v>
      </c>
      <c r="DO35" s="4" t="s">
        <v>25</v>
      </c>
      <c r="DP35" s="4" t="s">
        <v>26</v>
      </c>
      <c r="DQ35" s="4" t="s">
        <v>27</v>
      </c>
      <c r="DR35" s="4" t="s">
        <v>28</v>
      </c>
      <c r="DS35" s="4" t="s">
        <v>29</v>
      </c>
      <c r="DT35" s="4" t="s">
        <v>30</v>
      </c>
      <c r="DU35" s="4" t="s">
        <v>31</v>
      </c>
      <c r="DV35" s="4" t="s">
        <v>32</v>
      </c>
      <c r="DW35" s="4" t="s">
        <v>33</v>
      </c>
      <c r="DX35" s="4" t="s">
        <v>34</v>
      </c>
      <c r="DY35" s="4" t="s">
        <v>35</v>
      </c>
      <c r="DZ35" s="4" t="s">
        <v>36</v>
      </c>
      <c r="EA35" s="4" t="s">
        <v>37</v>
      </c>
      <c r="EB35" s="4" t="s">
        <v>38</v>
      </c>
      <c r="EC35" s="4" t="s">
        <v>39</v>
      </c>
      <c r="ED35" s="4" t="s">
        <v>40</v>
      </c>
      <c r="EE35" s="4" t="s">
        <v>41</v>
      </c>
      <c r="EF35" s="4" t="s">
        <v>42</v>
      </c>
      <c r="EG35" s="4" t="s">
        <v>43</v>
      </c>
      <c r="EH35" s="4" t="s">
        <v>44</v>
      </c>
      <c r="EI35" s="4" t="s">
        <v>45</v>
      </c>
      <c r="EJ35" s="4" t="s">
        <v>46</v>
      </c>
      <c r="EK35" s="4" t="s">
        <v>47</v>
      </c>
      <c r="EL35" s="4" t="s">
        <v>48</v>
      </c>
      <c r="EM35" s="4" t="s">
        <v>49</v>
      </c>
      <c r="EN35" s="4" t="s">
        <v>50</v>
      </c>
      <c r="EO35" s="4" t="s">
        <v>51</v>
      </c>
      <c r="EP35" s="199" t="s">
        <v>201</v>
      </c>
      <c r="EQ35" s="4" t="s">
        <v>52</v>
      </c>
      <c r="ER35" s="4" t="s">
        <v>53</v>
      </c>
      <c r="ES35" s="4" t="s">
        <v>54</v>
      </c>
      <c r="ET35" s="4" t="s">
        <v>55</v>
      </c>
      <c r="EU35" s="4" t="s">
        <v>56</v>
      </c>
      <c r="EV35" s="4" t="s">
        <v>57</v>
      </c>
      <c r="EW35" s="4" t="s">
        <v>58</v>
      </c>
      <c r="EX35" s="4" t="s">
        <v>59</v>
      </c>
      <c r="EY35" s="4" t="s">
        <v>60</v>
      </c>
      <c r="EZ35" s="4" t="s">
        <v>61</v>
      </c>
      <c r="FA35" s="4" t="s">
        <v>62</v>
      </c>
      <c r="FB35" s="4" t="s">
        <v>63</v>
      </c>
      <c r="FC35" s="4" t="s">
        <v>64</v>
      </c>
      <c r="FD35" s="4" t="s">
        <v>65</v>
      </c>
      <c r="FE35" s="4" t="s">
        <v>66</v>
      </c>
      <c r="FF35" s="4" t="s">
        <v>67</v>
      </c>
      <c r="FG35" s="4" t="s">
        <v>68</v>
      </c>
      <c r="FH35" s="4" t="s">
        <v>69</v>
      </c>
      <c r="FI35" s="4" t="s">
        <v>70</v>
      </c>
      <c r="FJ35" s="149" t="s">
        <v>197</v>
      </c>
      <c r="FK35" s="149" t="s">
        <v>197</v>
      </c>
      <c r="FL35" s="18"/>
      <c r="FM35" s="18"/>
      <c r="FN35" s="18"/>
      <c r="FO35" s="18"/>
      <c r="FP35" s="18"/>
      <c r="FQ35" s="18"/>
      <c r="FR35" s="18"/>
      <c r="FS35" s="18"/>
    </row>
    <row r="36" spans="1:175" ht="15">
      <c r="A36" s="133" t="s">
        <v>170</v>
      </c>
      <c r="B36" s="23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65"/>
      <c r="AN36" s="65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  <c r="EY36" s="29"/>
      <c r="EZ36" s="29"/>
      <c r="FA36" s="29"/>
      <c r="FB36" s="29"/>
      <c r="FC36" s="29"/>
      <c r="FD36" s="29"/>
      <c r="FE36" s="29"/>
      <c r="FF36" s="29"/>
      <c r="FG36" s="29"/>
      <c r="FH36" s="29"/>
      <c r="FI36" s="29"/>
      <c r="FJ36" s="48"/>
      <c r="FK36" s="29"/>
      <c r="FL36" s="29"/>
    </row>
    <row r="37" spans="1:175">
      <c r="A37" s="71" t="s">
        <v>234</v>
      </c>
      <c r="B37" s="92" t="s">
        <v>161</v>
      </c>
      <c r="C37" s="150">
        <f>LOG(C6)</f>
        <v>3.2715620534231342</v>
      </c>
      <c r="D37" s="151">
        <f t="shared" ref="D37:BQ37" si="21">LOG(D6)</f>
        <v>2.3508857510919108</v>
      </c>
      <c r="E37" s="151">
        <f t="shared" si="21"/>
        <v>3.9317578000173299</v>
      </c>
      <c r="F37" s="151">
        <f t="shared" si="21"/>
        <v>3.4060506710947083</v>
      </c>
      <c r="G37" s="151">
        <f t="shared" si="21"/>
        <v>1.7907783847129282</v>
      </c>
      <c r="H37" s="151">
        <f t="shared" si="21"/>
        <v>2.4875204096362835</v>
      </c>
      <c r="I37" s="151">
        <f t="shared" si="21"/>
        <v>2.0391304381429971</v>
      </c>
      <c r="J37" s="151">
        <f t="shared" si="21"/>
        <v>4.2161910850855984</v>
      </c>
      <c r="K37" s="151">
        <f t="shared" si="21"/>
        <v>3.8722429364374422</v>
      </c>
      <c r="L37" s="151">
        <f t="shared" si="21"/>
        <v>1.815614126967471</v>
      </c>
      <c r="M37" s="151">
        <f t="shared" si="21"/>
        <v>2.0683682962449663</v>
      </c>
      <c r="N37" s="151">
        <f t="shared" si="21"/>
        <v>1.7377446832191648</v>
      </c>
      <c r="O37" s="151">
        <f t="shared" si="21"/>
        <v>1.6481188192160683</v>
      </c>
      <c r="P37" s="151">
        <f t="shared" si="21"/>
        <v>1.3921032802172304</v>
      </c>
      <c r="Q37" s="151">
        <f t="shared" si="21"/>
        <v>1.4106162323403477</v>
      </c>
      <c r="R37" s="151">
        <f t="shared" si="21"/>
        <v>1.7516244464000221</v>
      </c>
      <c r="S37" s="151">
        <f t="shared" si="21"/>
        <v>2.029301407732754</v>
      </c>
      <c r="T37" s="151">
        <f t="shared" si="21"/>
        <v>1.7289718357961743</v>
      </c>
      <c r="U37" s="152">
        <f>MEDIAN(C37:T37)</f>
        <v>2.0342159229378756</v>
      </c>
      <c r="V37" s="151">
        <f t="shared" si="21"/>
        <v>4.4605831862441834</v>
      </c>
      <c r="W37" s="151">
        <f t="shared" si="21"/>
        <v>4.5954528799767118</v>
      </c>
      <c r="X37" s="151">
        <f t="shared" si="21"/>
        <v>4.6139031364454484</v>
      </c>
      <c r="Y37" s="151">
        <f t="shared" si="21"/>
        <v>1.7601614360094515</v>
      </c>
      <c r="Z37" s="151">
        <f t="shared" si="21"/>
        <v>1.5693588261107132</v>
      </c>
      <c r="AA37" s="151">
        <f t="shared" si="21"/>
        <v>5.2336286110660692</v>
      </c>
      <c r="AB37" s="151">
        <f t="shared" si="21"/>
        <v>4.434710672130767</v>
      </c>
      <c r="AC37" s="151">
        <f t="shared" si="21"/>
        <v>5.4201879891234164</v>
      </c>
      <c r="AD37" s="151">
        <f t="shared" si="21"/>
        <v>2.7768964691650178</v>
      </c>
      <c r="AE37" s="151">
        <f t="shared" si="21"/>
        <v>3.7797168927259097</v>
      </c>
      <c r="AF37" s="151">
        <f t="shared" si="21"/>
        <v>3.9580346272672351</v>
      </c>
      <c r="AG37" s="151">
        <f t="shared" si="21"/>
        <v>2.6966991426827462</v>
      </c>
      <c r="AH37" s="151">
        <f t="shared" si="21"/>
        <v>3.2996138395778849</v>
      </c>
      <c r="AI37" s="151">
        <f t="shared" si="21"/>
        <v>1.8880514072504377</v>
      </c>
      <c r="AJ37" s="151">
        <f t="shared" si="21"/>
        <v>1.7046263554892696</v>
      </c>
      <c r="AK37" s="151">
        <f t="shared" si="21"/>
        <v>2.5261136740671621</v>
      </c>
      <c r="AL37" s="151">
        <f t="shared" si="21"/>
        <v>1.8569094277404274</v>
      </c>
      <c r="AM37" s="151">
        <f t="shared" si="21"/>
        <v>2.2466154397834952</v>
      </c>
      <c r="AN37" s="151">
        <f t="shared" si="21"/>
        <v>1.9606365287994403</v>
      </c>
      <c r="AO37" s="151">
        <f t="shared" si="21"/>
        <v>1.5192053979201599</v>
      </c>
      <c r="AP37" s="151">
        <f t="shared" si="21"/>
        <v>2.7595165805925603</v>
      </c>
      <c r="AQ37" s="151">
        <f t="shared" si="21"/>
        <v>2.9457993024499833</v>
      </c>
      <c r="AR37" s="151">
        <f t="shared" si="21"/>
        <v>3.4107643011086086</v>
      </c>
      <c r="AS37" s="151">
        <f t="shared" si="21"/>
        <v>4.0267605924267817</v>
      </c>
      <c r="AT37" s="151">
        <f t="shared" si="21"/>
        <v>1.9575227242061159</v>
      </c>
      <c r="AU37" s="152">
        <f>MEDIAN(V37:AT37)</f>
        <v>2.7768964691650178</v>
      </c>
      <c r="AV37" s="151">
        <f t="shared" si="21"/>
        <v>2.3812025146427791</v>
      </c>
      <c r="AW37" s="151">
        <f t="shared" si="21"/>
        <v>1.9269842832639665</v>
      </c>
      <c r="AX37" s="151">
        <f t="shared" si="21"/>
        <v>1.4084062488858671</v>
      </c>
      <c r="AY37" s="151">
        <f t="shared" si="21"/>
        <v>1.5347064247856808</v>
      </c>
      <c r="AZ37" s="151">
        <f t="shared" si="21"/>
        <v>0</v>
      </c>
      <c r="BA37" s="151">
        <f t="shared" si="21"/>
        <v>2.4061090141799544</v>
      </c>
      <c r="BB37" s="151">
        <f t="shared" si="21"/>
        <v>3.4999601401680374</v>
      </c>
      <c r="BC37" s="151">
        <f t="shared" si="21"/>
        <v>3.2132340214898543</v>
      </c>
      <c r="BD37" s="151">
        <f t="shared" si="21"/>
        <v>2.0532136937536283</v>
      </c>
      <c r="BE37" s="151">
        <f t="shared" si="21"/>
        <v>1.7481015791090713</v>
      </c>
      <c r="BF37" s="151">
        <f t="shared" si="21"/>
        <v>2.5054593379099797</v>
      </c>
      <c r="BG37" s="151">
        <f t="shared" si="21"/>
        <v>2.3195221163130189</v>
      </c>
      <c r="BH37" s="151">
        <f t="shared" si="21"/>
        <v>2.6492945208500878</v>
      </c>
      <c r="BI37" s="151">
        <f t="shared" si="21"/>
        <v>2.5331095109412445</v>
      </c>
      <c r="BJ37" s="151">
        <f t="shared" si="21"/>
        <v>4.1345055020161485</v>
      </c>
      <c r="BK37" s="151">
        <f t="shared" si="21"/>
        <v>3.8828670669139971</v>
      </c>
      <c r="BL37" s="151">
        <f t="shared" si="21"/>
        <v>3.2038805604224292</v>
      </c>
      <c r="BM37" s="151">
        <f t="shared" si="21"/>
        <v>3.1173824132588401</v>
      </c>
      <c r="BN37" s="151">
        <f t="shared" si="21"/>
        <v>2.1033041418932981</v>
      </c>
      <c r="BO37" s="151">
        <f t="shared" si="21"/>
        <v>1.7462735909306759</v>
      </c>
      <c r="BP37" s="151">
        <f t="shared" si="21"/>
        <v>1.9869544900957965</v>
      </c>
      <c r="BQ37" s="151">
        <f t="shared" si="21"/>
        <v>1.7630876460727467</v>
      </c>
      <c r="BR37" s="151">
        <f t="shared" ref="BR37:ED37" si="22">LOG(BR6)</f>
        <v>2.9702396434431106</v>
      </c>
      <c r="BS37" s="151">
        <f t="shared" si="22"/>
        <v>2.7947665654111993</v>
      </c>
      <c r="BT37" s="151">
        <f t="shared" si="22"/>
        <v>2.7440809637439911</v>
      </c>
      <c r="BU37" s="151">
        <f t="shared" si="22"/>
        <v>2.2840264394027332</v>
      </c>
      <c r="BV37" s="151">
        <f t="shared" si="22"/>
        <v>1.9419245462580683</v>
      </c>
      <c r="BW37" s="151">
        <f t="shared" si="22"/>
        <v>2.7391083807298804</v>
      </c>
      <c r="BX37" s="151">
        <f t="shared" si="22"/>
        <v>3.4678891099713929</v>
      </c>
      <c r="BY37" s="151">
        <f t="shared" si="22"/>
        <v>4.0528095380466134</v>
      </c>
      <c r="BZ37" s="151">
        <f t="shared" si="22"/>
        <v>3.2433804712681358</v>
      </c>
      <c r="CA37" s="151">
        <f t="shared" si="22"/>
        <v>2.5601084242683823</v>
      </c>
      <c r="CB37" s="151">
        <f t="shared" si="22"/>
        <v>2.5454679378089211</v>
      </c>
      <c r="CC37" s="151">
        <f t="shared" si="22"/>
        <v>2.6065730995502303</v>
      </c>
      <c r="CD37" s="151">
        <f t="shared" si="22"/>
        <v>2.6591502743179722</v>
      </c>
      <c r="CE37" s="151">
        <f t="shared" si="22"/>
        <v>3.0223949599210043</v>
      </c>
      <c r="CF37" s="151">
        <f t="shared" si="22"/>
        <v>2.9635285138133263</v>
      </c>
      <c r="CG37" s="151">
        <f t="shared" si="22"/>
        <v>1.65835966342275</v>
      </c>
      <c r="CH37" s="151">
        <f t="shared" si="22"/>
        <v>2.2089466796965533</v>
      </c>
      <c r="CI37" s="151">
        <f t="shared" si="22"/>
        <v>1.5236292125904469</v>
      </c>
      <c r="CJ37" s="151">
        <v>0</v>
      </c>
      <c r="CK37" s="151">
        <f t="shared" si="22"/>
        <v>1.8139071334744337</v>
      </c>
      <c r="CL37" s="151">
        <v>0</v>
      </c>
      <c r="CM37" s="151">
        <f t="shared" si="22"/>
        <v>1.7311330201002528</v>
      </c>
      <c r="CN37" s="151">
        <v>0</v>
      </c>
      <c r="CO37" s="151">
        <f t="shared" si="22"/>
        <v>1.5632182414233451</v>
      </c>
      <c r="CP37" s="152">
        <f>MEDIAN(AV37:CO37)</f>
        <v>2.393655764411367</v>
      </c>
      <c r="CQ37" s="151">
        <f t="shared" si="22"/>
        <v>1.3453053211337742</v>
      </c>
      <c r="CR37" s="151">
        <v>0</v>
      </c>
      <c r="CS37" s="151">
        <f t="shared" si="22"/>
        <v>1.461625206233816</v>
      </c>
      <c r="CT37" s="151">
        <v>0</v>
      </c>
      <c r="CU37" s="151">
        <v>0</v>
      </c>
      <c r="CV37" s="151">
        <f t="shared" si="22"/>
        <v>1.1703740001974818</v>
      </c>
      <c r="CW37" s="151">
        <f t="shared" si="22"/>
        <v>1.7464968950903708</v>
      </c>
      <c r="CX37" s="151">
        <f t="shared" si="22"/>
        <v>1.4636056398698105</v>
      </c>
      <c r="CY37" s="151">
        <v>0</v>
      </c>
      <c r="CZ37" s="151">
        <f t="shared" si="22"/>
        <v>1.5391791932533918</v>
      </c>
      <c r="DA37" s="151">
        <f t="shared" si="22"/>
        <v>1.4052970700532268</v>
      </c>
      <c r="DB37" s="151">
        <v>0</v>
      </c>
      <c r="DC37" s="151">
        <f t="shared" si="22"/>
        <v>1.3446778226958422</v>
      </c>
      <c r="DD37" s="151">
        <f t="shared" si="22"/>
        <v>1.45867651489195</v>
      </c>
      <c r="DE37" s="151">
        <f t="shared" si="22"/>
        <v>2.3822776438507107</v>
      </c>
      <c r="DF37" s="151">
        <f t="shared" si="22"/>
        <v>2.3041577031031117</v>
      </c>
      <c r="DG37" s="151">
        <f t="shared" si="22"/>
        <v>1.2102489547672577</v>
      </c>
      <c r="DH37" s="151">
        <v>0</v>
      </c>
      <c r="DI37" s="151">
        <v>0</v>
      </c>
      <c r="DJ37" s="151">
        <v>0</v>
      </c>
      <c r="DK37" s="151">
        <v>0</v>
      </c>
      <c r="DL37" s="151">
        <f t="shared" si="22"/>
        <v>1.3010590874881029</v>
      </c>
      <c r="DM37" s="151">
        <f t="shared" si="22"/>
        <v>1.5854072431398063</v>
      </c>
      <c r="DN37" s="151">
        <v>0</v>
      </c>
      <c r="DO37" s="151">
        <f t="shared" si="22"/>
        <v>2.2412884596122957</v>
      </c>
      <c r="DP37" s="151">
        <f t="shared" si="22"/>
        <v>2.1940164821506416</v>
      </c>
      <c r="DQ37" s="151">
        <f t="shared" si="22"/>
        <v>1.3279222054937216</v>
      </c>
      <c r="DR37" s="151">
        <f t="shared" si="22"/>
        <v>2.1102686945558942</v>
      </c>
      <c r="DS37" s="151">
        <v>0</v>
      </c>
      <c r="DT37" s="151">
        <v>0</v>
      </c>
      <c r="DU37" s="151">
        <v>0</v>
      </c>
      <c r="DV37" s="151">
        <v>0</v>
      </c>
      <c r="DW37" s="151">
        <v>0</v>
      </c>
      <c r="DX37" s="151">
        <f t="shared" si="22"/>
        <v>1.2791244650687486</v>
      </c>
      <c r="DY37" s="151">
        <f t="shared" si="22"/>
        <v>1.1785008978105351</v>
      </c>
      <c r="DZ37" s="151">
        <f t="shared" si="22"/>
        <v>1.3270113646992165</v>
      </c>
      <c r="EA37" s="151">
        <v>0</v>
      </c>
      <c r="EB37" s="151">
        <v>0</v>
      </c>
      <c r="EC37" s="151">
        <f t="shared" si="22"/>
        <v>1.3361135115716285</v>
      </c>
      <c r="ED37" s="151">
        <f t="shared" si="22"/>
        <v>1.0954250890917232</v>
      </c>
      <c r="EE37" s="151">
        <v>0</v>
      </c>
      <c r="EF37" s="151">
        <v>0</v>
      </c>
      <c r="EG37" s="151">
        <v>0</v>
      </c>
      <c r="EH37" s="151">
        <v>0</v>
      </c>
      <c r="EI37" s="151">
        <v>0</v>
      </c>
      <c r="EJ37" s="151">
        <v>0</v>
      </c>
      <c r="EK37" s="151">
        <v>0</v>
      </c>
      <c r="EL37" s="151">
        <v>0</v>
      </c>
      <c r="EM37" s="151">
        <v>0</v>
      </c>
      <c r="EN37" s="151">
        <v>0</v>
      </c>
      <c r="EO37" s="151">
        <v>0</v>
      </c>
      <c r="EP37" s="152">
        <f>MEDIAN(AV37:EO37)</f>
        <v>1.5291678186880637</v>
      </c>
      <c r="EQ37" s="151">
        <v>0</v>
      </c>
      <c r="ER37" s="151">
        <f t="shared" ref="ER37:FF37" si="23">LOG(ER6)</f>
        <v>1.9516587955011042</v>
      </c>
      <c r="ES37" s="151">
        <f t="shared" si="23"/>
        <v>1.303327372764477</v>
      </c>
      <c r="ET37" s="151">
        <v>0</v>
      </c>
      <c r="EU37" s="151">
        <v>0</v>
      </c>
      <c r="EV37" s="151">
        <v>0</v>
      </c>
      <c r="EW37" s="151">
        <v>0</v>
      </c>
      <c r="EX37" s="151">
        <v>0</v>
      </c>
      <c r="EY37" s="151">
        <v>0</v>
      </c>
      <c r="EZ37" s="151">
        <f t="shared" si="23"/>
        <v>1.189278113696999</v>
      </c>
      <c r="FA37" s="151">
        <v>0</v>
      </c>
      <c r="FB37" s="151">
        <f t="shared" si="23"/>
        <v>1.2561894909915661</v>
      </c>
      <c r="FC37" s="151">
        <v>0</v>
      </c>
      <c r="FD37" s="151">
        <v>0</v>
      </c>
      <c r="FE37" s="151">
        <f t="shared" si="23"/>
        <v>1.4636056398698105</v>
      </c>
      <c r="FF37" s="151">
        <f t="shared" si="23"/>
        <v>1.1025876512254591</v>
      </c>
      <c r="FG37" s="151">
        <v>0</v>
      </c>
      <c r="FH37" s="151">
        <v>0</v>
      </c>
      <c r="FI37" s="151">
        <v>0</v>
      </c>
      <c r="FJ37" s="153">
        <f>MEDIAN(EQ37:FI37)</f>
        <v>0</v>
      </c>
      <c r="FK37" s="152">
        <v>1</v>
      </c>
      <c r="FL37" s="29"/>
    </row>
    <row r="38" spans="1:175">
      <c r="A38" s="71" t="s">
        <v>209</v>
      </c>
      <c r="B38" s="92" t="s">
        <v>161</v>
      </c>
      <c r="C38" s="150">
        <f t="shared" ref="C38:BP38" si="24">LOG(C7)</f>
        <v>3.7458834890896555</v>
      </c>
      <c r="D38" s="151">
        <f t="shared" si="24"/>
        <v>2.7435438778434049</v>
      </c>
      <c r="E38" s="151">
        <f t="shared" si="24"/>
        <v>4.1941943866117368</v>
      </c>
      <c r="F38" s="151">
        <f t="shared" si="24"/>
        <v>3.7574238173305239</v>
      </c>
      <c r="G38" s="151">
        <f t="shared" si="24"/>
        <v>2.2069779707741466</v>
      </c>
      <c r="H38" s="151">
        <f t="shared" si="24"/>
        <v>2.5911145590392732</v>
      </c>
      <c r="I38" s="151">
        <f t="shared" si="24"/>
        <v>2.293545178418539</v>
      </c>
      <c r="J38" s="151">
        <f t="shared" si="24"/>
        <v>4.24907836478324</v>
      </c>
      <c r="K38" s="151">
        <f t="shared" si="24"/>
        <v>3.9707807438990659</v>
      </c>
      <c r="L38" s="151">
        <f t="shared" si="24"/>
        <v>3.109571257970897</v>
      </c>
      <c r="M38" s="151">
        <f t="shared" si="24"/>
        <v>1.5797210470564134</v>
      </c>
      <c r="N38" s="151">
        <f t="shared" si="24"/>
        <v>2.1709087514663956</v>
      </c>
      <c r="O38" s="151">
        <f t="shared" si="24"/>
        <v>1.5598520144375776</v>
      </c>
      <c r="P38" s="151">
        <f t="shared" si="24"/>
        <v>1.6239533281611533</v>
      </c>
      <c r="Q38" s="151">
        <f t="shared" si="24"/>
        <v>1.3919904857581398</v>
      </c>
      <c r="R38" s="151">
        <f t="shared" si="24"/>
        <v>2.0028791345497106</v>
      </c>
      <c r="S38" s="151">
        <f t="shared" si="24"/>
        <v>2.0743739889293829</v>
      </c>
      <c r="T38" s="151">
        <f t="shared" si="24"/>
        <v>2.7125926203654438</v>
      </c>
      <c r="U38" s="152">
        <f t="shared" ref="U38:U42" si="25">MEDIAN(C38:T38)</f>
        <v>2.4423298687289061</v>
      </c>
      <c r="V38" s="151">
        <f t="shared" si="24"/>
        <v>4.5582198802655087</v>
      </c>
      <c r="W38" s="151">
        <f t="shared" si="24"/>
        <v>4.7551485934759823</v>
      </c>
      <c r="X38" s="151">
        <f t="shared" si="24"/>
        <v>4.649943495407717</v>
      </c>
      <c r="Y38" s="151">
        <f t="shared" si="24"/>
        <v>1.897446559958444</v>
      </c>
      <c r="Z38" s="151">
        <f t="shared" si="24"/>
        <v>1.6625548736594034</v>
      </c>
      <c r="AA38" s="151">
        <f t="shared" si="24"/>
        <v>5.067953184678208</v>
      </c>
      <c r="AB38" s="151">
        <f t="shared" si="24"/>
        <v>4.4790638496255193</v>
      </c>
      <c r="AC38" s="151">
        <f t="shared" si="24"/>
        <v>5.4564753889185891</v>
      </c>
      <c r="AD38" s="151">
        <f t="shared" si="24"/>
        <v>2.8466842723621237</v>
      </c>
      <c r="AE38" s="151">
        <f t="shared" si="24"/>
        <v>3.7050636377865591</v>
      </c>
      <c r="AF38" s="151">
        <f t="shared" si="24"/>
        <v>3.8927779168865064</v>
      </c>
      <c r="AG38" s="151">
        <f t="shared" si="24"/>
        <v>2.7683744781061099</v>
      </c>
      <c r="AH38" s="151">
        <f t="shared" si="24"/>
        <v>3.4709021117010641</v>
      </c>
      <c r="AI38" s="151">
        <f t="shared" si="24"/>
        <v>1.8112716400945552</v>
      </c>
      <c r="AJ38" s="151">
        <f t="shared" si="24"/>
        <v>1.4810937752887685</v>
      </c>
      <c r="AK38" s="151">
        <f t="shared" si="24"/>
        <v>2.8003330676627396</v>
      </c>
      <c r="AL38" s="151">
        <f t="shared" si="24"/>
        <v>2.2891630152842475</v>
      </c>
      <c r="AM38" s="151">
        <f t="shared" si="24"/>
        <v>2.1042230745088832</v>
      </c>
      <c r="AN38" s="151">
        <f t="shared" si="24"/>
        <v>1.486315161517286</v>
      </c>
      <c r="AO38" s="151">
        <f t="shared" si="24"/>
        <v>2.1189303572985425</v>
      </c>
      <c r="AP38" s="151">
        <f t="shared" si="24"/>
        <v>2.8347989326263217</v>
      </c>
      <c r="AQ38" s="151">
        <f t="shared" si="24"/>
        <v>2.8891236606993353</v>
      </c>
      <c r="AR38" s="151">
        <f t="shared" si="24"/>
        <v>3.1664846932328627</v>
      </c>
      <c r="AS38" s="151">
        <f t="shared" si="24"/>
        <v>4.1715066291695022</v>
      </c>
      <c r="AT38" s="151">
        <f t="shared" si="24"/>
        <v>1.8028551656170706</v>
      </c>
      <c r="AU38" s="152">
        <f t="shared" ref="AU38:AU42" si="26">MEDIAN(V38:AT38)</f>
        <v>2.8466842723621237</v>
      </c>
      <c r="AV38" s="151">
        <f t="shared" si="24"/>
        <v>1.5132627387516229</v>
      </c>
      <c r="AW38" s="151">
        <f t="shared" si="24"/>
        <v>1.6680831242478629</v>
      </c>
      <c r="AX38" s="151">
        <f t="shared" si="24"/>
        <v>1.8730698281485487</v>
      </c>
      <c r="AY38" s="151">
        <f t="shared" si="24"/>
        <v>1.5683491211288161</v>
      </c>
      <c r="AZ38" s="151">
        <f t="shared" si="24"/>
        <v>1.5357498204695654</v>
      </c>
      <c r="BA38" s="151">
        <f t="shared" si="24"/>
        <v>2.6751977598715797</v>
      </c>
      <c r="BB38" s="151">
        <f t="shared" si="24"/>
        <v>3.5875352784381334</v>
      </c>
      <c r="BC38" s="151">
        <f t="shared" si="24"/>
        <v>3.4729806090102331</v>
      </c>
      <c r="BD38" s="151">
        <f t="shared" si="24"/>
        <v>2.1662220567897306</v>
      </c>
      <c r="BE38" s="151">
        <f t="shared" si="24"/>
        <v>1.9803343599317811</v>
      </c>
      <c r="BF38" s="151">
        <f t="shared" si="24"/>
        <v>2.6708496327557878</v>
      </c>
      <c r="BG38" s="151">
        <f t="shared" si="24"/>
        <v>2.2541295026165606</v>
      </c>
      <c r="BH38" s="151">
        <f t="shared" si="24"/>
        <v>2.6965906129275163</v>
      </c>
      <c r="BI38" s="151">
        <f t="shared" si="24"/>
        <v>2.5625812387876508</v>
      </c>
      <c r="BJ38" s="151">
        <f t="shared" si="24"/>
        <v>4.1140000378252237</v>
      </c>
      <c r="BK38" s="151">
        <f t="shared" si="24"/>
        <v>3.9827694095234336</v>
      </c>
      <c r="BL38" s="151">
        <f t="shared" si="24"/>
        <v>3.443391347750635</v>
      </c>
      <c r="BM38" s="151">
        <f t="shared" si="24"/>
        <v>3.3838410185560153</v>
      </c>
      <c r="BN38" s="151">
        <f t="shared" si="24"/>
        <v>2.4499522537357263</v>
      </c>
      <c r="BO38" s="151">
        <f t="shared" si="24"/>
        <v>1.9600819011557664</v>
      </c>
      <c r="BP38" s="151">
        <f t="shared" si="24"/>
        <v>1.9719652968985006</v>
      </c>
      <c r="BQ38" s="151">
        <f t="shared" ref="BQ38:EC38" si="27">LOG(BQ7)</f>
        <v>2.1656381161928975</v>
      </c>
      <c r="BR38" s="151">
        <f t="shared" si="27"/>
        <v>2.6047220231240935</v>
      </c>
      <c r="BS38" s="151">
        <f t="shared" si="27"/>
        <v>2.5226406354743793</v>
      </c>
      <c r="BT38" s="151">
        <f t="shared" si="27"/>
        <v>2.7173950954670336</v>
      </c>
      <c r="BU38" s="151">
        <f t="shared" si="27"/>
        <v>2.0419284688884267</v>
      </c>
      <c r="BV38" s="151">
        <f t="shared" si="27"/>
        <v>1.595725045281905</v>
      </c>
      <c r="BW38" s="151">
        <f t="shared" si="27"/>
        <v>2.6333224368256873</v>
      </c>
      <c r="BX38" s="151">
        <f t="shared" si="27"/>
        <v>3.5798986646235527</v>
      </c>
      <c r="BY38" s="151">
        <f t="shared" si="27"/>
        <v>3.9395587743260028</v>
      </c>
      <c r="BZ38" s="151">
        <f t="shared" si="27"/>
        <v>3.4888970585854544</v>
      </c>
      <c r="CA38" s="151">
        <f t="shared" si="27"/>
        <v>2.7486978899599128</v>
      </c>
      <c r="CB38" s="151">
        <f t="shared" si="27"/>
        <v>2.5441560972846711</v>
      </c>
      <c r="CC38" s="151">
        <f t="shared" si="27"/>
        <v>2.2264929657088586</v>
      </c>
      <c r="CD38" s="151">
        <f t="shared" si="27"/>
        <v>3.0167759213155421</v>
      </c>
      <c r="CE38" s="151">
        <f t="shared" si="27"/>
        <v>3.2197048424632486</v>
      </c>
      <c r="CF38" s="151">
        <f t="shared" si="27"/>
        <v>3.0124095978864989</v>
      </c>
      <c r="CG38" s="151">
        <f t="shared" si="27"/>
        <v>1.4671948864002244</v>
      </c>
      <c r="CH38" s="151">
        <f t="shared" si="27"/>
        <v>2.0346511735916342</v>
      </c>
      <c r="CI38" s="151">
        <v>0</v>
      </c>
      <c r="CJ38" s="151">
        <v>0</v>
      </c>
      <c r="CK38" s="151">
        <f t="shared" si="27"/>
        <v>1.494176327781453</v>
      </c>
      <c r="CL38" s="151">
        <f t="shared" si="27"/>
        <v>1.4256930886242327</v>
      </c>
      <c r="CM38" s="151">
        <f t="shared" si="27"/>
        <v>1.6578418924187441</v>
      </c>
      <c r="CN38" s="151">
        <f t="shared" si="27"/>
        <v>1.3788947761971146</v>
      </c>
      <c r="CO38" s="151">
        <f t="shared" si="27"/>
        <v>1.7698978914163657</v>
      </c>
      <c r="CP38" s="152">
        <f t="shared" ref="CP38:CP42" si="28">MEDIAN(AV38:CO38)</f>
        <v>2.3520408781761435</v>
      </c>
      <c r="CQ38" s="151">
        <v>0</v>
      </c>
      <c r="CR38" s="151">
        <v>0</v>
      </c>
      <c r="CS38" s="151">
        <f t="shared" si="27"/>
        <v>1.1138141251299889</v>
      </c>
      <c r="CT38" s="151">
        <v>0</v>
      </c>
      <c r="CU38" s="151">
        <v>0</v>
      </c>
      <c r="CV38" s="151">
        <v>0</v>
      </c>
      <c r="CW38" s="151">
        <f t="shared" si="27"/>
        <v>1.2268873707448029</v>
      </c>
      <c r="CX38" s="151">
        <f t="shared" si="27"/>
        <v>1.5660655845561686</v>
      </c>
      <c r="CY38" s="151">
        <v>0</v>
      </c>
      <c r="CZ38" s="151">
        <f t="shared" si="27"/>
        <v>1.4991171382583339</v>
      </c>
      <c r="DA38" s="151">
        <f t="shared" si="27"/>
        <v>1.8008038962625192</v>
      </c>
      <c r="DB38" s="151">
        <f t="shared" si="27"/>
        <v>1.3999781011130494</v>
      </c>
      <c r="DC38" s="151">
        <v>0</v>
      </c>
      <c r="DD38" s="151">
        <v>0</v>
      </c>
      <c r="DE38" s="151">
        <f t="shared" si="27"/>
        <v>2.2062631642005828</v>
      </c>
      <c r="DF38" s="151">
        <f t="shared" si="27"/>
        <v>2.3832212286888415</v>
      </c>
      <c r="DG38" s="151">
        <v>0</v>
      </c>
      <c r="DH38" s="151">
        <v>0</v>
      </c>
      <c r="DI38" s="151">
        <v>0</v>
      </c>
      <c r="DJ38" s="151">
        <v>0</v>
      </c>
      <c r="DK38" s="151">
        <f t="shared" si="27"/>
        <v>1.6446305598576658</v>
      </c>
      <c r="DL38" s="151">
        <v>0</v>
      </c>
      <c r="DM38" s="151">
        <f t="shared" si="27"/>
        <v>1.6652000307003261</v>
      </c>
      <c r="DN38" s="151">
        <v>0</v>
      </c>
      <c r="DO38" s="151">
        <f t="shared" si="27"/>
        <v>1.3144530936909917</v>
      </c>
      <c r="DP38" s="151">
        <f t="shared" si="27"/>
        <v>2.0830130956619888</v>
      </c>
      <c r="DQ38" s="151">
        <f t="shared" si="27"/>
        <v>1.9066915644354969</v>
      </c>
      <c r="DR38" s="151">
        <f t="shared" si="27"/>
        <v>1.6602220205896476</v>
      </c>
      <c r="DS38" s="151">
        <f t="shared" si="27"/>
        <v>1.2337136787327379</v>
      </c>
      <c r="DT38" s="151">
        <f t="shared" si="27"/>
        <v>1.3017632100585645</v>
      </c>
      <c r="DU38" s="151">
        <v>0</v>
      </c>
      <c r="DV38" s="151">
        <v>0</v>
      </c>
      <c r="DW38" s="151">
        <v>0</v>
      </c>
      <c r="DX38" s="151">
        <v>0</v>
      </c>
      <c r="DY38" s="151">
        <v>0</v>
      </c>
      <c r="DZ38" s="151">
        <v>0</v>
      </c>
      <c r="EA38" s="151">
        <v>0</v>
      </c>
      <c r="EB38" s="151">
        <v>0</v>
      </c>
      <c r="EC38" s="151">
        <f t="shared" si="27"/>
        <v>1.1176449479854624</v>
      </c>
      <c r="ED38" s="151">
        <v>0</v>
      </c>
      <c r="EE38" s="151">
        <f t="shared" ref="EE38:FG38" si="29">LOG(EE7)</f>
        <v>1.4947443727474132</v>
      </c>
      <c r="EF38" s="151">
        <v>0</v>
      </c>
      <c r="EG38" s="151">
        <v>0</v>
      </c>
      <c r="EH38" s="151">
        <v>0</v>
      </c>
      <c r="EI38" s="151">
        <v>0</v>
      </c>
      <c r="EJ38" s="151">
        <v>0</v>
      </c>
      <c r="EK38" s="151">
        <v>0</v>
      </c>
      <c r="EL38" s="151">
        <v>0</v>
      </c>
      <c r="EM38" s="151">
        <v>0</v>
      </c>
      <c r="EN38" s="151">
        <v>0</v>
      </c>
      <c r="EO38" s="151">
        <f t="shared" si="29"/>
        <v>1.5824473796605478</v>
      </c>
      <c r="EP38" s="152">
        <f t="shared" ref="EP38:EP42" si="30">MEDIAN(AV38:EO38)</f>
        <v>1.550907702512867</v>
      </c>
      <c r="EQ38" s="151">
        <v>0</v>
      </c>
      <c r="ER38" s="151">
        <f t="shared" si="29"/>
        <v>1.6300421222472345</v>
      </c>
      <c r="ES38" s="151">
        <v>0</v>
      </c>
      <c r="ET38" s="151">
        <v>0</v>
      </c>
      <c r="EU38" s="151">
        <v>0</v>
      </c>
      <c r="EV38" s="151">
        <v>0</v>
      </c>
      <c r="EW38" s="151">
        <v>0</v>
      </c>
      <c r="EX38" s="151">
        <f t="shared" si="29"/>
        <v>1.1957200172624567</v>
      </c>
      <c r="EY38" s="151">
        <f t="shared" si="29"/>
        <v>1.9958948296598671</v>
      </c>
      <c r="EZ38" s="151">
        <v>0</v>
      </c>
      <c r="FA38" s="151">
        <v>0</v>
      </c>
      <c r="FB38" s="151">
        <f t="shared" si="29"/>
        <v>1.4512580199946452</v>
      </c>
      <c r="FC38" s="151">
        <v>0</v>
      </c>
      <c r="FD38" s="151">
        <v>0</v>
      </c>
      <c r="FE38" s="151">
        <f t="shared" si="29"/>
        <v>1.5660655845561686</v>
      </c>
      <c r="FF38" s="151">
        <v>0</v>
      </c>
      <c r="FG38" s="151">
        <f t="shared" si="29"/>
        <v>1.2775302718848207</v>
      </c>
      <c r="FH38" s="151">
        <v>0</v>
      </c>
      <c r="FI38" s="151">
        <v>0</v>
      </c>
      <c r="FJ38" s="153">
        <f t="shared" ref="FJ38:FJ42" si="31">MEDIAN(EQ38:FI38)</f>
        <v>0</v>
      </c>
      <c r="FK38" s="152">
        <v>1</v>
      </c>
      <c r="FL38" s="29"/>
    </row>
    <row r="39" spans="1:175">
      <c r="A39" s="71" t="s">
        <v>235</v>
      </c>
      <c r="B39" s="92" t="s">
        <v>161</v>
      </c>
      <c r="C39" s="150">
        <f t="shared" ref="C39:BP39" si="32">LOG(C8)</f>
        <v>3.0268562254040043</v>
      </c>
      <c r="D39" s="151">
        <f t="shared" si="32"/>
        <v>2.2220244595023981</v>
      </c>
      <c r="E39" s="151">
        <f t="shared" si="32"/>
        <v>3.5591369637565053</v>
      </c>
      <c r="F39" s="151">
        <f t="shared" si="32"/>
        <v>3.1990804158111561</v>
      </c>
      <c r="G39" s="151">
        <f t="shared" si="32"/>
        <v>2.0862168708601758</v>
      </c>
      <c r="H39" s="151">
        <f t="shared" si="32"/>
        <v>2.1564769055282165</v>
      </c>
      <c r="I39" s="151">
        <f t="shared" si="32"/>
        <v>2.0573702531655345</v>
      </c>
      <c r="J39" s="151">
        <f t="shared" si="32"/>
        <v>4.1053078299703678</v>
      </c>
      <c r="K39" s="151">
        <f t="shared" si="32"/>
        <v>3.7733132507602831</v>
      </c>
      <c r="L39" s="151">
        <f t="shared" si="32"/>
        <v>2.8353814737368488</v>
      </c>
      <c r="M39" s="151">
        <f t="shared" si="32"/>
        <v>1.9207055291895374</v>
      </c>
      <c r="N39" s="151">
        <f t="shared" si="32"/>
        <v>1.7653091756335142</v>
      </c>
      <c r="O39" s="151">
        <f t="shared" si="32"/>
        <v>1.6206059579302523</v>
      </c>
      <c r="P39" s="151">
        <f t="shared" si="32"/>
        <v>1.4513079419687629</v>
      </c>
      <c r="Q39" s="151">
        <f t="shared" si="32"/>
        <v>0</v>
      </c>
      <c r="R39" s="151">
        <f t="shared" si="32"/>
        <v>1.9045505075776274</v>
      </c>
      <c r="S39" s="151">
        <f t="shared" si="32"/>
        <v>1.8055921157220294</v>
      </c>
      <c r="T39" s="151">
        <f t="shared" si="32"/>
        <v>2.065263496921109</v>
      </c>
      <c r="U39" s="152">
        <f t="shared" si="25"/>
        <v>2.0757401838906424</v>
      </c>
      <c r="V39" s="151">
        <f t="shared" si="32"/>
        <v>4.6123712173064018</v>
      </c>
      <c r="W39" s="151">
        <f t="shared" si="32"/>
        <v>4.6891773301514661</v>
      </c>
      <c r="X39" s="151">
        <f t="shared" si="32"/>
        <v>4.6635549388650537</v>
      </c>
      <c r="Y39" s="151">
        <f t="shared" si="32"/>
        <v>1.8982906895693463</v>
      </c>
      <c r="Z39" s="151">
        <f t="shared" si="32"/>
        <v>1.6598238985205391</v>
      </c>
      <c r="AA39" s="151">
        <f t="shared" si="32"/>
        <v>5.033793807821219</v>
      </c>
      <c r="AB39" s="151">
        <f t="shared" si="32"/>
        <v>4.2652572627312617</v>
      </c>
      <c r="AC39" s="151">
        <f t="shared" si="32"/>
        <v>5.2562806593224778</v>
      </c>
      <c r="AD39" s="151">
        <f t="shared" si="32"/>
        <v>2.7555958394565221</v>
      </c>
      <c r="AE39" s="151">
        <f t="shared" si="32"/>
        <v>3.5124738175720736</v>
      </c>
      <c r="AF39" s="151">
        <f t="shared" si="32"/>
        <v>3.8056244033239426</v>
      </c>
      <c r="AG39" s="151">
        <f t="shared" si="32"/>
        <v>2.2940207163562039</v>
      </c>
      <c r="AH39" s="151">
        <f t="shared" si="32"/>
        <v>3.4449954935105946</v>
      </c>
      <c r="AI39" s="151">
        <f t="shared" si="32"/>
        <v>1.9233684777607623</v>
      </c>
      <c r="AJ39" s="151">
        <f t="shared" si="32"/>
        <v>1.8603982836341479</v>
      </c>
      <c r="AK39" s="151">
        <f t="shared" si="32"/>
        <v>2.4213791233016502</v>
      </c>
      <c r="AL39" s="151">
        <f t="shared" si="32"/>
        <v>1.7887420801480434</v>
      </c>
      <c r="AM39" s="151">
        <f t="shared" si="32"/>
        <v>1.8785815859629444</v>
      </c>
      <c r="AN39" s="151">
        <f t="shared" si="32"/>
        <v>1.6331376474863148</v>
      </c>
      <c r="AO39" s="151">
        <f t="shared" si="32"/>
        <v>1.6430227462096885</v>
      </c>
      <c r="AP39" s="151">
        <f t="shared" si="32"/>
        <v>2.6306471298041214</v>
      </c>
      <c r="AQ39" s="151">
        <f t="shared" si="32"/>
        <v>2.7937212838561414</v>
      </c>
      <c r="AR39" s="151">
        <f t="shared" si="32"/>
        <v>3.1950192904379855</v>
      </c>
      <c r="AS39" s="151">
        <f t="shared" si="32"/>
        <v>4.0629275590690899</v>
      </c>
      <c r="AT39" s="151">
        <f t="shared" si="32"/>
        <v>1.9096273913972381</v>
      </c>
      <c r="AU39" s="152">
        <f t="shared" si="26"/>
        <v>2.7555958394565221</v>
      </c>
      <c r="AV39" s="151">
        <f t="shared" si="32"/>
        <v>1.8736405114545933</v>
      </c>
      <c r="AW39" s="151">
        <f t="shared" si="32"/>
        <v>0</v>
      </c>
      <c r="AX39" s="151">
        <f t="shared" si="32"/>
        <v>1.5581214054165964</v>
      </c>
      <c r="AY39" s="151">
        <f t="shared" si="32"/>
        <v>1.61338413170238</v>
      </c>
      <c r="AZ39" s="151">
        <f t="shared" si="32"/>
        <v>0</v>
      </c>
      <c r="BA39" s="151">
        <f t="shared" si="32"/>
        <v>2.2556585322066804</v>
      </c>
      <c r="BB39" s="151">
        <f t="shared" si="32"/>
        <v>3.0371766647764162</v>
      </c>
      <c r="BC39" s="151">
        <f t="shared" si="32"/>
        <v>2.8815819938674014</v>
      </c>
      <c r="BD39" s="151">
        <f t="shared" si="32"/>
        <v>1.3997268351372587</v>
      </c>
      <c r="BE39" s="151">
        <f t="shared" si="32"/>
        <v>1.624985364041645</v>
      </c>
      <c r="BF39" s="151">
        <f t="shared" si="32"/>
        <v>2.0601418849273876</v>
      </c>
      <c r="BG39" s="151">
        <f t="shared" si="32"/>
        <v>1.5498119732062996</v>
      </c>
      <c r="BH39" s="151">
        <f t="shared" si="32"/>
        <v>2.5036671150160679</v>
      </c>
      <c r="BI39" s="151">
        <f t="shared" si="32"/>
        <v>1.7738485504329704</v>
      </c>
      <c r="BJ39" s="151">
        <f t="shared" si="32"/>
        <v>3.5098933162073527</v>
      </c>
      <c r="BK39" s="151">
        <f t="shared" si="32"/>
        <v>3.4778364727453277</v>
      </c>
      <c r="BL39" s="151">
        <f t="shared" si="32"/>
        <v>2.8817907997290435</v>
      </c>
      <c r="BM39" s="151">
        <f t="shared" si="32"/>
        <v>2.7127258917097499</v>
      </c>
      <c r="BN39" s="151">
        <f t="shared" si="32"/>
        <v>1.8806355498626017</v>
      </c>
      <c r="BO39" s="151">
        <f t="shared" si="32"/>
        <v>1.9883533591307068</v>
      </c>
      <c r="BP39" s="151">
        <f t="shared" si="32"/>
        <v>1.933286609978905</v>
      </c>
      <c r="BQ39" s="151">
        <f t="shared" ref="BQ39:EC39" si="33">LOG(BQ8)</f>
        <v>1.8335712965875985</v>
      </c>
      <c r="BR39" s="151">
        <f t="shared" si="33"/>
        <v>1.9988616945152247</v>
      </c>
      <c r="BS39" s="151">
        <f t="shared" si="33"/>
        <v>2.3602357412468464</v>
      </c>
      <c r="BT39" s="151">
        <f t="shared" si="33"/>
        <v>2.1257275380957221</v>
      </c>
      <c r="BU39" s="151">
        <f t="shared" si="33"/>
        <v>1.4573240668618275</v>
      </c>
      <c r="BV39" s="151">
        <f t="shared" si="33"/>
        <v>1.8255315914969543</v>
      </c>
      <c r="BW39" s="151">
        <f t="shared" si="33"/>
        <v>1.7142478383544959</v>
      </c>
      <c r="BX39" s="151">
        <f t="shared" si="33"/>
        <v>2.891612081568947</v>
      </c>
      <c r="BY39" s="151">
        <f t="shared" si="33"/>
        <v>3.3986673149964992</v>
      </c>
      <c r="BZ39" s="151">
        <f t="shared" si="33"/>
        <v>2.6922359275658172</v>
      </c>
      <c r="CA39" s="151">
        <f t="shared" si="33"/>
        <v>2.5585719623888945</v>
      </c>
      <c r="CB39" s="151">
        <f t="shared" si="33"/>
        <v>2.1233761987099959</v>
      </c>
      <c r="CC39" s="151">
        <f t="shared" si="33"/>
        <v>2.0264197008807243</v>
      </c>
      <c r="CD39" s="151">
        <f t="shared" si="33"/>
        <v>2.131246912719055</v>
      </c>
      <c r="CE39" s="151">
        <f t="shared" si="33"/>
        <v>2.5727179372015621</v>
      </c>
      <c r="CF39" s="151">
        <f t="shared" si="33"/>
        <v>2.5849998384733763</v>
      </c>
      <c r="CG39" s="151">
        <f t="shared" si="33"/>
        <v>1.7347982920710581</v>
      </c>
      <c r="CH39" s="151">
        <f t="shared" si="33"/>
        <v>2.4641073417722428</v>
      </c>
      <c r="CI39" s="151">
        <f t="shared" si="33"/>
        <v>1.5585202491803423</v>
      </c>
      <c r="CJ39" s="151">
        <v>0</v>
      </c>
      <c r="CK39" s="151">
        <f t="shared" si="33"/>
        <v>1.6756785614336553</v>
      </c>
      <c r="CL39" s="151">
        <v>0</v>
      </c>
      <c r="CM39" s="151">
        <f t="shared" si="33"/>
        <v>1.7039274303265344</v>
      </c>
      <c r="CN39" s="151">
        <v>0</v>
      </c>
      <c r="CO39" s="151">
        <f t="shared" si="33"/>
        <v>1.4088999581690667</v>
      </c>
      <c r="CP39" s="152">
        <f t="shared" si="28"/>
        <v>1.960819984554806</v>
      </c>
      <c r="CQ39" s="151">
        <v>0</v>
      </c>
      <c r="CR39" s="151">
        <v>0</v>
      </c>
      <c r="CS39" s="151">
        <v>0</v>
      </c>
      <c r="CT39" s="151">
        <f t="shared" si="33"/>
        <v>1.3691511781651344</v>
      </c>
      <c r="CU39" s="151">
        <v>0</v>
      </c>
      <c r="CV39" s="151">
        <v>0</v>
      </c>
      <c r="CW39" s="151">
        <f t="shared" si="33"/>
        <v>1.7906355029705696</v>
      </c>
      <c r="CX39" s="151">
        <f t="shared" si="33"/>
        <v>2.2922705413887203</v>
      </c>
      <c r="CY39" s="151">
        <v>0</v>
      </c>
      <c r="CZ39" s="151">
        <f t="shared" si="33"/>
        <v>1.489479305689688</v>
      </c>
      <c r="DA39" s="151">
        <f t="shared" si="33"/>
        <v>1.9927666099614194</v>
      </c>
      <c r="DB39" s="151">
        <f t="shared" si="33"/>
        <v>2.1324630759553349</v>
      </c>
      <c r="DC39" s="151">
        <v>0</v>
      </c>
      <c r="DD39" s="151">
        <f t="shared" si="33"/>
        <v>1.7258970745964266</v>
      </c>
      <c r="DE39" s="151">
        <f t="shared" si="33"/>
        <v>2.8904944178836165</v>
      </c>
      <c r="DF39" s="151">
        <f t="shared" si="33"/>
        <v>2.6343838154963404</v>
      </c>
      <c r="DG39" s="151">
        <f t="shared" si="33"/>
        <v>1.7658313647909636</v>
      </c>
      <c r="DH39" s="151">
        <v>0</v>
      </c>
      <c r="DI39" s="151">
        <v>0</v>
      </c>
      <c r="DJ39" s="151">
        <f t="shared" si="33"/>
        <v>1.232405713571205</v>
      </c>
      <c r="DK39" s="151">
        <f t="shared" si="33"/>
        <v>1.5266515983890794</v>
      </c>
      <c r="DL39" s="151">
        <f t="shared" si="33"/>
        <v>1.6084101334566419</v>
      </c>
      <c r="DM39" s="151">
        <f t="shared" si="33"/>
        <v>1.7979881261178827</v>
      </c>
      <c r="DN39" s="151">
        <v>0</v>
      </c>
      <c r="DO39" s="151">
        <f t="shared" si="33"/>
        <v>2.4345308443142168</v>
      </c>
      <c r="DP39" s="151">
        <f t="shared" si="33"/>
        <v>2.4989265531126117</v>
      </c>
      <c r="DQ39" s="151">
        <f t="shared" si="33"/>
        <v>1.9571247481631804</v>
      </c>
      <c r="DR39" s="151">
        <f t="shared" si="33"/>
        <v>2.11078061423424</v>
      </c>
      <c r="DS39" s="151">
        <v>0</v>
      </c>
      <c r="DT39" s="151">
        <v>0</v>
      </c>
      <c r="DU39" s="151">
        <f t="shared" si="33"/>
        <v>1.4601125757510534</v>
      </c>
      <c r="DV39" s="151">
        <v>0</v>
      </c>
      <c r="DW39" s="151">
        <v>0</v>
      </c>
      <c r="DX39" s="151">
        <f t="shared" si="33"/>
        <v>1.3021729549029681</v>
      </c>
      <c r="DY39" s="151">
        <v>0</v>
      </c>
      <c r="DZ39" s="151">
        <v>0</v>
      </c>
      <c r="EA39" s="151">
        <v>0</v>
      </c>
      <c r="EB39" s="151">
        <v>0</v>
      </c>
      <c r="EC39" s="151">
        <f t="shared" si="33"/>
        <v>1.3222681817285535</v>
      </c>
      <c r="ED39" s="151">
        <f t="shared" ref="ED39:FF39" si="34">LOG(ED8)</f>
        <v>1.6903862598873158</v>
      </c>
      <c r="EE39" s="151">
        <f t="shared" si="34"/>
        <v>1.716847106332871</v>
      </c>
      <c r="EF39" s="151">
        <f t="shared" si="34"/>
        <v>1.6732497489804501</v>
      </c>
      <c r="EG39" s="151">
        <f t="shared" si="34"/>
        <v>1.2632441371121923</v>
      </c>
      <c r="EH39" s="151">
        <f t="shared" si="34"/>
        <v>1.4308763898014971</v>
      </c>
      <c r="EI39" s="151">
        <v>0</v>
      </c>
      <c r="EJ39" s="151">
        <v>0</v>
      </c>
      <c r="EK39" s="151">
        <v>0</v>
      </c>
      <c r="EL39" s="151">
        <f t="shared" si="34"/>
        <v>1.54826051828139</v>
      </c>
      <c r="EM39" s="151">
        <v>0</v>
      </c>
      <c r="EN39" s="151">
        <v>0</v>
      </c>
      <c r="EO39" s="151">
        <f t="shared" si="34"/>
        <v>1.3926945804073072</v>
      </c>
      <c r="EP39" s="152">
        <f t="shared" si="30"/>
        <v>1.6744641552070527</v>
      </c>
      <c r="EQ39" s="151">
        <f t="shared" si="34"/>
        <v>2.0987868283516922</v>
      </c>
      <c r="ER39" s="151">
        <f t="shared" si="34"/>
        <v>2.2792246208593294</v>
      </c>
      <c r="ES39" s="151">
        <v>0</v>
      </c>
      <c r="ET39" s="151">
        <v>0</v>
      </c>
      <c r="EU39" s="151">
        <v>0</v>
      </c>
      <c r="EV39" s="151">
        <f t="shared" si="34"/>
        <v>1.2979725442520329</v>
      </c>
      <c r="EW39" s="151">
        <v>0</v>
      </c>
      <c r="EX39" s="151">
        <v>0</v>
      </c>
      <c r="EY39" s="151">
        <f t="shared" si="34"/>
        <v>1.6609687734175886</v>
      </c>
      <c r="EZ39" s="151">
        <v>0</v>
      </c>
      <c r="FA39" s="151">
        <v>0</v>
      </c>
      <c r="FB39" s="151">
        <f t="shared" si="34"/>
        <v>1.2187899847686121</v>
      </c>
      <c r="FC39" s="151">
        <v>0</v>
      </c>
      <c r="FD39" s="151">
        <f t="shared" si="34"/>
        <v>1.4975379576937806</v>
      </c>
      <c r="FE39" s="151">
        <f t="shared" si="34"/>
        <v>2.2922705413887203</v>
      </c>
      <c r="FF39" s="151">
        <f t="shared" si="34"/>
        <v>1.2921458849501113</v>
      </c>
      <c r="FG39" s="151">
        <f>LOG(FG8)</f>
        <v>1.3780378432580112</v>
      </c>
      <c r="FH39" s="151">
        <v>0</v>
      </c>
      <c r="FI39" s="151">
        <v>0</v>
      </c>
      <c r="FJ39" s="153">
        <f t="shared" si="31"/>
        <v>0</v>
      </c>
      <c r="FK39" s="152">
        <v>1</v>
      </c>
      <c r="FL39" s="29"/>
    </row>
    <row r="40" spans="1:175">
      <c r="A40" s="71" t="s">
        <v>236</v>
      </c>
      <c r="B40" s="92" t="s">
        <v>169</v>
      </c>
      <c r="C40" s="150">
        <f t="shared" ref="C40:BP40" si="35">LOG(C9)</f>
        <v>3.3611862526739147</v>
      </c>
      <c r="D40" s="151">
        <f t="shared" si="35"/>
        <v>1.9793901540834695</v>
      </c>
      <c r="E40" s="151">
        <f t="shared" si="35"/>
        <v>3.7879317952497962</v>
      </c>
      <c r="F40" s="151">
        <f t="shared" si="35"/>
        <v>3.4824368299894557</v>
      </c>
      <c r="G40" s="151">
        <f t="shared" si="35"/>
        <v>2.6259742737181493</v>
      </c>
      <c r="H40" s="151">
        <f t="shared" si="35"/>
        <v>2.1283812527926576</v>
      </c>
      <c r="I40" s="151">
        <f t="shared" si="35"/>
        <v>2.5944083695748046</v>
      </c>
      <c r="J40" s="151">
        <f t="shared" si="35"/>
        <v>4.1616686006678663</v>
      </c>
      <c r="K40" s="151">
        <f t="shared" si="35"/>
        <v>3.8708207621981923</v>
      </c>
      <c r="L40" s="151">
        <f t="shared" si="35"/>
        <v>2.1844772828474794</v>
      </c>
      <c r="M40" s="151">
        <f t="shared" si="35"/>
        <v>1.646614139476914</v>
      </c>
      <c r="N40" s="151">
        <f t="shared" si="35"/>
        <v>1.6726979329446141</v>
      </c>
      <c r="O40" s="151">
        <f t="shared" si="35"/>
        <v>1.5978656970626937</v>
      </c>
      <c r="P40" s="151">
        <f t="shared" si="35"/>
        <v>1.4438291285078426</v>
      </c>
      <c r="Q40" s="151">
        <f t="shared" si="35"/>
        <v>0</v>
      </c>
      <c r="R40" s="151">
        <f t="shared" si="35"/>
        <v>1.5673815687168262</v>
      </c>
      <c r="S40" s="151">
        <f t="shared" si="35"/>
        <v>1.5809851769004626</v>
      </c>
      <c r="T40" s="151">
        <f t="shared" si="35"/>
        <v>2.7450553782973102</v>
      </c>
      <c r="U40" s="152">
        <f t="shared" si="25"/>
        <v>2.1564292678200685</v>
      </c>
      <c r="V40" s="151">
        <f t="shared" si="35"/>
        <v>4.8142877972783591</v>
      </c>
      <c r="W40" s="151">
        <f t="shared" si="35"/>
        <v>4.8759014417458113</v>
      </c>
      <c r="X40" s="151">
        <f t="shared" si="35"/>
        <v>4.6616571132627929</v>
      </c>
      <c r="Y40" s="151">
        <f t="shared" si="35"/>
        <v>1.9479915652962094</v>
      </c>
      <c r="Z40" s="151">
        <f t="shared" si="35"/>
        <v>1.9876527524760446</v>
      </c>
      <c r="AA40" s="151">
        <f t="shared" si="35"/>
        <v>5.276319215038149</v>
      </c>
      <c r="AB40" s="151">
        <f t="shared" si="35"/>
        <v>4.5615479028700578</v>
      </c>
      <c r="AC40" s="151">
        <f t="shared" si="35"/>
        <v>5.5180719507808398</v>
      </c>
      <c r="AD40" s="151">
        <f t="shared" si="35"/>
        <v>3.0335645350057301</v>
      </c>
      <c r="AE40" s="151">
        <f t="shared" si="35"/>
        <v>4.477843656331431</v>
      </c>
      <c r="AF40" s="151">
        <f t="shared" si="35"/>
        <v>4.2977324085308251</v>
      </c>
      <c r="AG40" s="151">
        <f t="shared" si="35"/>
        <v>3.3133596777599332</v>
      </c>
      <c r="AH40" s="151">
        <f t="shared" si="35"/>
        <v>3.5042257916732495</v>
      </c>
      <c r="AI40" s="151">
        <f t="shared" si="35"/>
        <v>1.960205504814857</v>
      </c>
      <c r="AJ40" s="151">
        <f t="shared" si="35"/>
        <v>1.9304146993864175</v>
      </c>
      <c r="AK40" s="151">
        <f t="shared" si="35"/>
        <v>2.6142699102216769</v>
      </c>
      <c r="AL40" s="151">
        <f t="shared" si="35"/>
        <v>2.3646696415209791</v>
      </c>
      <c r="AM40" s="151">
        <f t="shared" si="35"/>
        <v>1.6987856857430195</v>
      </c>
      <c r="AN40" s="151">
        <f t="shared" si="35"/>
        <v>1.7232819477903092</v>
      </c>
      <c r="AO40" s="151">
        <f t="shared" si="35"/>
        <v>1.4469048177711095</v>
      </c>
      <c r="AP40" s="151">
        <f t="shared" si="35"/>
        <v>2.7888573298009831</v>
      </c>
      <c r="AQ40" s="151">
        <f t="shared" si="35"/>
        <v>3.0210219084124836</v>
      </c>
      <c r="AR40" s="151">
        <f t="shared" si="35"/>
        <v>3.3091272313495432</v>
      </c>
      <c r="AS40" s="151">
        <f t="shared" si="35"/>
        <v>4.1659439735942998</v>
      </c>
      <c r="AT40" s="151">
        <f t="shared" si="35"/>
        <v>1.5489053281462151</v>
      </c>
      <c r="AU40" s="152">
        <f t="shared" si="26"/>
        <v>3.0335645350057301</v>
      </c>
      <c r="AV40" s="151">
        <f t="shared" si="35"/>
        <v>2.1463746387843425</v>
      </c>
      <c r="AW40" s="151">
        <f t="shared" si="35"/>
        <v>1.5671941896017043</v>
      </c>
      <c r="AX40" s="151">
        <f t="shared" si="35"/>
        <v>2.0721089399331007</v>
      </c>
      <c r="AY40" s="151">
        <f t="shared" si="35"/>
        <v>1.8476991090035353</v>
      </c>
      <c r="AZ40" s="151">
        <f t="shared" si="35"/>
        <v>1.4759749095601107</v>
      </c>
      <c r="BA40" s="151">
        <f t="shared" si="35"/>
        <v>2.2172774576899599</v>
      </c>
      <c r="BB40" s="151">
        <f t="shared" si="35"/>
        <v>3.0902455306019321</v>
      </c>
      <c r="BC40" s="151">
        <f t="shared" si="35"/>
        <v>3.0162243079030651</v>
      </c>
      <c r="BD40" s="151">
        <f t="shared" si="35"/>
        <v>1.8874663758466497</v>
      </c>
      <c r="BE40" s="151">
        <f t="shared" si="35"/>
        <v>0</v>
      </c>
      <c r="BF40" s="151">
        <f t="shared" si="35"/>
        <v>2.1986384081200461</v>
      </c>
      <c r="BG40" s="151">
        <f t="shared" si="35"/>
        <v>2.2630525028636681</v>
      </c>
      <c r="BH40" s="151">
        <f t="shared" si="35"/>
        <v>2.506076907168612</v>
      </c>
      <c r="BI40" s="151">
        <f t="shared" si="35"/>
        <v>2.4978522711120488</v>
      </c>
      <c r="BJ40" s="151">
        <f t="shared" si="35"/>
        <v>3.7796454043909198</v>
      </c>
      <c r="BK40" s="151">
        <f t="shared" si="35"/>
        <v>3.7492235670935674</v>
      </c>
      <c r="BL40" s="151">
        <f t="shared" si="35"/>
        <v>2.9730684365638926</v>
      </c>
      <c r="BM40" s="151">
        <f t="shared" si="35"/>
        <v>3.0716009365267052</v>
      </c>
      <c r="BN40" s="151">
        <f t="shared" si="35"/>
        <v>2.2903337004415838</v>
      </c>
      <c r="BO40" s="151">
        <f t="shared" si="35"/>
        <v>1.6129258224670435</v>
      </c>
      <c r="BP40" s="151">
        <f t="shared" si="35"/>
        <v>1.9811792022075077</v>
      </c>
      <c r="BQ40" s="151">
        <f t="shared" ref="BQ40:EC40" si="36">LOG(BQ9)</f>
        <v>1.4888488145883148</v>
      </c>
      <c r="BR40" s="151">
        <f t="shared" si="36"/>
        <v>2.3852100267372967</v>
      </c>
      <c r="BS40" s="151">
        <f t="shared" si="36"/>
        <v>2.5408286534039055</v>
      </c>
      <c r="BT40" s="151">
        <f t="shared" si="36"/>
        <v>2.5126972716346008</v>
      </c>
      <c r="BU40" s="151">
        <f t="shared" si="36"/>
        <v>1.6021822662126872</v>
      </c>
      <c r="BV40" s="151">
        <f t="shared" si="36"/>
        <v>2.0618764844696611</v>
      </c>
      <c r="BW40" s="151">
        <f t="shared" si="36"/>
        <v>2.555311734253241</v>
      </c>
      <c r="BX40" s="151">
        <f t="shared" si="36"/>
        <v>3.2529947716415974</v>
      </c>
      <c r="BY40" s="151">
        <f t="shared" si="36"/>
        <v>3.6851476713078535</v>
      </c>
      <c r="BZ40" s="151">
        <f t="shared" si="36"/>
        <v>3.1343681304354392</v>
      </c>
      <c r="CA40" s="151">
        <f t="shared" si="36"/>
        <v>2.4885076334746858</v>
      </c>
      <c r="CB40" s="151">
        <f t="shared" si="36"/>
        <v>2.1705987699610265</v>
      </c>
      <c r="CC40" s="151">
        <f t="shared" si="36"/>
        <v>2.1236380853498535</v>
      </c>
      <c r="CD40" s="151">
        <f t="shared" si="36"/>
        <v>2.56797648729997</v>
      </c>
      <c r="CE40" s="151">
        <f t="shared" si="36"/>
        <v>2.8425414522848493</v>
      </c>
      <c r="CF40" s="151">
        <f t="shared" si="36"/>
        <v>2.5714346641708867</v>
      </c>
      <c r="CG40" s="151">
        <f t="shared" si="36"/>
        <v>1.6622499870541076</v>
      </c>
      <c r="CH40" s="151">
        <f t="shared" si="36"/>
        <v>2.3002067928609464</v>
      </c>
      <c r="CI40" s="151">
        <f t="shared" si="36"/>
        <v>1.5700761448955967</v>
      </c>
      <c r="CJ40" s="151">
        <v>0</v>
      </c>
      <c r="CK40" s="151">
        <f t="shared" si="36"/>
        <v>1.5823981294021672</v>
      </c>
      <c r="CL40" s="151">
        <v>0</v>
      </c>
      <c r="CM40" s="151">
        <f t="shared" si="36"/>
        <v>1.6534074545112967</v>
      </c>
      <c r="CN40" s="151">
        <f t="shared" si="36"/>
        <v>1.7974949540340144</v>
      </c>
      <c r="CO40" s="151">
        <f t="shared" si="36"/>
        <v>1.406217202967696</v>
      </c>
      <c r="CP40" s="152">
        <f t="shared" si="28"/>
        <v>2.207957932905003</v>
      </c>
      <c r="CQ40" s="151">
        <v>0</v>
      </c>
      <c r="CR40" s="151">
        <v>0</v>
      </c>
      <c r="CS40" s="151">
        <v>0</v>
      </c>
      <c r="CT40" s="151">
        <v>0</v>
      </c>
      <c r="CU40" s="151">
        <v>0</v>
      </c>
      <c r="CV40" s="151">
        <v>0</v>
      </c>
      <c r="CW40" s="151">
        <f t="shared" si="36"/>
        <v>1.4527514189015425</v>
      </c>
      <c r="CX40" s="151">
        <f t="shared" si="36"/>
        <v>1.5725629290994765</v>
      </c>
      <c r="CY40" s="151">
        <f t="shared" si="36"/>
        <v>1.2058941158750218</v>
      </c>
      <c r="CZ40" s="151">
        <f t="shared" si="36"/>
        <v>1.6646745988612126</v>
      </c>
      <c r="DA40" s="151">
        <v>0</v>
      </c>
      <c r="DB40" s="151">
        <f t="shared" si="36"/>
        <v>1.4313480168094119</v>
      </c>
      <c r="DC40" s="151">
        <v>0</v>
      </c>
      <c r="DD40" s="151">
        <f t="shared" si="36"/>
        <v>1.9378045802414863</v>
      </c>
      <c r="DE40" s="151">
        <f t="shared" si="36"/>
        <v>1.969307663843531</v>
      </c>
      <c r="DF40" s="151">
        <f t="shared" si="36"/>
        <v>2.0977336632638726</v>
      </c>
      <c r="DG40" s="151">
        <v>0</v>
      </c>
      <c r="DH40" s="151">
        <v>0</v>
      </c>
      <c r="DI40" s="151">
        <v>0</v>
      </c>
      <c r="DJ40" s="151">
        <v>0</v>
      </c>
      <c r="DK40" s="151">
        <v>0</v>
      </c>
      <c r="DL40" s="151">
        <f t="shared" si="36"/>
        <v>1.4375747899732125</v>
      </c>
      <c r="DM40" s="151">
        <f t="shared" si="36"/>
        <v>1.4180812452068114</v>
      </c>
      <c r="DN40" s="151">
        <f t="shared" si="36"/>
        <v>1.7206525326621407</v>
      </c>
      <c r="DO40" s="151">
        <f t="shared" si="36"/>
        <v>1.8534528568914408</v>
      </c>
      <c r="DP40" s="151">
        <f t="shared" si="36"/>
        <v>2.0508025839290727</v>
      </c>
      <c r="DQ40" s="151">
        <v>0</v>
      </c>
      <c r="DR40" s="151">
        <f t="shared" si="36"/>
        <v>1.458091311999183</v>
      </c>
      <c r="DS40" s="151">
        <v>0</v>
      </c>
      <c r="DT40" s="151">
        <v>0</v>
      </c>
      <c r="DU40" s="151">
        <v>0</v>
      </c>
      <c r="DV40" s="151">
        <v>0</v>
      </c>
      <c r="DW40" s="151">
        <v>0</v>
      </c>
      <c r="DX40" s="151">
        <v>0</v>
      </c>
      <c r="DY40" s="151">
        <v>0</v>
      </c>
      <c r="DZ40" s="151">
        <v>0</v>
      </c>
      <c r="EA40" s="151">
        <v>0</v>
      </c>
      <c r="EB40" s="151">
        <v>0</v>
      </c>
      <c r="EC40" s="151">
        <f t="shared" si="36"/>
        <v>1.4218016984542803</v>
      </c>
      <c r="ED40" s="151">
        <v>0</v>
      </c>
      <c r="EE40" s="151">
        <f t="shared" ref="EE40:FE40" si="37">LOG(EE9)</f>
        <v>1.2449438884257225</v>
      </c>
      <c r="EF40" s="151">
        <f t="shared" si="37"/>
        <v>1.7327529519488338</v>
      </c>
      <c r="EG40" s="151">
        <v>0</v>
      </c>
      <c r="EH40" s="151">
        <f t="shared" si="37"/>
        <v>1.3262612147900874</v>
      </c>
      <c r="EI40" s="151">
        <v>0</v>
      </c>
      <c r="EJ40" s="151">
        <f t="shared" si="37"/>
        <v>1.3352056222871662</v>
      </c>
      <c r="EK40" s="151">
        <v>0</v>
      </c>
      <c r="EL40" s="151">
        <f t="shared" si="37"/>
        <v>1.2277730875875266</v>
      </c>
      <c r="EM40" s="151">
        <v>0</v>
      </c>
      <c r="EN40" s="151">
        <v>0</v>
      </c>
      <c r="EO40" s="151">
        <f t="shared" si="37"/>
        <v>1.4321389936690956</v>
      </c>
      <c r="EP40" s="152">
        <f t="shared" si="30"/>
        <v>1.5686351672486505</v>
      </c>
      <c r="EQ40" s="151">
        <f t="shared" si="37"/>
        <v>1.1370488944737827</v>
      </c>
      <c r="ER40" s="151">
        <f t="shared" si="37"/>
        <v>1.710273641970274</v>
      </c>
      <c r="ES40" s="151">
        <v>0</v>
      </c>
      <c r="ET40" s="151">
        <v>0</v>
      </c>
      <c r="EU40" s="151">
        <v>0</v>
      </c>
      <c r="EV40" s="151">
        <v>0</v>
      </c>
      <c r="EW40" s="151">
        <v>0</v>
      </c>
      <c r="EX40" s="151">
        <f t="shared" si="37"/>
        <v>1.1947982386606646</v>
      </c>
      <c r="EY40" s="151">
        <v>0</v>
      </c>
      <c r="EZ40" s="151">
        <f t="shared" si="37"/>
        <v>1.4021287367905346</v>
      </c>
      <c r="FA40" s="151">
        <v>0</v>
      </c>
      <c r="FB40" s="151">
        <v>0</v>
      </c>
      <c r="FC40" s="151">
        <v>0</v>
      </c>
      <c r="FD40" s="151">
        <v>0</v>
      </c>
      <c r="FE40" s="151">
        <f t="shared" si="37"/>
        <v>1.5725629290994765</v>
      </c>
      <c r="FF40" s="151">
        <v>0</v>
      </c>
      <c r="FG40" s="151">
        <v>0</v>
      </c>
      <c r="FH40" s="151">
        <v>0</v>
      </c>
      <c r="FI40" s="151">
        <v>0</v>
      </c>
      <c r="FJ40" s="153">
        <f t="shared" si="31"/>
        <v>0</v>
      </c>
      <c r="FK40" s="152">
        <v>1</v>
      </c>
      <c r="FL40" s="29"/>
    </row>
    <row r="41" spans="1:175">
      <c r="A41" s="71" t="s">
        <v>237</v>
      </c>
      <c r="B41" s="92" t="s">
        <v>169</v>
      </c>
      <c r="C41" s="150">
        <f t="shared" ref="C41:BP41" si="38">LOG(C10)</f>
        <v>3.3735668942409789</v>
      </c>
      <c r="D41" s="151">
        <f t="shared" si="38"/>
        <v>2.0445176552560671</v>
      </c>
      <c r="E41" s="151">
        <f t="shared" si="38"/>
        <v>3.8192089573558596</v>
      </c>
      <c r="F41" s="151">
        <f t="shared" si="38"/>
        <v>3.4243867100896836</v>
      </c>
      <c r="G41" s="151">
        <f t="shared" si="38"/>
        <v>2.4399792860348808</v>
      </c>
      <c r="H41" s="151">
        <f t="shared" si="38"/>
        <v>2.7265655954179295</v>
      </c>
      <c r="I41" s="151">
        <f t="shared" si="38"/>
        <v>2.216375763727632</v>
      </c>
      <c r="J41" s="151">
        <f t="shared" si="38"/>
        <v>4.2968441761270446</v>
      </c>
      <c r="K41" s="151">
        <f t="shared" si="38"/>
        <v>4.0267901225743312</v>
      </c>
      <c r="L41" s="151">
        <f t="shared" si="38"/>
        <v>2.8998717881238556</v>
      </c>
      <c r="M41" s="151">
        <f t="shared" si="38"/>
        <v>2.0617034959381679</v>
      </c>
      <c r="N41" s="151">
        <f t="shared" si="38"/>
        <v>1.9433226455410852</v>
      </c>
      <c r="O41" s="151">
        <f t="shared" si="38"/>
        <v>1.5774851233574272</v>
      </c>
      <c r="P41" s="151">
        <f t="shared" si="38"/>
        <v>1.8787101428126345</v>
      </c>
      <c r="Q41" s="151">
        <f t="shared" si="38"/>
        <v>0</v>
      </c>
      <c r="R41" s="151">
        <f t="shared" si="38"/>
        <v>1.5473517698848835</v>
      </c>
      <c r="S41" s="151">
        <f t="shared" si="38"/>
        <v>1.5149497997470023</v>
      </c>
      <c r="T41" s="151">
        <f t="shared" si="38"/>
        <v>2.7966043081762937</v>
      </c>
      <c r="U41" s="152">
        <f t="shared" si="25"/>
        <v>2.3281775248812564</v>
      </c>
      <c r="V41" s="151">
        <f t="shared" si="38"/>
        <v>4.8175869681276211</v>
      </c>
      <c r="W41" s="151">
        <f t="shared" si="38"/>
        <v>4.8903815892524687</v>
      </c>
      <c r="X41" s="151">
        <f t="shared" si="38"/>
        <v>4.6584136583939415</v>
      </c>
      <c r="Y41" s="151">
        <f t="shared" si="38"/>
        <v>1.5700860683911708</v>
      </c>
      <c r="Z41" s="151">
        <f t="shared" si="38"/>
        <v>1.6172038815486323</v>
      </c>
      <c r="AA41" s="151">
        <f t="shared" si="38"/>
        <v>5.3115190892616386</v>
      </c>
      <c r="AB41" s="151">
        <f t="shared" si="38"/>
        <v>4.5338470085960347</v>
      </c>
      <c r="AC41" s="151">
        <f t="shared" si="38"/>
        <v>5.4975758113145972</v>
      </c>
      <c r="AD41" s="151">
        <f t="shared" si="38"/>
        <v>2.4013357073253876</v>
      </c>
      <c r="AE41" s="151">
        <f t="shared" si="38"/>
        <v>3.9780182910484085</v>
      </c>
      <c r="AF41" s="151">
        <f t="shared" si="38"/>
        <v>4.1606066145356939</v>
      </c>
      <c r="AG41" s="151">
        <f t="shared" si="38"/>
        <v>3.0198397446110361</v>
      </c>
      <c r="AH41" s="151">
        <f t="shared" si="38"/>
        <v>3.3179039899585376</v>
      </c>
      <c r="AI41" s="151">
        <f t="shared" si="38"/>
        <v>1.6741082431546321</v>
      </c>
      <c r="AJ41" s="151">
        <f t="shared" si="38"/>
        <v>1.5627596674663449</v>
      </c>
      <c r="AK41" s="151">
        <f t="shared" si="38"/>
        <v>2.4719359966643628</v>
      </c>
      <c r="AL41" s="151">
        <f t="shared" si="38"/>
        <v>1.8246376749932949</v>
      </c>
      <c r="AM41" s="151">
        <f t="shared" si="38"/>
        <v>1.5491403226557012</v>
      </c>
      <c r="AN41" s="151">
        <f t="shared" si="38"/>
        <v>1.8074237852442232</v>
      </c>
      <c r="AO41" s="151">
        <f t="shared" si="38"/>
        <v>2.324304937142275</v>
      </c>
      <c r="AP41" s="151">
        <f t="shared" si="38"/>
        <v>2.967133673677528</v>
      </c>
      <c r="AQ41" s="151">
        <f t="shared" si="38"/>
        <v>2.8544606355755842</v>
      </c>
      <c r="AR41" s="151">
        <f t="shared" si="38"/>
        <v>3.2605186647496658</v>
      </c>
      <c r="AS41" s="151">
        <f t="shared" si="38"/>
        <v>4.0932404771424409</v>
      </c>
      <c r="AT41" s="151">
        <f t="shared" si="38"/>
        <v>1.6135453191879401</v>
      </c>
      <c r="AU41" s="152">
        <f t="shared" si="26"/>
        <v>2.967133673677528</v>
      </c>
      <c r="AV41" s="151">
        <f t="shared" si="38"/>
        <v>1.8980337860233645</v>
      </c>
      <c r="AW41" s="151">
        <f t="shared" si="38"/>
        <v>1.9097711942290563</v>
      </c>
      <c r="AX41" s="151">
        <f t="shared" si="38"/>
        <v>1.60584196531973</v>
      </c>
      <c r="AY41" s="151">
        <f t="shared" si="38"/>
        <v>2.0231593363281615</v>
      </c>
      <c r="AZ41" s="151">
        <f t="shared" si="38"/>
        <v>1.8171013940873426</v>
      </c>
      <c r="BA41" s="151">
        <f t="shared" si="38"/>
        <v>1.8917067111524668</v>
      </c>
      <c r="BB41" s="151">
        <f t="shared" si="38"/>
        <v>3.2162511430849068</v>
      </c>
      <c r="BC41" s="151">
        <f t="shared" si="38"/>
        <v>3.0261791278451371</v>
      </c>
      <c r="BD41" s="151">
        <f t="shared" si="38"/>
        <v>1.5712067679164829</v>
      </c>
      <c r="BE41" s="151">
        <f t="shared" si="38"/>
        <v>1.48257745911563</v>
      </c>
      <c r="BF41" s="151">
        <f t="shared" si="38"/>
        <v>1.6890851611078854</v>
      </c>
      <c r="BG41" s="151">
        <f t="shared" si="38"/>
        <v>1.8983006988753099</v>
      </c>
      <c r="BH41" s="151">
        <f t="shared" si="38"/>
        <v>2.2749627990707784</v>
      </c>
      <c r="BI41" s="151">
        <f t="shared" si="38"/>
        <v>1.5597798675598666</v>
      </c>
      <c r="BJ41" s="151">
        <f t="shared" si="38"/>
        <v>3.8396446567483871</v>
      </c>
      <c r="BK41" s="151">
        <f t="shared" si="38"/>
        <v>3.6032257613456156</v>
      </c>
      <c r="BL41" s="151">
        <f t="shared" si="38"/>
        <v>3.0331490727894614</v>
      </c>
      <c r="BM41" s="151">
        <f t="shared" si="38"/>
        <v>2.6737363633229356</v>
      </c>
      <c r="BN41" s="151">
        <f t="shared" si="38"/>
        <v>1.8623050600029443</v>
      </c>
      <c r="BO41" s="151">
        <f t="shared" si="38"/>
        <v>0</v>
      </c>
      <c r="BP41" s="151">
        <f t="shared" si="38"/>
        <v>2.1083234425235315</v>
      </c>
      <c r="BQ41" s="151">
        <f t="shared" ref="BQ41:DY41" si="39">LOG(BQ10)</f>
        <v>2.0873525577968088</v>
      </c>
      <c r="BR41" s="151">
        <f t="shared" si="39"/>
        <v>2.4830206969366526</v>
      </c>
      <c r="BS41" s="151">
        <f t="shared" si="39"/>
        <v>1.857448810014753</v>
      </c>
      <c r="BT41" s="151">
        <f t="shared" si="39"/>
        <v>2.1577738413978449</v>
      </c>
      <c r="BU41" s="151">
        <f t="shared" si="39"/>
        <v>1.5453606451360293</v>
      </c>
      <c r="BV41" s="151">
        <f t="shared" si="39"/>
        <v>1.5084616195457146</v>
      </c>
      <c r="BW41" s="151">
        <f t="shared" si="39"/>
        <v>2.489933495277266</v>
      </c>
      <c r="BX41" s="151">
        <f t="shared" si="39"/>
        <v>3.2322334192227893</v>
      </c>
      <c r="BY41" s="151">
        <f t="shared" si="39"/>
        <v>3.6057081058240934</v>
      </c>
      <c r="BZ41" s="151">
        <f t="shared" si="39"/>
        <v>3.0056849725641666</v>
      </c>
      <c r="CA41" s="151">
        <f t="shared" si="39"/>
        <v>2.4194714311167367</v>
      </c>
      <c r="CB41" s="151">
        <f t="shared" si="39"/>
        <v>2.0366671131594951</v>
      </c>
      <c r="CC41" s="151">
        <f t="shared" si="39"/>
        <v>1.4156051475861986</v>
      </c>
      <c r="CD41" s="151">
        <f t="shared" si="39"/>
        <v>2.5099441299362164</v>
      </c>
      <c r="CE41" s="151">
        <f t="shared" si="39"/>
        <v>2.6189975163315107</v>
      </c>
      <c r="CF41" s="151">
        <f t="shared" si="39"/>
        <v>2.6492022962359747</v>
      </c>
      <c r="CG41" s="151">
        <f t="shared" si="39"/>
        <v>1.7260703040389547</v>
      </c>
      <c r="CH41" s="151">
        <f t="shared" si="39"/>
        <v>1.7482625449810685</v>
      </c>
      <c r="CI41" s="151">
        <v>0</v>
      </c>
      <c r="CJ41" s="151">
        <v>0</v>
      </c>
      <c r="CK41" s="151">
        <v>0</v>
      </c>
      <c r="CL41" s="151">
        <v>0</v>
      </c>
      <c r="CM41" s="151">
        <f t="shared" si="39"/>
        <v>1.395740713571479</v>
      </c>
      <c r="CN41" s="151">
        <f t="shared" si="39"/>
        <v>1.4360819686627464</v>
      </c>
      <c r="CO41" s="151">
        <v>0</v>
      </c>
      <c r="CP41" s="152">
        <f>MEDIAN(AV41:CO41)</f>
        <v>1.8981672424493372</v>
      </c>
      <c r="CQ41" s="151">
        <v>0</v>
      </c>
      <c r="CR41" s="151">
        <v>0</v>
      </c>
      <c r="CS41" s="151">
        <f t="shared" si="39"/>
        <v>1.0907851360078624</v>
      </c>
      <c r="CT41" s="151">
        <v>0</v>
      </c>
      <c r="CU41" s="151">
        <f t="shared" si="39"/>
        <v>1.2853564409289089</v>
      </c>
      <c r="CV41" s="151">
        <v>0</v>
      </c>
      <c r="CW41" s="151">
        <f t="shared" si="39"/>
        <v>1.5103674668902367</v>
      </c>
      <c r="CX41" s="151">
        <f t="shared" si="39"/>
        <v>1.955361451733771</v>
      </c>
      <c r="CY41" s="151">
        <v>0</v>
      </c>
      <c r="CZ41" s="151">
        <f t="shared" si="39"/>
        <v>1.2588567144524125</v>
      </c>
      <c r="DA41" s="151">
        <f t="shared" si="39"/>
        <v>1.5249483853016581</v>
      </c>
      <c r="DB41" s="151">
        <f t="shared" si="39"/>
        <v>1.9081137013985874</v>
      </c>
      <c r="DC41" s="151">
        <v>0</v>
      </c>
      <c r="DD41" s="151">
        <f t="shared" si="39"/>
        <v>1.5383784639703388</v>
      </c>
      <c r="DE41" s="151">
        <f t="shared" si="39"/>
        <v>2.4810494276866248</v>
      </c>
      <c r="DF41" s="151">
        <f t="shared" si="39"/>
        <v>2.3551657445201934</v>
      </c>
      <c r="DG41" s="151">
        <v>0</v>
      </c>
      <c r="DH41" s="151">
        <v>0</v>
      </c>
      <c r="DI41" s="151">
        <v>0</v>
      </c>
      <c r="DJ41" s="151">
        <f t="shared" si="39"/>
        <v>1.2914412405818381</v>
      </c>
      <c r="DK41" s="151">
        <f t="shared" si="39"/>
        <v>1.306656013810866</v>
      </c>
      <c r="DL41" s="151">
        <f t="shared" si="39"/>
        <v>1.456278390461853</v>
      </c>
      <c r="DM41" s="151">
        <f t="shared" si="39"/>
        <v>1.5879047924108329</v>
      </c>
      <c r="DN41" s="151">
        <f t="shared" si="39"/>
        <v>1.1865877569128185</v>
      </c>
      <c r="DO41" s="151">
        <f t="shared" si="39"/>
        <v>2.1052590634434716</v>
      </c>
      <c r="DP41" s="151">
        <f t="shared" si="39"/>
        <v>2.4565951687383842</v>
      </c>
      <c r="DQ41" s="151">
        <f t="shared" si="39"/>
        <v>1.8042837019757172</v>
      </c>
      <c r="DR41" s="151">
        <f t="shared" si="39"/>
        <v>1.9319059764820314</v>
      </c>
      <c r="DS41" s="151">
        <f t="shared" si="39"/>
        <v>1.1653530493893751</v>
      </c>
      <c r="DT41" s="151">
        <v>0</v>
      </c>
      <c r="DU41" s="151">
        <f t="shared" si="39"/>
        <v>1.3636334078014571</v>
      </c>
      <c r="DV41" s="151">
        <f t="shared" si="39"/>
        <v>1.3667251664984639</v>
      </c>
      <c r="DW41" s="151">
        <v>0</v>
      </c>
      <c r="DX41" s="151">
        <f t="shared" si="39"/>
        <v>1.2178453254710244</v>
      </c>
      <c r="DY41" s="151">
        <f t="shared" si="39"/>
        <v>1.585849856152086</v>
      </c>
      <c r="DZ41" s="151">
        <v>0</v>
      </c>
      <c r="EA41" s="151">
        <v>0</v>
      </c>
      <c r="EB41" s="151">
        <v>0</v>
      </c>
      <c r="EC41" s="151">
        <v>0</v>
      </c>
      <c r="ED41" s="151">
        <v>0</v>
      </c>
      <c r="EE41" s="151">
        <f t="shared" ref="EE41:FE41" si="40">LOG(EE10)</f>
        <v>1.7310462290714488</v>
      </c>
      <c r="EF41" s="151">
        <f t="shared" si="40"/>
        <v>1.2903346090210071</v>
      </c>
      <c r="EG41" s="151">
        <f t="shared" si="40"/>
        <v>1.2547091114476805</v>
      </c>
      <c r="EH41" s="151">
        <v>0</v>
      </c>
      <c r="EI41" s="151">
        <f t="shared" si="40"/>
        <v>1.5712172107188154</v>
      </c>
      <c r="EJ41" s="151">
        <v>0</v>
      </c>
      <c r="EK41" s="151">
        <v>0</v>
      </c>
      <c r="EL41" s="151">
        <f t="shared" si="40"/>
        <v>1.3655857391870854</v>
      </c>
      <c r="EM41" s="151">
        <f t="shared" si="40"/>
        <v>1.2880305683177304</v>
      </c>
      <c r="EN41" s="151">
        <v>0</v>
      </c>
      <c r="EO41" s="151">
        <v>0</v>
      </c>
      <c r="EP41" s="152">
        <f t="shared" si="30"/>
        <v>1.5316634246359984</v>
      </c>
      <c r="EQ41" s="151">
        <f t="shared" si="40"/>
        <v>1.2984879170017809</v>
      </c>
      <c r="ER41" s="151">
        <f t="shared" si="40"/>
        <v>2.011339034873052</v>
      </c>
      <c r="ES41" s="151">
        <f t="shared" si="40"/>
        <v>1.6847426829951517</v>
      </c>
      <c r="ET41" s="151">
        <v>0</v>
      </c>
      <c r="EU41" s="151">
        <v>0</v>
      </c>
      <c r="EV41" s="151">
        <v>0</v>
      </c>
      <c r="EW41" s="151">
        <v>0</v>
      </c>
      <c r="EX41" s="151">
        <f t="shared" si="40"/>
        <v>1.7242059837627413</v>
      </c>
      <c r="EY41" s="151">
        <f t="shared" si="40"/>
        <v>1.5190064713380333</v>
      </c>
      <c r="EZ41" s="151">
        <f t="shared" si="40"/>
        <v>1.200265345434457</v>
      </c>
      <c r="FA41" s="151">
        <v>0</v>
      </c>
      <c r="FB41" s="151">
        <v>0</v>
      </c>
      <c r="FC41" s="151">
        <v>0</v>
      </c>
      <c r="FD41" s="151">
        <v>0</v>
      </c>
      <c r="FE41" s="151">
        <f t="shared" si="40"/>
        <v>1.955361451733771</v>
      </c>
      <c r="FF41" s="151">
        <v>0</v>
      </c>
      <c r="FG41" s="151">
        <v>0</v>
      </c>
      <c r="FH41" s="151">
        <v>0</v>
      </c>
      <c r="FI41" s="151">
        <v>0</v>
      </c>
      <c r="FJ41" s="153">
        <f t="shared" si="31"/>
        <v>0</v>
      </c>
      <c r="FK41" s="152">
        <v>1</v>
      </c>
      <c r="FL41" s="29"/>
    </row>
    <row r="42" spans="1:175">
      <c r="A42" s="71" t="s">
        <v>210</v>
      </c>
      <c r="B42" s="92" t="s">
        <v>169</v>
      </c>
      <c r="C42" s="154">
        <f t="shared" ref="C42:BP42" si="41">LOG(C11)</f>
        <v>3.6637215017429963</v>
      </c>
      <c r="D42" s="155">
        <f t="shared" si="41"/>
        <v>2.3504072018892535</v>
      </c>
      <c r="E42" s="155">
        <f t="shared" si="41"/>
        <v>4.1574889721394346</v>
      </c>
      <c r="F42" s="155">
        <f t="shared" si="41"/>
        <v>3.80004309151896</v>
      </c>
      <c r="G42" s="155">
        <f t="shared" si="41"/>
        <v>2.7063493911918317</v>
      </c>
      <c r="H42" s="155">
        <f t="shared" si="41"/>
        <v>2.5042734327539424</v>
      </c>
      <c r="I42" s="155">
        <f t="shared" si="41"/>
        <v>2.0956489648711703</v>
      </c>
      <c r="J42" s="155">
        <f t="shared" si="41"/>
        <v>4.1772185305998999</v>
      </c>
      <c r="K42" s="155">
        <f t="shared" si="41"/>
        <v>3.9756795608996285</v>
      </c>
      <c r="L42" s="155">
        <f t="shared" si="41"/>
        <v>3.1824165781539713</v>
      </c>
      <c r="M42" s="155">
        <f t="shared" si="41"/>
        <v>1.7082432095751214</v>
      </c>
      <c r="N42" s="155">
        <f t="shared" si="41"/>
        <v>1.9323662868659535</v>
      </c>
      <c r="O42" s="155">
        <f t="shared" si="41"/>
        <v>0</v>
      </c>
      <c r="P42" s="155">
        <f t="shared" si="41"/>
        <v>1.763699805744785</v>
      </c>
      <c r="Q42" s="155">
        <f t="shared" si="41"/>
        <v>1.6856971945246275</v>
      </c>
      <c r="R42" s="155">
        <f t="shared" si="41"/>
        <v>1.9188416931463546</v>
      </c>
      <c r="S42" s="155">
        <f t="shared" si="41"/>
        <v>2.3413521001454698</v>
      </c>
      <c r="T42" s="155">
        <f t="shared" si="41"/>
        <v>2.6587620312278104</v>
      </c>
      <c r="U42" s="156">
        <f t="shared" si="25"/>
        <v>2.4273403173215979</v>
      </c>
      <c r="V42" s="155">
        <f t="shared" si="41"/>
        <v>4.6705496465165206</v>
      </c>
      <c r="W42" s="155">
        <f t="shared" si="41"/>
        <v>4.8366583014237987</v>
      </c>
      <c r="X42" s="155">
        <f t="shared" si="41"/>
        <v>4.7478915808666393</v>
      </c>
      <c r="Y42" s="155">
        <f t="shared" si="41"/>
        <v>1.5236442542456918</v>
      </c>
      <c r="Z42" s="155">
        <f t="shared" si="41"/>
        <v>2.1226249033168996</v>
      </c>
      <c r="AA42" s="155">
        <f t="shared" si="41"/>
        <v>5.1965264400517412</v>
      </c>
      <c r="AB42" s="155">
        <f t="shared" si="41"/>
        <v>4.5642818371487071</v>
      </c>
      <c r="AC42" s="155">
        <f t="shared" si="41"/>
        <v>5.5626736181179526</v>
      </c>
      <c r="AD42" s="155">
        <f t="shared" si="41"/>
        <v>2.9279620682609604</v>
      </c>
      <c r="AE42" s="155">
        <f t="shared" si="41"/>
        <v>3.6647077031429749</v>
      </c>
      <c r="AF42" s="155">
        <f t="shared" si="41"/>
        <v>3.9864051816443382</v>
      </c>
      <c r="AG42" s="155">
        <f t="shared" si="41"/>
        <v>2.8375214254541237</v>
      </c>
      <c r="AH42" s="155">
        <f t="shared" si="41"/>
        <v>3.5264769930825981</v>
      </c>
      <c r="AI42" s="155">
        <f t="shared" si="41"/>
        <v>2.4589516498120805</v>
      </c>
      <c r="AJ42" s="155">
        <f t="shared" si="41"/>
        <v>2.0017678190279642</v>
      </c>
      <c r="AK42" s="155">
        <f t="shared" si="41"/>
        <v>2.3272067843877275</v>
      </c>
      <c r="AL42" s="155">
        <f t="shared" si="41"/>
        <v>2.1009068567692002</v>
      </c>
      <c r="AM42" s="155">
        <f t="shared" si="41"/>
        <v>2.111041778098997</v>
      </c>
      <c r="AN42" s="155">
        <f t="shared" si="41"/>
        <v>2.2745108626328081</v>
      </c>
      <c r="AO42" s="155">
        <f t="shared" si="41"/>
        <v>1.6737361569211213</v>
      </c>
      <c r="AP42" s="155">
        <f t="shared" si="41"/>
        <v>2.7663453930789363</v>
      </c>
      <c r="AQ42" s="155">
        <f t="shared" si="41"/>
        <v>2.8856801119808639</v>
      </c>
      <c r="AR42" s="155">
        <f t="shared" si="41"/>
        <v>3.0687151511363955</v>
      </c>
      <c r="AS42" s="155">
        <f t="shared" si="41"/>
        <v>4.2247497577064355</v>
      </c>
      <c r="AT42" s="155">
        <f t="shared" si="41"/>
        <v>1.5851775604299383</v>
      </c>
      <c r="AU42" s="156">
        <f t="shared" si="26"/>
        <v>2.8856801119808639</v>
      </c>
      <c r="AV42" s="155">
        <f t="shared" si="41"/>
        <v>2.1462017371957613</v>
      </c>
      <c r="AW42" s="155">
        <f t="shared" si="41"/>
        <v>1.9123358417313963</v>
      </c>
      <c r="AX42" s="155">
        <f t="shared" si="41"/>
        <v>2.4980450042648186</v>
      </c>
      <c r="AY42" s="155">
        <f t="shared" si="41"/>
        <v>1.5220152831300626</v>
      </c>
      <c r="AZ42" s="155">
        <f t="shared" si="41"/>
        <v>1.6793230108734445</v>
      </c>
      <c r="BA42" s="155">
        <f t="shared" si="41"/>
        <v>3.2272553481059609</v>
      </c>
      <c r="BB42" s="155">
        <f t="shared" si="41"/>
        <v>4.10994535071291</v>
      </c>
      <c r="BC42" s="155">
        <f t="shared" si="41"/>
        <v>3.8975508901424307</v>
      </c>
      <c r="BD42" s="155">
        <f t="shared" si="41"/>
        <v>2.5804650966838576</v>
      </c>
      <c r="BE42" s="155">
        <f t="shared" si="41"/>
        <v>2.1760024896584622</v>
      </c>
      <c r="BF42" s="155">
        <f t="shared" si="41"/>
        <v>3.0039903900797058</v>
      </c>
      <c r="BG42" s="155">
        <f t="shared" si="41"/>
        <v>2.923458256030381</v>
      </c>
      <c r="BH42" s="155">
        <f t="shared" si="41"/>
        <v>3.2334522670589338</v>
      </c>
      <c r="BI42" s="155">
        <f t="shared" si="41"/>
        <v>3.226226398020132</v>
      </c>
      <c r="BJ42" s="155">
        <f t="shared" si="41"/>
        <v>4.6640109918393025</v>
      </c>
      <c r="BK42" s="155">
        <f t="shared" si="41"/>
        <v>4.4524225014009522</v>
      </c>
      <c r="BL42" s="155">
        <f t="shared" si="41"/>
        <v>3.9496437166861083</v>
      </c>
      <c r="BM42" s="155">
        <f t="shared" si="41"/>
        <v>3.7572872917342846</v>
      </c>
      <c r="BN42" s="155">
        <f t="shared" si="41"/>
        <v>2.9540921135362486</v>
      </c>
      <c r="BO42" s="155">
        <f t="shared" si="41"/>
        <v>2.2698514398483374</v>
      </c>
      <c r="BP42" s="155">
        <f t="shared" si="41"/>
        <v>2.5961065980416937</v>
      </c>
      <c r="BQ42" s="155">
        <f t="shared" ref="BQ42:EC42" si="42">LOG(BQ11)</f>
        <v>2.6142545633320373</v>
      </c>
      <c r="BR42" s="155">
        <f t="shared" si="42"/>
        <v>2.8586266740691562</v>
      </c>
      <c r="BS42" s="155">
        <f t="shared" si="42"/>
        <v>2.7700982832198395</v>
      </c>
      <c r="BT42" s="155">
        <f t="shared" si="42"/>
        <v>3.0432366504386676</v>
      </c>
      <c r="BU42" s="155">
        <f t="shared" si="42"/>
        <v>2.2609379858999148</v>
      </c>
      <c r="BV42" s="155">
        <f t="shared" si="42"/>
        <v>2.3989664069657133</v>
      </c>
      <c r="BW42" s="155">
        <f t="shared" si="42"/>
        <v>3.2514978069192657</v>
      </c>
      <c r="BX42" s="155">
        <f t="shared" si="42"/>
        <v>3.9640104962158471</v>
      </c>
      <c r="BY42" s="155">
        <f t="shared" si="42"/>
        <v>4.3597857378586431</v>
      </c>
      <c r="BZ42" s="155">
        <f t="shared" si="42"/>
        <v>3.8956852891762526</v>
      </c>
      <c r="CA42" s="155">
        <f t="shared" si="42"/>
        <v>3.2665897316241277</v>
      </c>
      <c r="CB42" s="155">
        <f t="shared" si="42"/>
        <v>2.7270189613927678</v>
      </c>
      <c r="CC42" s="155">
        <f t="shared" si="42"/>
        <v>2.9370589584243154</v>
      </c>
      <c r="CD42" s="155">
        <f t="shared" si="42"/>
        <v>3.449466209334636</v>
      </c>
      <c r="CE42" s="155">
        <f t="shared" si="42"/>
        <v>3.6653313816377673</v>
      </c>
      <c r="CF42" s="155">
        <f t="shared" si="42"/>
        <v>3.3514478095801974</v>
      </c>
      <c r="CG42" s="155">
        <f t="shared" si="42"/>
        <v>1.6045393004665209</v>
      </c>
      <c r="CH42" s="155">
        <f t="shared" si="42"/>
        <v>2.0881361302495591</v>
      </c>
      <c r="CI42" s="155">
        <f t="shared" si="42"/>
        <v>1.569921618834949</v>
      </c>
      <c r="CJ42" s="155">
        <v>0</v>
      </c>
      <c r="CK42" s="155">
        <v>0</v>
      </c>
      <c r="CL42" s="155">
        <v>0</v>
      </c>
      <c r="CM42" s="155">
        <f t="shared" si="42"/>
        <v>2.4163173331748227</v>
      </c>
      <c r="CN42" s="155">
        <v>0</v>
      </c>
      <c r="CO42" s="155">
        <f t="shared" si="42"/>
        <v>1.5617306246568363</v>
      </c>
      <c r="CP42" s="156">
        <f t="shared" si="28"/>
        <v>2.8143624786444978</v>
      </c>
      <c r="CQ42" s="155">
        <v>0</v>
      </c>
      <c r="CR42" s="155">
        <v>0</v>
      </c>
      <c r="CS42" s="155">
        <f t="shared" si="42"/>
        <v>1.4842191450522446</v>
      </c>
      <c r="CT42" s="155">
        <f t="shared" si="42"/>
        <v>1.1361929442625875</v>
      </c>
      <c r="CU42" s="155">
        <v>0</v>
      </c>
      <c r="CV42" s="155">
        <f t="shared" si="42"/>
        <v>1.1927001902448902</v>
      </c>
      <c r="CW42" s="155">
        <f t="shared" si="42"/>
        <v>2.5202967806851699</v>
      </c>
      <c r="CX42" s="155">
        <f t="shared" si="42"/>
        <v>2.3255508541388781</v>
      </c>
      <c r="CY42" s="155">
        <f t="shared" si="42"/>
        <v>1.094860962220654</v>
      </c>
      <c r="CZ42" s="155">
        <f t="shared" si="42"/>
        <v>1.5356853819779472</v>
      </c>
      <c r="DA42" s="155">
        <f t="shared" si="42"/>
        <v>1.8109118651937088</v>
      </c>
      <c r="DB42" s="155">
        <f t="shared" si="42"/>
        <v>1.9590147241755596</v>
      </c>
      <c r="DC42" s="155">
        <v>0</v>
      </c>
      <c r="DD42" s="155">
        <f t="shared" si="42"/>
        <v>2.2331862253367798</v>
      </c>
      <c r="DE42" s="155">
        <f t="shared" si="42"/>
        <v>3.0010237005827913</v>
      </c>
      <c r="DF42" s="155">
        <f t="shared" si="42"/>
        <v>2.7744279734080579</v>
      </c>
      <c r="DG42" s="155">
        <f t="shared" si="42"/>
        <v>1.7634378458072817</v>
      </c>
      <c r="DH42" s="155">
        <v>0</v>
      </c>
      <c r="DI42" s="155">
        <v>0</v>
      </c>
      <c r="DJ42" s="155">
        <f t="shared" si="42"/>
        <v>1.146100345213211</v>
      </c>
      <c r="DK42" s="155">
        <f t="shared" si="42"/>
        <v>1.6149153693799656</v>
      </c>
      <c r="DL42" s="155">
        <f t="shared" si="42"/>
        <v>1.3190932764588541</v>
      </c>
      <c r="DM42" s="155">
        <f t="shared" si="42"/>
        <v>1.9637657238254487</v>
      </c>
      <c r="DN42" s="155">
        <f t="shared" si="42"/>
        <v>1.9724905081976651</v>
      </c>
      <c r="DO42" s="155">
        <f t="shared" si="42"/>
        <v>2.3538798304137742</v>
      </c>
      <c r="DP42" s="155">
        <f t="shared" si="42"/>
        <v>2.8308356045440664</v>
      </c>
      <c r="DQ42" s="155">
        <f t="shared" si="42"/>
        <v>2.5984925007636783</v>
      </c>
      <c r="DR42" s="155">
        <f t="shared" si="42"/>
        <v>2.5309133543900817</v>
      </c>
      <c r="DS42" s="155">
        <f t="shared" si="42"/>
        <v>1.2372811300786177</v>
      </c>
      <c r="DT42" s="155">
        <v>0</v>
      </c>
      <c r="DU42" s="155">
        <f t="shared" si="42"/>
        <v>1.2772926341356248</v>
      </c>
      <c r="DV42" s="155">
        <v>0</v>
      </c>
      <c r="DW42" s="155">
        <v>0</v>
      </c>
      <c r="DX42" s="155">
        <v>0</v>
      </c>
      <c r="DY42" s="155">
        <f t="shared" si="42"/>
        <v>1.9545313773609216</v>
      </c>
      <c r="DZ42" s="155">
        <f t="shared" si="42"/>
        <v>1.6561936494683216</v>
      </c>
      <c r="EA42" s="155">
        <f t="shared" si="42"/>
        <v>1.5021953426446331</v>
      </c>
      <c r="EB42" s="155">
        <v>0</v>
      </c>
      <c r="EC42" s="155">
        <f t="shared" si="42"/>
        <v>1.3736169067714961</v>
      </c>
      <c r="ED42" s="155">
        <f t="shared" ref="ED42:FI42" si="43">LOG(ED11)</f>
        <v>1.8996717462799544</v>
      </c>
      <c r="EE42" s="155">
        <f t="shared" si="43"/>
        <v>1.5071183820068415</v>
      </c>
      <c r="EF42" s="155">
        <f t="shared" si="43"/>
        <v>2.2665822374318347</v>
      </c>
      <c r="EG42" s="155">
        <f t="shared" si="43"/>
        <v>2.2102073418977728</v>
      </c>
      <c r="EH42" s="155">
        <f t="shared" si="43"/>
        <v>1.5044038181824464</v>
      </c>
      <c r="EI42" s="155">
        <v>0</v>
      </c>
      <c r="EJ42" s="155">
        <v>0</v>
      </c>
      <c r="EK42" s="155">
        <v>0</v>
      </c>
      <c r="EL42" s="155">
        <v>0</v>
      </c>
      <c r="EM42" s="155">
        <v>0</v>
      </c>
      <c r="EN42" s="155">
        <v>0</v>
      </c>
      <c r="EO42" s="155">
        <v>0</v>
      </c>
      <c r="EP42" s="156">
        <f t="shared" si="30"/>
        <v>1.9681281160115569</v>
      </c>
      <c r="EQ42" s="155">
        <f t="shared" si="43"/>
        <v>2.0361461669125771</v>
      </c>
      <c r="ER42" s="155">
        <f t="shared" si="43"/>
        <v>2.5996538939678038</v>
      </c>
      <c r="ES42" s="155">
        <f t="shared" si="43"/>
        <v>1.7909615308369702</v>
      </c>
      <c r="ET42" s="155">
        <f t="shared" si="43"/>
        <v>1.4302852609769952</v>
      </c>
      <c r="EU42" s="155">
        <f t="shared" si="43"/>
        <v>1.4117045360591147</v>
      </c>
      <c r="EV42" s="155">
        <v>0</v>
      </c>
      <c r="EW42" s="155">
        <v>0</v>
      </c>
      <c r="EX42" s="155">
        <v>0</v>
      </c>
      <c r="EY42" s="155">
        <f t="shared" si="43"/>
        <v>2.43405163478451</v>
      </c>
      <c r="EZ42" s="155">
        <f t="shared" si="43"/>
        <v>2.1793265928965977</v>
      </c>
      <c r="FA42" s="155">
        <v>0</v>
      </c>
      <c r="FB42" s="155">
        <v>0</v>
      </c>
      <c r="FC42" s="155">
        <v>0</v>
      </c>
      <c r="FD42" s="155">
        <v>0</v>
      </c>
      <c r="FE42" s="155">
        <f t="shared" si="43"/>
        <v>2.3255508541388781</v>
      </c>
      <c r="FF42" s="155">
        <f t="shared" si="43"/>
        <v>1.1785928901441443</v>
      </c>
      <c r="FG42" s="155">
        <v>0</v>
      </c>
      <c r="FH42" s="155">
        <v>0</v>
      </c>
      <c r="FI42" s="155">
        <f t="shared" si="43"/>
        <v>1.5216056158532105</v>
      </c>
      <c r="FJ42" s="157">
        <f t="shared" si="31"/>
        <v>1.1785928901441443</v>
      </c>
      <c r="FK42" s="156">
        <v>1.1786000000000001</v>
      </c>
      <c r="FL42" s="29"/>
    </row>
    <row r="43" spans="1:175">
      <c r="A43" s="73"/>
      <c r="B43" s="74" t="s">
        <v>172</v>
      </c>
      <c r="C43" s="72">
        <f>AVERAGE(C37:C42)</f>
        <v>3.4071294027624481</v>
      </c>
      <c r="D43" s="72">
        <f t="shared" ref="D43:F43" si="44">AVERAGE(D37:D42)</f>
        <v>2.2817948499444172</v>
      </c>
      <c r="E43" s="72">
        <f t="shared" si="44"/>
        <v>3.908286479188444</v>
      </c>
      <c r="F43" s="72">
        <f t="shared" si="44"/>
        <v>3.5115702559724142</v>
      </c>
      <c r="G43" s="72">
        <f t="shared" ref="G43" si="45">AVERAGE(G37:G42)</f>
        <v>2.3093793628820189</v>
      </c>
      <c r="H43" s="72">
        <f t="shared" ref="H43:I43" si="46">AVERAGE(H37:H42)</f>
        <v>2.4323886925280505</v>
      </c>
      <c r="I43" s="72">
        <f t="shared" si="46"/>
        <v>2.2160798279834464</v>
      </c>
      <c r="J43" s="72">
        <f t="shared" ref="J43" si="47">AVERAGE(J37:J42)</f>
        <v>4.2010514312056699</v>
      </c>
      <c r="K43" s="72">
        <f t="shared" ref="K43:L43" si="48">AVERAGE(K37:K42)</f>
        <v>3.9149378961281571</v>
      </c>
      <c r="L43" s="72">
        <f t="shared" si="48"/>
        <v>2.6712220846334205</v>
      </c>
      <c r="M43" s="72">
        <f t="shared" ref="M43" si="49">AVERAGE(M37:M42)</f>
        <v>1.8308926195801867</v>
      </c>
      <c r="N43" s="72">
        <f t="shared" ref="N43:O43" si="50">AVERAGE(N37:N42)</f>
        <v>1.8703915792784545</v>
      </c>
      <c r="O43" s="72">
        <f t="shared" si="50"/>
        <v>1.3339879353340034</v>
      </c>
      <c r="P43" s="72">
        <f t="shared" ref="P43" si="51">AVERAGE(P37:P42)</f>
        <v>1.5922672712354016</v>
      </c>
      <c r="Q43" s="72">
        <f t="shared" ref="Q43:R43" si="52">AVERAGE(Q37:Q42)</f>
        <v>0.74805065210385246</v>
      </c>
      <c r="R43" s="72">
        <f t="shared" si="52"/>
        <v>1.7821048533792376</v>
      </c>
      <c r="S43" s="72">
        <f t="shared" ref="S43" si="53">AVERAGE(S37:S42)</f>
        <v>1.8910924315295166</v>
      </c>
      <c r="T43" s="72">
        <f t="shared" ref="T43:V43" si="54">AVERAGE(T37:T42)</f>
        <v>2.4512082784640237</v>
      </c>
      <c r="U43" s="72"/>
      <c r="V43" s="72">
        <f t="shared" si="54"/>
        <v>4.6555997826230993</v>
      </c>
      <c r="W43" s="72">
        <f t="shared" ref="W43" si="55">AVERAGE(W37:W42)</f>
        <v>4.7737866893377063</v>
      </c>
      <c r="X43" s="72">
        <f t="shared" ref="X43:Y43" si="56">AVERAGE(X37:X42)</f>
        <v>4.6658939872069327</v>
      </c>
      <c r="Y43" s="72">
        <f t="shared" si="56"/>
        <v>1.7662700955783859</v>
      </c>
      <c r="Z43" s="72">
        <f t="shared" ref="Z43" si="57">AVERAGE(Z37:Z42)</f>
        <v>1.7698698559387054</v>
      </c>
      <c r="AA43" s="72">
        <f t="shared" ref="AA43:AB43" si="58">AVERAGE(AA37:AA42)</f>
        <v>5.1866233913195039</v>
      </c>
      <c r="AB43" s="72">
        <f t="shared" si="58"/>
        <v>4.4731180888503914</v>
      </c>
      <c r="AC43" s="72">
        <f t="shared" ref="AC43" si="59">AVERAGE(AC37:AC42)</f>
        <v>5.451877569596312</v>
      </c>
      <c r="AD43" s="72">
        <f t="shared" ref="AD43:AE43" si="60">AVERAGE(AD37:AD42)</f>
        <v>2.7903398152626235</v>
      </c>
      <c r="AE43" s="72">
        <f t="shared" si="60"/>
        <v>3.8529706664345595</v>
      </c>
      <c r="AF43" s="72">
        <f t="shared" ref="AF43" si="61">AVERAGE(AF37:AF42)</f>
        <v>4.0168635253647578</v>
      </c>
      <c r="AG43" s="72">
        <f t="shared" ref="AG43:AH43" si="62">AVERAGE(AG37:AG42)</f>
        <v>2.8216358641616921</v>
      </c>
      <c r="AH43" s="72">
        <f t="shared" si="62"/>
        <v>3.4273530365839875</v>
      </c>
      <c r="AI43" s="72">
        <f t="shared" ref="AI43" si="63">AVERAGE(AI37:AI42)</f>
        <v>1.9526594871478873</v>
      </c>
      <c r="AJ43" s="72">
        <f t="shared" ref="AJ43:AK43" si="64">AVERAGE(AJ37:AJ42)</f>
        <v>1.7568434333821523</v>
      </c>
      <c r="AK43" s="72">
        <f t="shared" si="64"/>
        <v>2.5268730927175529</v>
      </c>
      <c r="AL43" s="72">
        <f t="shared" ref="AL43" si="65">AVERAGE(AL37:AL42)</f>
        <v>2.0375047827426989</v>
      </c>
      <c r="AM43" s="72">
        <f t="shared" ref="AM43:AN43" si="66">AVERAGE(AM37:AM42)</f>
        <v>1.9313979811255069</v>
      </c>
      <c r="AN43" s="72">
        <f t="shared" si="66"/>
        <v>1.8142176555783969</v>
      </c>
      <c r="AO43" s="72">
        <f t="shared" ref="AO43" si="67">AVERAGE(AO37:AO42)</f>
        <v>1.7876840688771496</v>
      </c>
      <c r="AP43" s="72">
        <f t="shared" ref="AP43:AQ43" si="68">AVERAGE(AP37:AP42)</f>
        <v>2.7912165065967418</v>
      </c>
      <c r="AQ43" s="72">
        <f t="shared" si="68"/>
        <v>2.8983011504957319</v>
      </c>
      <c r="AR43" s="72">
        <f t="shared" ref="AR43" si="69">AVERAGE(AR37:AR42)</f>
        <v>3.2351048886691767</v>
      </c>
      <c r="AS43" s="72">
        <f t="shared" ref="AS43:AT43" si="70">AVERAGE(AS37:AS42)</f>
        <v>4.1241881648514251</v>
      </c>
      <c r="AT43" s="72">
        <f t="shared" si="70"/>
        <v>1.7362722481640864</v>
      </c>
      <c r="AU43" s="72"/>
      <c r="AV43" s="72">
        <f t="shared" ref="AV43" si="71">AVERAGE(AV37:AV42)</f>
        <v>1.9931193211420775</v>
      </c>
      <c r="AW43" s="72">
        <f t="shared" ref="AW43:AX43" si="72">AVERAGE(AW37:AW42)</f>
        <v>1.4973947721789977</v>
      </c>
      <c r="AX43" s="72">
        <f t="shared" si="72"/>
        <v>1.8359322319947768</v>
      </c>
      <c r="AY43" s="72">
        <f t="shared" ref="AY43" si="73">AVERAGE(AY37:AY42)</f>
        <v>1.6848855676797729</v>
      </c>
      <c r="AZ43" s="72">
        <f t="shared" ref="AZ43:BA43" si="74">AVERAGE(AZ37:AZ42)</f>
        <v>1.0846915224984104</v>
      </c>
      <c r="BA43" s="72">
        <f t="shared" si="74"/>
        <v>2.4455341372011001</v>
      </c>
      <c r="BB43" s="72">
        <f t="shared" ref="BB43" si="75">AVERAGE(BB37:BB42)</f>
        <v>3.4235190179637223</v>
      </c>
      <c r="BC43" s="72">
        <f t="shared" ref="BC43:BD43" si="76">AVERAGE(BC37:BC42)</f>
        <v>3.2512918250430203</v>
      </c>
      <c r="BD43" s="72">
        <f t="shared" si="76"/>
        <v>1.9430501376879346</v>
      </c>
      <c r="BE43" s="72">
        <f t="shared" ref="BE43" si="77">AVERAGE(BE37:BE42)</f>
        <v>1.5020002086427648</v>
      </c>
      <c r="BF43" s="72">
        <f t="shared" ref="BF43:BG43" si="78">AVERAGE(BF37:BF42)</f>
        <v>2.3546941358167985</v>
      </c>
      <c r="BG43" s="72">
        <f t="shared" si="78"/>
        <v>2.2013791749842064</v>
      </c>
      <c r="BH43" s="72">
        <f t="shared" ref="BH43" si="79">AVERAGE(BH37:BH42)</f>
        <v>2.6440073703486657</v>
      </c>
      <c r="BI43" s="72">
        <f t="shared" ref="BI43:BJ43" si="80">AVERAGE(BI37:BI42)</f>
        <v>2.3588996394756521</v>
      </c>
      <c r="BJ43" s="72">
        <f t="shared" si="80"/>
        <v>4.0069499848378891</v>
      </c>
      <c r="BK43" s="72">
        <f t="shared" ref="BK43" si="81">AVERAGE(BK37:BK42)</f>
        <v>3.858057463170482</v>
      </c>
      <c r="BL43" s="72">
        <f t="shared" ref="BL43:BM43" si="82">AVERAGE(BL37:BL42)</f>
        <v>3.2474873223235949</v>
      </c>
      <c r="BM43" s="72">
        <f t="shared" si="82"/>
        <v>3.1194289858514224</v>
      </c>
      <c r="BN43" s="72">
        <f t="shared" ref="BN43" si="83">AVERAGE(BN37:BN42)</f>
        <v>2.256770469912067</v>
      </c>
      <c r="BO43" s="72">
        <f t="shared" ref="BO43:BP43" si="84">AVERAGE(BO37:BO42)</f>
        <v>1.5962476855887548</v>
      </c>
      <c r="BP43" s="72">
        <f t="shared" si="84"/>
        <v>2.0963026066243224</v>
      </c>
      <c r="BQ43" s="72">
        <f t="shared" ref="BQ43" si="85">AVERAGE(BQ37:BQ42)</f>
        <v>1.9921254990950674</v>
      </c>
      <c r="BR43" s="72">
        <f t="shared" ref="BR43:BS43" si="86">AVERAGE(BR37:BR42)</f>
        <v>2.5501134598042561</v>
      </c>
      <c r="BS43" s="72">
        <f t="shared" si="86"/>
        <v>2.4743364481284873</v>
      </c>
      <c r="BT43" s="72">
        <f t="shared" ref="BT43" si="87">AVERAGE(BT37:BT42)</f>
        <v>2.5501518934629765</v>
      </c>
      <c r="BU43" s="72">
        <f t="shared" ref="BU43:BV43" si="88">AVERAGE(BU37:BU42)</f>
        <v>1.8652933120669364</v>
      </c>
      <c r="BV43" s="72">
        <f t="shared" si="88"/>
        <v>1.8887476156696696</v>
      </c>
      <c r="BW43" s="72">
        <f t="shared" ref="BW43" si="89">AVERAGE(BW37:BW42)</f>
        <v>2.5639036153933064</v>
      </c>
      <c r="BX43" s="72">
        <f t="shared" ref="BX43:BY43" si="90">AVERAGE(BX37:BX42)</f>
        <v>3.3981064238740211</v>
      </c>
      <c r="BY43" s="72">
        <f t="shared" si="90"/>
        <v>3.8402795237266178</v>
      </c>
      <c r="BZ43" s="72">
        <f t="shared" ref="BZ43" si="91">AVERAGE(BZ37:BZ42)</f>
        <v>3.2433753082658776</v>
      </c>
      <c r="CA43" s="72">
        <f t="shared" ref="CA43:CB43" si="92">AVERAGE(CA37:CA42)</f>
        <v>2.6736578454721234</v>
      </c>
      <c r="CB43" s="72">
        <f t="shared" si="92"/>
        <v>2.3578808463861463</v>
      </c>
      <c r="CC43" s="72">
        <f t="shared" ref="CC43" si="93">AVERAGE(CC37:CC42)</f>
        <v>2.2226313262500299</v>
      </c>
      <c r="CD43" s="72">
        <f t="shared" ref="CD43:CE43" si="94">AVERAGE(CD37:CD42)</f>
        <v>2.722426655820565</v>
      </c>
      <c r="CE43" s="72">
        <f t="shared" si="94"/>
        <v>2.9902813483066573</v>
      </c>
      <c r="CF43" s="72">
        <f t="shared" ref="CF43" si="95">AVERAGE(CF37:CF42)</f>
        <v>2.8555037866933772</v>
      </c>
      <c r="CG43" s="72">
        <f t="shared" ref="CG43:CH43" si="96">AVERAGE(CG37:CG42)</f>
        <v>1.6422020722422694</v>
      </c>
      <c r="CH43" s="72">
        <f t="shared" si="96"/>
        <v>2.1407184438586673</v>
      </c>
      <c r="CI43" s="72">
        <f t="shared" ref="CI43" si="97">AVERAGE(CI37:CI42)</f>
        <v>1.0370245375835558</v>
      </c>
      <c r="CJ43" s="72">
        <f t="shared" ref="CJ43:CK43" si="98">AVERAGE(CJ37:CJ42)</f>
        <v>0</v>
      </c>
      <c r="CK43" s="72">
        <f t="shared" si="98"/>
        <v>1.0943600253486183</v>
      </c>
      <c r="CL43" s="72">
        <f t="shared" ref="CL43" si="99">AVERAGE(CL37:CL42)</f>
        <v>0.23761551477070544</v>
      </c>
      <c r="CM43" s="72">
        <f t="shared" ref="CM43:CN43" si="100">AVERAGE(CM37:CM42)</f>
        <v>1.7597279740171883</v>
      </c>
      <c r="CN43" s="72">
        <f t="shared" si="100"/>
        <v>0.76874528314897927</v>
      </c>
      <c r="CO43" s="72">
        <f t="shared" ref="CO43" si="101">AVERAGE(CO37:CO42)</f>
        <v>1.2849939864388848</v>
      </c>
      <c r="CP43" s="72"/>
      <c r="CQ43" s="72">
        <f t="shared" ref="CQ43:CR43" si="102">AVERAGE(CQ37:CQ42)</f>
        <v>0.22421755352229569</v>
      </c>
      <c r="CR43" s="72">
        <f t="shared" si="102"/>
        <v>0</v>
      </c>
      <c r="CS43" s="72">
        <f t="shared" ref="CS43" si="103">AVERAGE(CS37:CS42)</f>
        <v>0.85840726873731865</v>
      </c>
      <c r="CT43" s="72">
        <f t="shared" ref="CT43:CU43" si="104">AVERAGE(CT37:CT42)</f>
        <v>0.41755735373795372</v>
      </c>
      <c r="CU43" s="72">
        <f t="shared" si="104"/>
        <v>0.21422607348815148</v>
      </c>
      <c r="CV43" s="72">
        <f t="shared" ref="CV43" si="105">AVERAGE(CV37:CV42)</f>
        <v>0.39384569840706202</v>
      </c>
      <c r="CW43" s="72">
        <f t="shared" ref="CW43:CX43" si="106">AVERAGE(CW37:CW42)</f>
        <v>1.7079059058804489</v>
      </c>
      <c r="CX43" s="72">
        <f t="shared" si="106"/>
        <v>1.8625695001311373</v>
      </c>
      <c r="CY43" s="72">
        <f t="shared" ref="CY43" si="107">AVERAGE(CY37:CY42)</f>
        <v>0.38345917968261262</v>
      </c>
      <c r="CZ43" s="72">
        <f t="shared" ref="CZ43:DA43" si="108">AVERAGE(CZ37:CZ42)</f>
        <v>1.4978320554154978</v>
      </c>
      <c r="DA43" s="72">
        <f t="shared" si="108"/>
        <v>1.4224546377954221</v>
      </c>
      <c r="DB43" s="72">
        <f t="shared" ref="DB43" si="109">AVERAGE(DB37:DB42)</f>
        <v>1.4718196032419906</v>
      </c>
      <c r="DC43" s="72">
        <f t="shared" ref="DC43:DD43" si="110">AVERAGE(DC37:DC42)</f>
        <v>0.22411297044930703</v>
      </c>
      <c r="DD43" s="72">
        <f t="shared" si="110"/>
        <v>1.4823238098394971</v>
      </c>
      <c r="DE43" s="72">
        <f t="shared" ref="DE43" si="111">AVERAGE(DE37:DE42)</f>
        <v>2.4884026696746431</v>
      </c>
      <c r="DF43" s="72">
        <f t="shared" ref="DF43:DG43" si="112">AVERAGE(DF37:DF42)</f>
        <v>2.4248483547467363</v>
      </c>
      <c r="DG43" s="72">
        <f t="shared" si="112"/>
        <v>0.78991969422758379</v>
      </c>
      <c r="DH43" s="72">
        <f t="shared" ref="DH43" si="113">AVERAGE(DH37:DH42)</f>
        <v>0</v>
      </c>
      <c r="DI43" s="72">
        <f t="shared" ref="DI43:DJ43" si="114">AVERAGE(DI37:DI42)</f>
        <v>0</v>
      </c>
      <c r="DJ43" s="72">
        <f t="shared" si="114"/>
        <v>0.61165788322770898</v>
      </c>
      <c r="DK43" s="72">
        <f t="shared" ref="DK43" si="115">AVERAGE(DK37:DK42)</f>
        <v>1.015475590239596</v>
      </c>
      <c r="DL43" s="72">
        <f t="shared" ref="DL43:DM43" si="116">AVERAGE(DL37:DL42)</f>
        <v>1.1870692796397775</v>
      </c>
      <c r="DM43" s="72">
        <f t="shared" si="116"/>
        <v>1.6697245269001846</v>
      </c>
      <c r="DN43" s="72">
        <f t="shared" ref="DN43" si="117">AVERAGE(DN37:DN42)</f>
        <v>0.81328846629543738</v>
      </c>
      <c r="DO43" s="72">
        <f t="shared" ref="DO43:DP43" si="118">AVERAGE(DO37:DO42)</f>
        <v>2.0504773580610318</v>
      </c>
      <c r="DP43" s="72">
        <f t="shared" si="118"/>
        <v>2.3523649146894612</v>
      </c>
      <c r="DQ43" s="72">
        <f t="shared" ref="DQ43" si="119">AVERAGE(DQ37:DQ42)</f>
        <v>1.599085786805299</v>
      </c>
      <c r="DR43" s="72">
        <f t="shared" ref="DR43:DS43" si="120">AVERAGE(DR37:DR42)</f>
        <v>1.9670303287085131</v>
      </c>
      <c r="DS43" s="72">
        <f t="shared" si="120"/>
        <v>0.60605797636678849</v>
      </c>
      <c r="DT43" s="72">
        <f t="shared" ref="DT43" si="121">AVERAGE(DT37:DT42)</f>
        <v>0.21696053500976076</v>
      </c>
      <c r="DU43" s="72">
        <f t="shared" ref="DU43:DV43" si="122">AVERAGE(DU37:DU42)</f>
        <v>0.68350643628135588</v>
      </c>
      <c r="DV43" s="72">
        <f t="shared" si="122"/>
        <v>0.22778752774974398</v>
      </c>
      <c r="DW43" s="72">
        <f t="shared" ref="DW43" si="123">AVERAGE(DW37:DW42)</f>
        <v>0</v>
      </c>
      <c r="DX43" s="72">
        <f t="shared" ref="DX43:DY43" si="124">AVERAGE(DX37:DX42)</f>
        <v>0.63319045757379022</v>
      </c>
      <c r="DY43" s="72">
        <f t="shared" si="124"/>
        <v>0.78648035522059045</v>
      </c>
      <c r="DZ43" s="72">
        <f t="shared" ref="DZ43" si="125">AVERAGE(DZ37:DZ42)</f>
        <v>0.49720083569458967</v>
      </c>
      <c r="EA43" s="72">
        <f t="shared" ref="EA43:EB43" si="126">AVERAGE(EA37:EA42)</f>
        <v>0.25036589044077218</v>
      </c>
      <c r="EB43" s="72">
        <f t="shared" si="126"/>
        <v>0</v>
      </c>
      <c r="EC43" s="72">
        <f t="shared" ref="EC43" si="127">AVERAGE(EC37:EC42)</f>
        <v>1.0952408744185702</v>
      </c>
      <c r="ED43" s="72">
        <f t="shared" ref="ED43:EE43" si="128">AVERAGE(ED37:ED42)</f>
        <v>0.7809138492098322</v>
      </c>
      <c r="EE43" s="72">
        <f t="shared" si="128"/>
        <v>1.2824499964307161</v>
      </c>
      <c r="EF43" s="72">
        <f t="shared" ref="EF43" si="129">AVERAGE(EF37:EF42)</f>
        <v>1.1604865912303544</v>
      </c>
      <c r="EG43" s="72">
        <f t="shared" ref="EG43:EH43" si="130">AVERAGE(EG37:EG42)</f>
        <v>0.78802676507627423</v>
      </c>
      <c r="EH43" s="72">
        <f t="shared" si="130"/>
        <v>0.71025690379567186</v>
      </c>
      <c r="EI43" s="72">
        <f t="shared" ref="EI43" si="131">AVERAGE(EI37:EI42)</f>
        <v>0.26186953511980254</v>
      </c>
      <c r="EJ43" s="72">
        <f t="shared" ref="EJ43:EK43" si="132">AVERAGE(EJ37:EJ42)</f>
        <v>0.22253427038119436</v>
      </c>
      <c r="EK43" s="72">
        <f t="shared" si="132"/>
        <v>0</v>
      </c>
      <c r="EL43" s="72">
        <f t="shared" ref="EL43" si="133">AVERAGE(EL37:EL42)</f>
        <v>0.69026989084266699</v>
      </c>
      <c r="EM43" s="72">
        <f t="shared" ref="EM43:EN43" si="134">AVERAGE(EM37:EM42)</f>
        <v>0.21467176138628841</v>
      </c>
      <c r="EN43" s="72">
        <f t="shared" si="134"/>
        <v>0</v>
      </c>
      <c r="EO43" s="72">
        <f t="shared" ref="EO43" si="135">AVERAGE(EO37:EO42)</f>
        <v>0.73454682562282514</v>
      </c>
      <c r="EP43" s="72"/>
      <c r="EQ43" s="72">
        <f t="shared" ref="EQ43:ER43" si="136">AVERAGE(EQ37:EQ42)</f>
        <v>1.0950783011233056</v>
      </c>
      <c r="ER43" s="72">
        <f t="shared" si="136"/>
        <v>2.0303653515698001</v>
      </c>
      <c r="ES43" s="72">
        <f t="shared" ref="ES43" si="137">AVERAGE(ES37:ES42)</f>
        <v>0.79650526443276648</v>
      </c>
      <c r="ET43" s="72">
        <f t="shared" ref="ET43:EU43" si="138">AVERAGE(ET37:ET42)</f>
        <v>0.23838087682949918</v>
      </c>
      <c r="EU43" s="72">
        <f t="shared" si="138"/>
        <v>0.23528408934318579</v>
      </c>
      <c r="EV43" s="72">
        <v>0</v>
      </c>
      <c r="EW43" s="72">
        <f t="shared" ref="EW43:EX43" si="139">AVERAGE(EW37:EW42)</f>
        <v>0</v>
      </c>
      <c r="EX43" s="72">
        <f t="shared" si="139"/>
        <v>0.68578737328097705</v>
      </c>
      <c r="EY43" s="72">
        <f t="shared" ref="EY43" si="140">AVERAGE(EY37:EY42)</f>
        <v>1.2683202848666666</v>
      </c>
      <c r="EZ43" s="72">
        <f t="shared" ref="EZ43:FA43" si="141">AVERAGE(EZ37:EZ42)</f>
        <v>0.99516646480309812</v>
      </c>
      <c r="FA43" s="72">
        <f t="shared" si="141"/>
        <v>0</v>
      </c>
      <c r="FB43" s="72">
        <f t="shared" ref="FB43" si="142">AVERAGE(FB37:FB42)</f>
        <v>0.65437291595913727</v>
      </c>
      <c r="FC43" s="72">
        <f t="shared" ref="FC43:FD43" si="143">AVERAGE(FC37:FC42)</f>
        <v>0</v>
      </c>
      <c r="FD43" s="72">
        <f t="shared" si="143"/>
        <v>0.24958965961563009</v>
      </c>
      <c r="FE43" s="72">
        <f t="shared" ref="FE43" si="144">AVERAGE(FE37:FE42)</f>
        <v>1.8625695001311373</v>
      </c>
      <c r="FF43" s="72">
        <f t="shared" ref="FF43:FG43" si="145">AVERAGE(FF37:FF42)</f>
        <v>0.59555440438661911</v>
      </c>
      <c r="FG43" s="72">
        <f t="shared" si="145"/>
        <v>0.44259468585713863</v>
      </c>
      <c r="FH43" s="72">
        <f t="shared" ref="FH43" si="146">AVERAGE(FH37:FH42)</f>
        <v>0</v>
      </c>
      <c r="FI43" s="72">
        <f t="shared" ref="FI43" si="147">AVERAGE(FI37:FI42)</f>
        <v>0.25360093597553507</v>
      </c>
      <c r="FJ43" s="78"/>
      <c r="FK43" s="48"/>
      <c r="FL43" s="29"/>
    </row>
    <row r="44" spans="1:175">
      <c r="A44" s="73"/>
      <c r="B44" s="74" t="s">
        <v>165</v>
      </c>
      <c r="C44" s="72">
        <f>_xlfn.STDEV.S(C37:C42)</f>
        <v>0.2633694161842296</v>
      </c>
      <c r="D44" s="72">
        <f t="shared" ref="D44:F44" si="148">_xlfn.STDEV.S(D37:D42)</f>
        <v>0.2735013488076255</v>
      </c>
      <c r="E44" s="72">
        <f t="shared" si="148"/>
        <v>0.24030046021169876</v>
      </c>
      <c r="F44" s="72">
        <f t="shared" si="148"/>
        <v>0.22842703896854813</v>
      </c>
      <c r="G44" s="72">
        <f t="shared" ref="G44:BT44" si="149">_xlfn.STDEV.S(G37:G42)</f>
        <v>0.34759413066970035</v>
      </c>
      <c r="H44" s="72">
        <f t="shared" si="149"/>
        <v>0.24020354311382519</v>
      </c>
      <c r="I44" s="72">
        <f t="shared" si="149"/>
        <v>0.20982700587502931</v>
      </c>
      <c r="J44" s="72">
        <f t="shared" si="149"/>
        <v>6.7820199230020459E-2</v>
      </c>
      <c r="K44" s="72">
        <f t="shared" si="149"/>
        <v>9.2893073274709997E-2</v>
      </c>
      <c r="L44" s="72">
        <f t="shared" si="149"/>
        <v>0.5480299771354461</v>
      </c>
      <c r="M44" s="72">
        <f t="shared" si="149"/>
        <v>0.21439370850510497</v>
      </c>
      <c r="N44" s="72">
        <f t="shared" si="149"/>
        <v>0.18286096575121144</v>
      </c>
      <c r="O44" s="72">
        <f t="shared" si="149"/>
        <v>0.65426123997096897</v>
      </c>
      <c r="P44" s="72">
        <f t="shared" si="149"/>
        <v>0.19718604250466265</v>
      </c>
      <c r="Q44" s="72">
        <f t="shared" si="149"/>
        <v>0.8260232478972328</v>
      </c>
      <c r="R44" s="72">
        <f t="shared" si="149"/>
        <v>0.19213294314294449</v>
      </c>
      <c r="S44" s="72">
        <f t="shared" si="149"/>
        <v>0.31635034768093678</v>
      </c>
      <c r="T44" s="72">
        <f t="shared" si="149"/>
        <v>0.44443755993766271</v>
      </c>
      <c r="U44" s="72"/>
      <c r="V44" s="72">
        <f t="shared" si="149"/>
        <v>0.14214658617009907</v>
      </c>
      <c r="W44" s="72">
        <f t="shared" si="149"/>
        <v>0.11600319201838083</v>
      </c>
      <c r="X44" s="72">
        <f t="shared" si="149"/>
        <v>4.418246187037745E-2</v>
      </c>
      <c r="Y44" s="72">
        <f t="shared" si="149"/>
        <v>0.18168774407147292</v>
      </c>
      <c r="Z44" s="72">
        <f t="shared" si="149"/>
        <v>0.22759776117520378</v>
      </c>
      <c r="AA44" s="72">
        <f t="shared" si="149"/>
        <v>0.11259781236878655</v>
      </c>
      <c r="AB44" s="72">
        <f t="shared" si="149"/>
        <v>0.11360921394853608</v>
      </c>
      <c r="AC44" s="72">
        <f t="shared" si="149"/>
        <v>0.10773050684582701</v>
      </c>
      <c r="AD44" s="72">
        <f t="shared" si="149"/>
        <v>0.21632610108881825</v>
      </c>
      <c r="AE44" s="72">
        <f t="shared" si="149"/>
        <v>0.34197275150013673</v>
      </c>
      <c r="AF44" s="72">
        <f t="shared" si="149"/>
        <v>0.18108404682959228</v>
      </c>
      <c r="AG44" s="72">
        <f t="shared" si="149"/>
        <v>0.34004503876828718</v>
      </c>
      <c r="AH44" s="72">
        <f t="shared" si="149"/>
        <v>9.6165642217889716E-2</v>
      </c>
      <c r="AI44" s="72">
        <f t="shared" si="149"/>
        <v>0.26795603460319267</v>
      </c>
      <c r="AJ44" s="72">
        <f t="shared" si="149"/>
        <v>0.20845697466449187</v>
      </c>
      <c r="AK44" s="72">
        <f t="shared" si="149"/>
        <v>0.16518646137713561</v>
      </c>
      <c r="AL44" s="72">
        <f t="shared" si="149"/>
        <v>0.25067848085880723</v>
      </c>
      <c r="AM44" s="72">
        <f t="shared" si="149"/>
        <v>0.27000793394147254</v>
      </c>
      <c r="AN44" s="72">
        <f t="shared" si="149"/>
        <v>0.27638154694658046</v>
      </c>
      <c r="AO44" s="72">
        <f t="shared" si="149"/>
        <v>0.35208191646513887</v>
      </c>
      <c r="AP44" s="72">
        <f t="shared" si="149"/>
        <v>0.10977962070198945</v>
      </c>
      <c r="AQ44" s="72">
        <f t="shared" si="149"/>
        <v>7.7998609025682147E-2</v>
      </c>
      <c r="AR44" s="72">
        <f t="shared" si="149"/>
        <v>0.11914908944060254</v>
      </c>
      <c r="AS44" s="72">
        <f t="shared" si="149"/>
        <v>7.5230275355923248E-2</v>
      </c>
      <c r="AT44" s="72">
        <f t="shared" si="149"/>
        <v>0.17688127668305728</v>
      </c>
      <c r="AU44" s="72"/>
      <c r="AV44" s="72">
        <f t="shared" si="149"/>
        <v>0.30036936201442499</v>
      </c>
      <c r="AW44" s="72">
        <f t="shared" si="149"/>
        <v>0.74872894009138502</v>
      </c>
      <c r="AX44" s="72">
        <f t="shared" si="149"/>
        <v>0.40210715339065373</v>
      </c>
      <c r="AY44" s="72">
        <f t="shared" si="149"/>
        <v>0.20430912611296931</v>
      </c>
      <c r="AZ44" s="72">
        <f t="shared" si="149"/>
        <v>0.84849024768549641</v>
      </c>
      <c r="BA44" s="72">
        <f t="shared" si="149"/>
        <v>0.46049244216143875</v>
      </c>
      <c r="BB44" s="72">
        <f t="shared" si="149"/>
        <v>0.40180027186569678</v>
      </c>
      <c r="BC44" s="72">
        <f t="shared" si="149"/>
        <v>0.37705779819366686</v>
      </c>
      <c r="BD44" s="72">
        <f t="shared" si="149"/>
        <v>0.42539318326235065</v>
      </c>
      <c r="BE44" s="72">
        <f t="shared" si="149"/>
        <v>0.77655080169422697</v>
      </c>
      <c r="BF44" s="72">
        <f t="shared" si="149"/>
        <v>0.46870455429210722</v>
      </c>
      <c r="BG44" s="72">
        <f t="shared" si="149"/>
        <v>0.4600735879010116</v>
      </c>
      <c r="BH44" s="72">
        <f t="shared" si="149"/>
        <v>0.32408404254078271</v>
      </c>
      <c r="BI44" s="72">
        <f t="shared" si="149"/>
        <v>0.60403244942586876</v>
      </c>
      <c r="BJ44" s="72">
        <f t="shared" si="149"/>
        <v>0.3965307220527336</v>
      </c>
      <c r="BK44" s="72">
        <f t="shared" si="149"/>
        <v>0.34374129790349123</v>
      </c>
      <c r="BL44" s="72">
        <f t="shared" si="149"/>
        <v>0.39706022105441219</v>
      </c>
      <c r="BM44" s="72">
        <f t="shared" si="149"/>
        <v>0.41063803349057354</v>
      </c>
      <c r="BN44" s="72">
        <f t="shared" si="149"/>
        <v>0.41117770324825748</v>
      </c>
      <c r="BO44" s="72">
        <f t="shared" si="149"/>
        <v>0.81371454695912948</v>
      </c>
      <c r="BP44" s="72">
        <f t="shared" si="149"/>
        <v>0.25187017327085653</v>
      </c>
      <c r="BQ44" s="72">
        <f t="shared" si="149"/>
        <v>0.3891284075950891</v>
      </c>
      <c r="BR44" s="72">
        <f t="shared" si="149"/>
        <v>0.34935414654576796</v>
      </c>
      <c r="BS44" s="72">
        <f t="shared" si="149"/>
        <v>0.34364934465363928</v>
      </c>
      <c r="BT44" s="72">
        <f t="shared" si="149"/>
        <v>0.35894589239773989</v>
      </c>
      <c r="BU44" s="72">
        <f t="shared" ref="BU44:EG44" si="150">_xlfn.STDEV.S(BU37:BU42)</f>
        <v>0.37445837080760708</v>
      </c>
      <c r="BV44" s="72">
        <f t="shared" si="150"/>
        <v>0.32483858682958466</v>
      </c>
      <c r="BW44" s="72">
        <f t="shared" si="150"/>
        <v>0.49714420309058616</v>
      </c>
      <c r="BX44" s="72">
        <f t="shared" si="150"/>
        <v>0.36421785382967259</v>
      </c>
      <c r="BY44" s="72">
        <f t="shared" si="150"/>
        <v>0.34612803057232866</v>
      </c>
      <c r="BZ44" s="72">
        <f t="shared" si="150"/>
        <v>0.41422774377507027</v>
      </c>
      <c r="CA44" s="72">
        <f t="shared" si="150"/>
        <v>0.31055717530876442</v>
      </c>
      <c r="CB44" s="72">
        <f t="shared" si="150"/>
        <v>0.2826289448239937</v>
      </c>
      <c r="CC44" s="72">
        <f t="shared" si="150"/>
        <v>0.52104183246282609</v>
      </c>
      <c r="CD44" s="72">
        <f t="shared" si="150"/>
        <v>0.45557196356739216</v>
      </c>
      <c r="CE44" s="72">
        <f t="shared" si="150"/>
        <v>0.41070596155368028</v>
      </c>
      <c r="CF44" s="72">
        <f t="shared" si="150"/>
        <v>0.30941144336657173</v>
      </c>
      <c r="CG44" s="72">
        <f t="shared" si="150"/>
        <v>9.830251914017904E-2</v>
      </c>
      <c r="CH44" s="72">
        <f t="shared" si="150"/>
        <v>0.24605235337910797</v>
      </c>
      <c r="CI44" s="72">
        <f t="shared" si="150"/>
        <v>0.80345565967480514</v>
      </c>
      <c r="CJ44" s="72">
        <f t="shared" si="150"/>
        <v>0</v>
      </c>
      <c r="CK44" s="72">
        <f t="shared" si="150"/>
        <v>0.85427879267480078</v>
      </c>
      <c r="CL44" s="72">
        <f t="shared" si="150"/>
        <v>0.58203676615698774</v>
      </c>
      <c r="CM44" s="72">
        <f t="shared" si="150"/>
        <v>0.34328195725466748</v>
      </c>
      <c r="CN44" s="72">
        <f t="shared" si="150"/>
        <v>0.85426629011531041</v>
      </c>
      <c r="CO44" s="72">
        <f t="shared" si="150"/>
        <v>0.64348752952894617</v>
      </c>
      <c r="CP44" s="72"/>
      <c r="CQ44" s="72">
        <f t="shared" si="150"/>
        <v>0.54921859750480151</v>
      </c>
      <c r="CR44" s="72">
        <f t="shared" si="150"/>
        <v>0</v>
      </c>
      <c r="CS44" s="72">
        <f t="shared" si="150"/>
        <v>0.68534233754906093</v>
      </c>
      <c r="CT44" s="72">
        <f t="shared" si="150"/>
        <v>0.65105829129183324</v>
      </c>
      <c r="CU44" s="72">
        <f t="shared" si="150"/>
        <v>0.5247445696459424</v>
      </c>
      <c r="CV44" s="72">
        <f t="shared" si="150"/>
        <v>0.61018397868609653</v>
      </c>
      <c r="CW44" s="72">
        <f t="shared" si="150"/>
        <v>0.44806616975555646</v>
      </c>
      <c r="CX44" s="72">
        <f t="shared" si="150"/>
        <v>0.384394487547979</v>
      </c>
      <c r="CY44" s="72">
        <f t="shared" si="150"/>
        <v>0.59508915137138296</v>
      </c>
      <c r="CZ44" s="72">
        <f t="shared" si="150"/>
        <v>0.13278518584313712</v>
      </c>
      <c r="DA44" s="72">
        <f t="shared" si="150"/>
        <v>0.72848877431170322</v>
      </c>
      <c r="DB44" s="72">
        <f t="shared" si="150"/>
        <v>0.77938610703686784</v>
      </c>
      <c r="DC44" s="72">
        <f t="shared" si="150"/>
        <v>0.54896242234024717</v>
      </c>
      <c r="DD44" s="72">
        <f t="shared" si="150"/>
        <v>0.77866170196586593</v>
      </c>
      <c r="DE44" s="72">
        <f t="shared" si="150"/>
        <v>0.39619111858013589</v>
      </c>
      <c r="DF44" s="72">
        <f t="shared" si="150"/>
        <v>0.24259833373906753</v>
      </c>
      <c r="DG44" s="72">
        <f t="shared" si="150"/>
        <v>0.88867735848828577</v>
      </c>
      <c r="DH44" s="72">
        <f t="shared" si="150"/>
        <v>0</v>
      </c>
      <c r="DI44" s="72">
        <f t="shared" si="150"/>
        <v>0</v>
      </c>
      <c r="DJ44" s="72">
        <f t="shared" si="150"/>
        <v>0.67163057186651942</v>
      </c>
      <c r="DK44" s="72">
        <f t="shared" si="150"/>
        <v>0.79544105045372993</v>
      </c>
      <c r="DL44" s="72">
        <f t="shared" si="150"/>
        <v>0.59199867531034778</v>
      </c>
      <c r="DM44" s="72">
        <f t="shared" si="150"/>
        <v>0.18976852318202361</v>
      </c>
      <c r="DN44" s="72">
        <f t="shared" si="150"/>
        <v>0.92636123315764973</v>
      </c>
      <c r="DO44" s="72">
        <f t="shared" si="150"/>
        <v>0.41461076301885608</v>
      </c>
      <c r="DP44" s="72">
        <f t="shared" si="150"/>
        <v>0.29994763829737542</v>
      </c>
      <c r="DQ44" s="72">
        <f t="shared" si="150"/>
        <v>0.88253478322041501</v>
      </c>
      <c r="DR44" s="72">
        <f t="shared" si="150"/>
        <v>0.37776432374439534</v>
      </c>
      <c r="DS44" s="72">
        <f t="shared" si="150"/>
        <v>0.66439809472260847</v>
      </c>
      <c r="DT44" s="72">
        <f t="shared" si="150"/>
        <v>0.53144260509515961</v>
      </c>
      <c r="DU44" s="72">
        <f t="shared" si="150"/>
        <v>0.75097469828583163</v>
      </c>
      <c r="DV44" s="72">
        <f t="shared" si="150"/>
        <v>0.5579632127569365</v>
      </c>
      <c r="DW44" s="72">
        <f t="shared" si="150"/>
        <v>0</v>
      </c>
      <c r="DX44" s="72">
        <f t="shared" si="150"/>
        <v>0.69417290425581013</v>
      </c>
      <c r="DY44" s="72">
        <f t="shared" si="150"/>
        <v>0.8958425020726325</v>
      </c>
      <c r="DZ44" s="72">
        <f t="shared" si="150"/>
        <v>0.7772624448006844</v>
      </c>
      <c r="EA44" s="72">
        <f t="shared" si="150"/>
        <v>0.61326868057744832</v>
      </c>
      <c r="EB44" s="72">
        <f t="shared" si="150"/>
        <v>0</v>
      </c>
      <c r="EC44" s="72">
        <f t="shared" si="150"/>
        <v>0.5465804109710618</v>
      </c>
      <c r="ED44" s="72">
        <f t="shared" si="150"/>
        <v>0.89522689165545855</v>
      </c>
      <c r="EE44" s="72">
        <f t="shared" si="150"/>
        <v>0.65292708876362404</v>
      </c>
      <c r="EF44" s="72">
        <f t="shared" si="150"/>
        <v>0.95122880388229947</v>
      </c>
      <c r="EG44" s="72">
        <f t="shared" si="150"/>
        <v>0.93050310086721455</v>
      </c>
      <c r="EH44" s="72">
        <f t="shared" ref="EH44:FI44" si="151">_xlfn.STDEV.S(EH37:EH42)</f>
        <v>0.78010482431187189</v>
      </c>
      <c r="EI44" s="72">
        <f t="shared" si="151"/>
        <v>0.64144674022335557</v>
      </c>
      <c r="EJ44" s="72">
        <f t="shared" si="151"/>
        <v>0.54509541271647399</v>
      </c>
      <c r="EK44" s="72">
        <f t="shared" si="151"/>
        <v>0</v>
      </c>
      <c r="EL44" s="72">
        <f t="shared" si="151"/>
        <v>0.76295827735474764</v>
      </c>
      <c r="EM44" s="72">
        <f t="shared" si="151"/>
        <v>0.52583627758091134</v>
      </c>
      <c r="EN44" s="72">
        <f t="shared" si="151"/>
        <v>0</v>
      </c>
      <c r="EO44" s="72">
        <f t="shared" si="151"/>
        <v>0.80714382444302146</v>
      </c>
      <c r="EP44" s="72"/>
      <c r="EQ44" s="72">
        <f t="shared" si="151"/>
        <v>0.93108211338983193</v>
      </c>
      <c r="ER44" s="72">
        <f t="shared" si="151"/>
        <v>0.36202057775816837</v>
      </c>
      <c r="ES44" s="72">
        <f t="shared" si="151"/>
        <v>0.88747276418221344</v>
      </c>
      <c r="ET44" s="72">
        <f t="shared" si="151"/>
        <v>0.58391151266951846</v>
      </c>
      <c r="EU44" s="72">
        <f t="shared" si="151"/>
        <v>0.57632596348621445</v>
      </c>
      <c r="EV44" s="72">
        <f t="shared" si="151"/>
        <v>0.52989507225992327</v>
      </c>
      <c r="EW44" s="72">
        <f t="shared" si="151"/>
        <v>0</v>
      </c>
      <c r="EX44" s="72">
        <f t="shared" si="151"/>
        <v>0.77567384087930491</v>
      </c>
      <c r="EY44" s="72">
        <f t="shared" si="151"/>
        <v>1.0317541749922523</v>
      </c>
      <c r="EZ44" s="72">
        <f t="shared" si="151"/>
        <v>0.85185808303936694</v>
      </c>
      <c r="FA44" s="72">
        <f t="shared" si="151"/>
        <v>0</v>
      </c>
      <c r="FB44" s="72">
        <f t="shared" si="151"/>
        <v>0.72116397941155064</v>
      </c>
      <c r="FC44" s="72">
        <f t="shared" si="151"/>
        <v>0</v>
      </c>
      <c r="FD44" s="72">
        <f t="shared" si="151"/>
        <v>0.61136731113323073</v>
      </c>
      <c r="FE44" s="72">
        <f t="shared" si="151"/>
        <v>0.384394487547979</v>
      </c>
      <c r="FF44" s="72">
        <f t="shared" si="151"/>
        <v>0.65518110867467849</v>
      </c>
      <c r="FG44" s="72">
        <f t="shared" si="151"/>
        <v>0.68640098446016518</v>
      </c>
      <c r="FH44" s="72">
        <f t="shared" si="151"/>
        <v>0</v>
      </c>
      <c r="FI44" s="72">
        <f t="shared" si="151"/>
        <v>0.62119289143228662</v>
      </c>
      <c r="FJ44" s="78"/>
      <c r="FK44" s="48"/>
      <c r="FL44" s="29"/>
    </row>
    <row r="45" spans="1:17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3"/>
      <c r="BU45" s="73"/>
      <c r="BV45" s="73"/>
      <c r="BW45" s="73"/>
      <c r="BX45" s="73"/>
      <c r="BY45" s="73"/>
      <c r="BZ45" s="73"/>
      <c r="CA45" s="73"/>
      <c r="CB45" s="73"/>
      <c r="CC45" s="73"/>
      <c r="CD45" s="73"/>
      <c r="CE45" s="73"/>
      <c r="CF45" s="73"/>
      <c r="CG45" s="73"/>
      <c r="CH45" s="73"/>
      <c r="CI45" s="73"/>
      <c r="CJ45" s="73"/>
      <c r="CK45" s="73"/>
      <c r="CL45" s="73"/>
      <c r="CM45" s="73"/>
      <c r="CN45" s="73"/>
      <c r="CO45" s="73"/>
      <c r="CP45" s="73"/>
      <c r="CQ45" s="73"/>
      <c r="CR45" s="73"/>
      <c r="CS45" s="73"/>
      <c r="CT45" s="73"/>
      <c r="CU45" s="73"/>
      <c r="CV45" s="73"/>
      <c r="CW45" s="73"/>
      <c r="CX45" s="73"/>
      <c r="CY45" s="73"/>
      <c r="CZ45" s="73"/>
      <c r="DA45" s="73"/>
      <c r="DB45" s="73"/>
      <c r="DC45" s="73"/>
      <c r="DD45" s="73"/>
      <c r="DE45" s="73"/>
      <c r="DF45" s="73"/>
      <c r="DG45" s="73"/>
      <c r="DH45" s="73"/>
      <c r="DI45" s="73"/>
      <c r="DJ45" s="73"/>
      <c r="DK45" s="73"/>
      <c r="DL45" s="73"/>
      <c r="DM45" s="73"/>
      <c r="DN45" s="73"/>
      <c r="DO45" s="73"/>
      <c r="DP45" s="73"/>
      <c r="DQ45" s="73"/>
      <c r="DR45" s="73"/>
      <c r="DS45" s="73"/>
      <c r="DT45" s="73"/>
      <c r="DU45" s="73"/>
      <c r="DV45" s="73"/>
      <c r="DW45" s="73"/>
      <c r="DX45" s="73"/>
      <c r="DY45" s="73"/>
      <c r="DZ45" s="73"/>
      <c r="EA45" s="73"/>
      <c r="EB45" s="73"/>
      <c r="EC45" s="73"/>
      <c r="ED45" s="73"/>
      <c r="EE45" s="73"/>
      <c r="EF45" s="73"/>
      <c r="EG45" s="73"/>
      <c r="EH45" s="73"/>
      <c r="EI45" s="73"/>
      <c r="EJ45" s="73"/>
      <c r="EK45" s="73"/>
      <c r="EL45" s="73"/>
      <c r="EM45" s="73"/>
      <c r="EN45" s="73"/>
      <c r="EO45" s="73"/>
      <c r="EP45" s="73"/>
      <c r="EQ45" s="73"/>
      <c r="ER45" s="73"/>
      <c r="ES45" s="73"/>
      <c r="ET45" s="73"/>
      <c r="EU45" s="73"/>
      <c r="EV45" s="73"/>
      <c r="EW45" s="73"/>
      <c r="EX45" s="73"/>
      <c r="EY45" s="73"/>
      <c r="EZ45" s="73"/>
      <c r="FA45" s="73"/>
      <c r="FB45" s="73"/>
      <c r="FC45" s="73"/>
      <c r="FD45" s="73"/>
      <c r="FE45" s="73"/>
      <c r="FF45" s="73"/>
      <c r="FG45" s="73"/>
      <c r="FH45" s="73"/>
      <c r="FI45" s="73"/>
      <c r="FJ45" s="78"/>
      <c r="FK45" s="48"/>
      <c r="FL45" s="29"/>
    </row>
    <row r="46" spans="1:175">
      <c r="A46" s="159" t="s">
        <v>174</v>
      </c>
      <c r="B46" s="76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73"/>
      <c r="BY46" s="73"/>
      <c r="BZ46" s="73"/>
      <c r="CA46" s="73"/>
      <c r="CB46" s="73"/>
      <c r="CC46" s="73"/>
      <c r="CD46" s="73"/>
      <c r="CE46" s="73"/>
      <c r="CF46" s="73"/>
      <c r="CG46" s="73"/>
      <c r="CH46" s="73"/>
      <c r="CI46" s="73"/>
      <c r="CJ46" s="73"/>
      <c r="CK46" s="73"/>
      <c r="CL46" s="73"/>
      <c r="CM46" s="73"/>
      <c r="CN46" s="73"/>
      <c r="CO46" s="73"/>
      <c r="CP46" s="73"/>
      <c r="CQ46" s="73"/>
      <c r="CR46" s="73"/>
      <c r="CS46" s="73"/>
      <c r="CT46" s="73"/>
      <c r="CU46" s="73"/>
      <c r="CV46" s="73"/>
      <c r="CW46" s="73"/>
      <c r="CX46" s="73"/>
      <c r="CY46" s="73"/>
      <c r="CZ46" s="73"/>
      <c r="DA46" s="73"/>
      <c r="DB46" s="73"/>
      <c r="DC46" s="73"/>
      <c r="DD46" s="73"/>
      <c r="DE46" s="73"/>
      <c r="DF46" s="73"/>
      <c r="DG46" s="73"/>
      <c r="DH46" s="73"/>
      <c r="DI46" s="73"/>
      <c r="DJ46" s="73"/>
      <c r="DK46" s="73"/>
      <c r="DL46" s="73"/>
      <c r="DM46" s="73"/>
      <c r="DN46" s="73"/>
      <c r="DO46" s="73"/>
      <c r="DP46" s="73"/>
      <c r="DQ46" s="73"/>
      <c r="DR46" s="73"/>
      <c r="DS46" s="73"/>
      <c r="DT46" s="73"/>
      <c r="DU46" s="73"/>
      <c r="DV46" s="73"/>
      <c r="DW46" s="73"/>
      <c r="DX46" s="73"/>
      <c r="DY46" s="73"/>
      <c r="DZ46" s="73"/>
      <c r="EA46" s="73"/>
      <c r="EB46" s="73"/>
      <c r="EC46" s="73"/>
      <c r="ED46" s="73"/>
      <c r="EE46" s="73"/>
      <c r="EF46" s="73"/>
      <c r="EG46" s="73"/>
      <c r="EH46" s="73"/>
      <c r="EI46" s="73"/>
      <c r="EJ46" s="73"/>
      <c r="EK46" s="73"/>
      <c r="EL46" s="73"/>
      <c r="EM46" s="73"/>
      <c r="EN46" s="73"/>
      <c r="EO46" s="73"/>
      <c r="EP46" s="73"/>
      <c r="EQ46" s="73"/>
      <c r="ER46" s="73"/>
      <c r="ES46" s="73"/>
      <c r="ET46" s="73"/>
      <c r="EU46" s="73"/>
      <c r="EV46" s="73"/>
      <c r="EW46" s="73"/>
      <c r="EX46" s="73"/>
      <c r="EY46" s="73"/>
      <c r="EZ46" s="73"/>
      <c r="FA46" s="73"/>
      <c r="FB46" s="73"/>
      <c r="FC46" s="73"/>
      <c r="FD46" s="73"/>
      <c r="FE46" s="73"/>
      <c r="FF46" s="73"/>
      <c r="FG46" s="73"/>
      <c r="FH46" s="73"/>
      <c r="FI46" s="73"/>
      <c r="FJ46" s="78"/>
      <c r="FK46" s="48"/>
      <c r="FL46" s="29"/>
    </row>
    <row r="47" spans="1:175">
      <c r="A47" s="71" t="s">
        <v>238</v>
      </c>
      <c r="B47" s="96" t="s">
        <v>163</v>
      </c>
      <c r="C47" s="29">
        <f>LOG(C18)</f>
        <v>2.8855387167392728</v>
      </c>
      <c r="D47" s="29">
        <f t="shared" ref="D47:BQ47" si="152">LOG(D18)</f>
        <v>1.9717942448874353</v>
      </c>
      <c r="E47" s="29">
        <f t="shared" si="152"/>
        <v>3.6875683862852697</v>
      </c>
      <c r="F47" s="29">
        <f t="shared" si="152"/>
        <v>3.3892578470656809</v>
      </c>
      <c r="G47" s="29">
        <f t="shared" si="152"/>
        <v>2.3692533739764099</v>
      </c>
      <c r="H47" s="29">
        <f t="shared" si="152"/>
        <v>1.9902137594443603</v>
      </c>
      <c r="I47" s="29">
        <f t="shared" si="152"/>
        <v>2.4305256309990404</v>
      </c>
      <c r="J47" s="29">
        <f t="shared" si="152"/>
        <v>3.9237672397997301</v>
      </c>
      <c r="K47" s="29">
        <f t="shared" si="152"/>
        <v>3.5821868347228643</v>
      </c>
      <c r="L47" s="29">
        <f t="shared" si="152"/>
        <v>2.2086182575959632</v>
      </c>
      <c r="M47" s="29">
        <f t="shared" si="152"/>
        <v>2.2293150726409876</v>
      </c>
      <c r="N47" s="29">
        <f t="shared" si="152"/>
        <v>2.2605317589944716</v>
      </c>
      <c r="O47" s="29">
        <f t="shared" si="152"/>
        <v>1.5647089617749061</v>
      </c>
      <c r="P47" s="29">
        <f t="shared" si="152"/>
        <v>1.5782259980871693</v>
      </c>
      <c r="Q47" s="29">
        <f t="shared" si="152"/>
        <v>1.7811448242226913</v>
      </c>
      <c r="R47" s="29">
        <f t="shared" si="152"/>
        <v>1.7128560853979415</v>
      </c>
      <c r="S47" s="29">
        <f t="shared" si="152"/>
        <v>2.3003617671465433</v>
      </c>
      <c r="T47" s="29">
        <f t="shared" si="152"/>
        <v>2.6895102157139941</v>
      </c>
      <c r="U47" s="48">
        <f>MEDIAN(C47:T47)</f>
        <v>2.2804467630705076</v>
      </c>
      <c r="V47" s="29">
        <f t="shared" si="152"/>
        <v>4.5779734706147481</v>
      </c>
      <c r="W47" s="29">
        <f t="shared" si="152"/>
        <v>4.7375977853970221</v>
      </c>
      <c r="X47" s="29">
        <f t="shared" si="152"/>
        <v>4.8183983106407355</v>
      </c>
      <c r="Y47" s="29">
        <f t="shared" si="152"/>
        <v>1.7787054424970494</v>
      </c>
      <c r="Z47" s="29">
        <f t="shared" si="152"/>
        <v>2.7787033367965193</v>
      </c>
      <c r="AA47" s="29">
        <f t="shared" si="152"/>
        <v>5.1703740268426568</v>
      </c>
      <c r="AB47" s="29">
        <f t="shared" si="152"/>
        <v>4.0337252698670536</v>
      </c>
      <c r="AC47" s="29">
        <f t="shared" si="152"/>
        <v>4.9742102527177785</v>
      </c>
      <c r="AD47" s="29">
        <f t="shared" si="152"/>
        <v>3.2586061012220271</v>
      </c>
      <c r="AE47" s="29">
        <f t="shared" si="152"/>
        <v>4.2318994413107101</v>
      </c>
      <c r="AF47" s="29">
        <f t="shared" si="152"/>
        <v>4.2769396059490061</v>
      </c>
      <c r="AG47" s="29">
        <f t="shared" si="152"/>
        <v>3.1620419525583507</v>
      </c>
      <c r="AH47" s="29">
        <f t="shared" si="152"/>
        <v>3.4366595325652569</v>
      </c>
      <c r="AI47" s="29">
        <f t="shared" si="152"/>
        <v>2.4724872305053629</v>
      </c>
      <c r="AJ47" s="29">
        <f t="shared" si="152"/>
        <v>2.5940065303085618</v>
      </c>
      <c r="AK47" s="29">
        <f t="shared" si="152"/>
        <v>2.4875522958586922</v>
      </c>
      <c r="AL47" s="29">
        <f t="shared" si="152"/>
        <v>1.424898719072621</v>
      </c>
      <c r="AM47" s="29">
        <f t="shared" si="152"/>
        <v>2.6819805377687813</v>
      </c>
      <c r="AN47" s="29">
        <f t="shared" si="152"/>
        <v>2.5663811681294924</v>
      </c>
      <c r="AO47" s="29">
        <f t="shared" si="152"/>
        <v>1.4272512297354656</v>
      </c>
      <c r="AP47" s="29">
        <f t="shared" si="152"/>
        <v>2.9340518424723903</v>
      </c>
      <c r="AQ47" s="29">
        <f t="shared" si="152"/>
        <v>2.9464809336966713</v>
      </c>
      <c r="AR47" s="29">
        <f t="shared" si="152"/>
        <v>3.3406393523877429</v>
      </c>
      <c r="AS47" s="29">
        <f t="shared" si="152"/>
        <v>4.1326482249555125</v>
      </c>
      <c r="AT47" s="29">
        <f t="shared" si="152"/>
        <v>1.8040248814378708</v>
      </c>
      <c r="AU47" s="48">
        <f>MEDIAN(V47:AT47)</f>
        <v>3.1620419525583507</v>
      </c>
      <c r="AV47" s="29">
        <f t="shared" si="152"/>
        <v>0</v>
      </c>
      <c r="AW47" s="29">
        <f t="shared" si="152"/>
        <v>1.7899415728845922</v>
      </c>
      <c r="AX47" s="29">
        <f t="shared" si="152"/>
        <v>1.5594076302318698</v>
      </c>
      <c r="AY47" s="29">
        <f t="shared" si="152"/>
        <v>0</v>
      </c>
      <c r="AZ47" s="29">
        <f t="shared" si="152"/>
        <v>1.1472595018043747</v>
      </c>
      <c r="BA47" s="29">
        <f t="shared" si="152"/>
        <v>0</v>
      </c>
      <c r="BB47" s="29">
        <f t="shared" si="152"/>
        <v>2.1434808902881053</v>
      </c>
      <c r="BC47" s="29">
        <f t="shared" si="152"/>
        <v>1.7513494691501121</v>
      </c>
      <c r="BD47" s="29">
        <f t="shared" si="152"/>
        <v>0</v>
      </c>
      <c r="BE47" s="29">
        <f t="shared" si="152"/>
        <v>0</v>
      </c>
      <c r="BF47" s="29">
        <f t="shared" si="152"/>
        <v>2.3174940243335325</v>
      </c>
      <c r="BG47" s="29">
        <f t="shared" si="152"/>
        <v>1.8049215777461853</v>
      </c>
      <c r="BH47" s="29">
        <f t="shared" si="152"/>
        <v>1.5853582316303014</v>
      </c>
      <c r="BI47" s="29">
        <f t="shared" si="152"/>
        <v>1.6706030958894529</v>
      </c>
      <c r="BJ47" s="29">
        <f t="shared" si="152"/>
        <v>3.256094502443533</v>
      </c>
      <c r="BK47" s="29">
        <f t="shared" si="152"/>
        <v>2.4830507534096045</v>
      </c>
      <c r="BL47" s="29">
        <f t="shared" si="152"/>
        <v>1.5373494067540916</v>
      </c>
      <c r="BM47" s="29">
        <f t="shared" si="152"/>
        <v>1.9689478148024908</v>
      </c>
      <c r="BN47" s="29">
        <f t="shared" si="152"/>
        <v>1.413403992952156</v>
      </c>
      <c r="BO47" s="29">
        <f t="shared" si="152"/>
        <v>2.198739578081748</v>
      </c>
      <c r="BP47" s="29">
        <f t="shared" si="152"/>
        <v>0</v>
      </c>
      <c r="BQ47" s="29">
        <f t="shared" si="152"/>
        <v>3.4602588081496091</v>
      </c>
      <c r="BR47" s="29">
        <f t="shared" ref="BR47:ED47" si="153">LOG(BR18)</f>
        <v>0</v>
      </c>
      <c r="BS47" s="29">
        <f t="shared" si="153"/>
        <v>0</v>
      </c>
      <c r="BT47" s="29">
        <f t="shared" si="153"/>
        <v>0</v>
      </c>
      <c r="BU47" s="29">
        <f t="shared" si="153"/>
        <v>0</v>
      </c>
      <c r="BV47" s="29">
        <f t="shared" si="153"/>
        <v>2.4422277434559523</v>
      </c>
      <c r="BW47" s="29">
        <f t="shared" si="153"/>
        <v>1.9829490076418508</v>
      </c>
      <c r="BX47" s="29">
        <f t="shared" si="153"/>
        <v>2.2518384561373646</v>
      </c>
      <c r="BY47" s="29">
        <f t="shared" si="153"/>
        <v>2.7544779256372007</v>
      </c>
      <c r="BZ47" s="29">
        <f t="shared" si="153"/>
        <v>1.5037785203433887</v>
      </c>
      <c r="CA47" s="29">
        <f t="shared" si="153"/>
        <v>1.5076840965180569</v>
      </c>
      <c r="CB47" s="29">
        <f t="shared" si="153"/>
        <v>1.2687501302370785</v>
      </c>
      <c r="CC47" s="29">
        <f t="shared" si="153"/>
        <v>0</v>
      </c>
      <c r="CD47" s="29">
        <f t="shared" si="153"/>
        <v>2.2148891926545144</v>
      </c>
      <c r="CE47" s="29">
        <f t="shared" si="153"/>
        <v>1.8211694112843722</v>
      </c>
      <c r="CF47" s="29">
        <f t="shared" si="153"/>
        <v>2.0208899280993227</v>
      </c>
      <c r="CG47" s="29">
        <f t="shared" si="153"/>
        <v>1.8410278785092493</v>
      </c>
      <c r="CH47" s="29">
        <f t="shared" si="153"/>
        <v>2.2923512207538592</v>
      </c>
      <c r="CI47" s="29">
        <v>0</v>
      </c>
      <c r="CJ47" s="29">
        <v>0</v>
      </c>
      <c r="CK47" s="29">
        <v>0</v>
      </c>
      <c r="CL47" s="29">
        <v>0</v>
      </c>
      <c r="CM47" s="29">
        <v>0</v>
      </c>
      <c r="CN47" s="29">
        <v>0</v>
      </c>
      <c r="CO47" s="29">
        <f t="shared" si="153"/>
        <v>1.7149106070323286</v>
      </c>
      <c r="CP47" s="48">
        <f>MEDIAN(AV47:CO47)</f>
        <v>1.5483785184929806</v>
      </c>
      <c r="CQ47" s="29">
        <v>0</v>
      </c>
      <c r="CR47" s="29">
        <v>0</v>
      </c>
      <c r="CS47" s="29">
        <v>0</v>
      </c>
      <c r="CT47" s="29">
        <f t="shared" si="153"/>
        <v>1.2030193994140121</v>
      </c>
      <c r="CU47" s="29">
        <v>0</v>
      </c>
      <c r="CV47" s="29">
        <v>0</v>
      </c>
      <c r="CW47" s="29">
        <v>0</v>
      </c>
      <c r="CX47" s="29">
        <f t="shared" si="153"/>
        <v>1.6980958095973726</v>
      </c>
      <c r="CY47" s="29">
        <v>0</v>
      </c>
      <c r="CZ47" s="29">
        <v>0</v>
      </c>
      <c r="DA47" s="29">
        <f t="shared" si="153"/>
        <v>1.333669346127925</v>
      </c>
      <c r="DB47" s="29">
        <f t="shared" si="153"/>
        <v>2.0073789445726398</v>
      </c>
      <c r="DC47" s="29">
        <f t="shared" si="153"/>
        <v>1.1795156903888708</v>
      </c>
      <c r="DD47" s="29">
        <f t="shared" si="153"/>
        <v>1.6152330234119843</v>
      </c>
      <c r="DE47" s="29">
        <f t="shared" si="153"/>
        <v>2.2380628601910879</v>
      </c>
      <c r="DF47" s="29">
        <f t="shared" si="153"/>
        <v>2.2666520005632962</v>
      </c>
      <c r="DG47" s="29">
        <v>0</v>
      </c>
      <c r="DH47" s="29">
        <v>0</v>
      </c>
      <c r="DI47" s="29">
        <v>0</v>
      </c>
      <c r="DJ47" s="29">
        <f t="shared" si="153"/>
        <v>1.169793154160139</v>
      </c>
      <c r="DK47" s="29">
        <f t="shared" si="153"/>
        <v>1.5936528224384805</v>
      </c>
      <c r="DL47" s="29">
        <f t="shared" si="153"/>
        <v>1.8930339844287165</v>
      </c>
      <c r="DM47" s="29">
        <f t="shared" si="153"/>
        <v>1.6127807287092251</v>
      </c>
      <c r="DN47" s="29">
        <f t="shared" si="153"/>
        <v>1.3691663865522374</v>
      </c>
      <c r="DO47" s="29">
        <f t="shared" si="153"/>
        <v>2.2056565222791717</v>
      </c>
      <c r="DP47" s="29">
        <f t="shared" si="153"/>
        <v>2.3399889115482932</v>
      </c>
      <c r="DQ47" s="29">
        <f t="shared" si="153"/>
        <v>2.1258719274523479</v>
      </c>
      <c r="DR47" s="29">
        <f t="shared" si="153"/>
        <v>1.6495921917158951</v>
      </c>
      <c r="DS47" s="29">
        <v>0</v>
      </c>
      <c r="DT47" s="29">
        <v>0</v>
      </c>
      <c r="DU47" s="29">
        <v>0</v>
      </c>
      <c r="DV47" s="29">
        <v>0</v>
      </c>
      <c r="DW47" s="29">
        <v>0</v>
      </c>
      <c r="DX47" s="29">
        <f t="shared" si="153"/>
        <v>1.2655711136229351</v>
      </c>
      <c r="DY47" s="29">
        <f t="shared" si="153"/>
        <v>1.3214536651388029</v>
      </c>
      <c r="DZ47" s="29">
        <f t="shared" si="153"/>
        <v>1.2224911080804477</v>
      </c>
      <c r="EA47" s="29">
        <v>0</v>
      </c>
      <c r="EB47" s="29">
        <v>0</v>
      </c>
      <c r="EC47" s="29">
        <v>0</v>
      </c>
      <c r="ED47" s="29">
        <f t="shared" si="153"/>
        <v>1.5612969360650435</v>
      </c>
      <c r="EE47" s="29">
        <f t="shared" ref="EE47:FE47" si="154">LOG(EE18)</f>
        <v>1.4720372030546507</v>
      </c>
      <c r="EF47" s="29">
        <f t="shared" si="154"/>
        <v>1.9675337129086681</v>
      </c>
      <c r="EG47" s="29">
        <v>0</v>
      </c>
      <c r="EH47" s="29">
        <v>0</v>
      </c>
      <c r="EI47" s="29">
        <f t="shared" si="154"/>
        <v>1.2762515176940501</v>
      </c>
      <c r="EJ47" s="29">
        <v>0</v>
      </c>
      <c r="EK47" s="29">
        <v>0</v>
      </c>
      <c r="EL47" s="29">
        <v>0</v>
      </c>
      <c r="EM47" s="29">
        <v>0</v>
      </c>
      <c r="EN47" s="29">
        <f t="shared" si="154"/>
        <v>1.3346788123818567</v>
      </c>
      <c r="EO47" s="29">
        <f t="shared" si="154"/>
        <v>1.4539405174766056</v>
      </c>
      <c r="EP47" s="48">
        <f>MEDIAN(AV47:EO47)</f>
        <v>1.2725008239655642</v>
      </c>
      <c r="EQ47" s="29">
        <v>0</v>
      </c>
      <c r="ER47" s="29">
        <f t="shared" si="154"/>
        <v>2.0404424753404959</v>
      </c>
      <c r="ES47" s="29">
        <v>0</v>
      </c>
      <c r="ET47" s="29">
        <v>0</v>
      </c>
      <c r="EU47" s="29">
        <v>0</v>
      </c>
      <c r="EV47" s="29">
        <v>0</v>
      </c>
      <c r="EW47" s="29">
        <v>0</v>
      </c>
      <c r="EX47" s="29">
        <f t="shared" si="154"/>
        <v>1.2059981400493871</v>
      </c>
      <c r="EY47" s="29">
        <f t="shared" si="154"/>
        <v>1.4992770418089554</v>
      </c>
      <c r="EZ47" s="29">
        <v>0</v>
      </c>
      <c r="FA47" s="29">
        <v>0</v>
      </c>
      <c r="FB47" s="29">
        <v>0</v>
      </c>
      <c r="FC47" s="29">
        <v>0</v>
      </c>
      <c r="FD47" s="29">
        <v>0</v>
      </c>
      <c r="FE47" s="29">
        <f t="shared" si="154"/>
        <v>1.6980958095973726</v>
      </c>
      <c r="FF47" s="29">
        <v>0</v>
      </c>
      <c r="FG47" s="29">
        <v>0</v>
      </c>
      <c r="FH47" s="29">
        <v>0</v>
      </c>
      <c r="FI47" s="29">
        <v>0</v>
      </c>
      <c r="FJ47" s="78">
        <f>MEDIAN(EQ47:FI47)</f>
        <v>0</v>
      </c>
      <c r="FK47" s="48">
        <v>1</v>
      </c>
      <c r="FL47" s="29"/>
    </row>
    <row r="48" spans="1:175">
      <c r="A48" s="71" t="s">
        <v>239</v>
      </c>
      <c r="B48" s="96" t="s">
        <v>163</v>
      </c>
      <c r="C48" s="29">
        <f t="shared" ref="C48:BP48" si="155">LOG(C19)</f>
        <v>2.2483035792092485</v>
      </c>
      <c r="D48" s="29">
        <f t="shared" si="155"/>
        <v>1.6215409326670327</v>
      </c>
      <c r="E48" s="29">
        <f t="shared" si="155"/>
        <v>3.6656104373984442</v>
      </c>
      <c r="F48" s="29">
        <f t="shared" si="155"/>
        <v>3.1810074110533679</v>
      </c>
      <c r="G48" s="29">
        <f t="shared" si="155"/>
        <v>1.6567684703539649</v>
      </c>
      <c r="H48" s="29">
        <f t="shared" si="155"/>
        <v>2.4071592664175347</v>
      </c>
      <c r="I48" s="29">
        <f t="shared" si="155"/>
        <v>2.6216034698835444</v>
      </c>
      <c r="J48" s="29">
        <f t="shared" si="155"/>
        <v>3.9418849193984573</v>
      </c>
      <c r="K48" s="29">
        <f t="shared" si="155"/>
        <v>3.6060919941039336</v>
      </c>
      <c r="L48" s="29">
        <f t="shared" si="155"/>
        <v>2.4679576610396676</v>
      </c>
      <c r="M48" s="29">
        <f t="shared" si="155"/>
        <v>1.9732738010726028</v>
      </c>
      <c r="N48" s="29">
        <f t="shared" si="155"/>
        <v>1.4620357899021088</v>
      </c>
      <c r="O48" s="29">
        <f t="shared" si="155"/>
        <v>0</v>
      </c>
      <c r="P48" s="29">
        <f t="shared" si="155"/>
        <v>1.6379609379173088</v>
      </c>
      <c r="Q48" s="29">
        <f t="shared" si="155"/>
        <v>0</v>
      </c>
      <c r="R48" s="29">
        <f t="shared" si="155"/>
        <v>1.6440473783239133</v>
      </c>
      <c r="S48" s="29">
        <f t="shared" si="155"/>
        <v>2.1283345509765077</v>
      </c>
      <c r="T48" s="29">
        <f t="shared" si="155"/>
        <v>2.3861334782432913</v>
      </c>
      <c r="U48" s="48">
        <f t="shared" ref="U48:U52" si="156">MEDIAN(C48:T48)</f>
        <v>2.1883190650928781</v>
      </c>
      <c r="V48" s="29">
        <f t="shared" si="155"/>
        <v>4.5246511310613577</v>
      </c>
      <c r="W48" s="29">
        <f t="shared" si="155"/>
        <v>4.7225956112263363</v>
      </c>
      <c r="X48" s="29">
        <f t="shared" si="155"/>
        <v>4.7687091523924288</v>
      </c>
      <c r="Y48" s="29">
        <f t="shared" si="155"/>
        <v>1.8422436138234914</v>
      </c>
      <c r="Z48" s="29">
        <f t="shared" si="155"/>
        <v>2.6748179021697123</v>
      </c>
      <c r="AA48" s="29">
        <f t="shared" si="155"/>
        <v>5.2734313053346096</v>
      </c>
      <c r="AB48" s="29">
        <f t="shared" si="155"/>
        <v>4.4416789899184881</v>
      </c>
      <c r="AC48" s="29">
        <f t="shared" si="155"/>
        <v>5.4164204047420057</v>
      </c>
      <c r="AD48" s="29">
        <f t="shared" si="155"/>
        <v>3.0821657323631908</v>
      </c>
      <c r="AE48" s="29">
        <f t="shared" si="155"/>
        <v>4.193779573058718</v>
      </c>
      <c r="AF48" s="29">
        <f t="shared" si="155"/>
        <v>4.1967484200700413</v>
      </c>
      <c r="AG48" s="29">
        <f t="shared" si="155"/>
        <v>2.8633503592459544</v>
      </c>
      <c r="AH48" s="29">
        <f t="shared" si="155"/>
        <v>3.4667889456207175</v>
      </c>
      <c r="AI48" s="29">
        <f t="shared" si="155"/>
        <v>2.1304099760306876</v>
      </c>
      <c r="AJ48" s="29">
        <f t="shared" si="155"/>
        <v>3.1374052508421375</v>
      </c>
      <c r="AK48" s="29">
        <f t="shared" si="155"/>
        <v>2.5858276343685178</v>
      </c>
      <c r="AL48" s="29">
        <f t="shared" si="155"/>
        <v>2.2591623323070773</v>
      </c>
      <c r="AM48" s="29">
        <f t="shared" si="155"/>
        <v>2.2200833868084402</v>
      </c>
      <c r="AN48" s="29">
        <f t="shared" si="155"/>
        <v>2.4672914354327089</v>
      </c>
      <c r="AO48" s="29">
        <f t="shared" si="155"/>
        <v>2.3307985908929902</v>
      </c>
      <c r="AP48" s="29">
        <f t="shared" si="155"/>
        <v>3.1579125771005909</v>
      </c>
      <c r="AQ48" s="29">
        <f t="shared" si="155"/>
        <v>3.0556987351146923</v>
      </c>
      <c r="AR48" s="29">
        <f t="shared" si="155"/>
        <v>3.2834012411760498</v>
      </c>
      <c r="AS48" s="29">
        <f t="shared" si="155"/>
        <v>4.0326175628670411</v>
      </c>
      <c r="AT48" s="29">
        <f t="shared" si="155"/>
        <v>1.8803840585530052</v>
      </c>
      <c r="AU48" s="48">
        <f t="shared" ref="AU48:AU52" si="157">MEDIAN(V48:AT48)</f>
        <v>3.1374052508421375</v>
      </c>
      <c r="AV48" s="29">
        <f t="shared" si="155"/>
        <v>1.9436872025353438</v>
      </c>
      <c r="AW48" s="29">
        <f t="shared" si="155"/>
        <v>1.6391797142310267</v>
      </c>
      <c r="AX48" s="29">
        <f t="shared" si="155"/>
        <v>1.63626031452065</v>
      </c>
      <c r="AY48" s="29">
        <f t="shared" si="155"/>
        <v>1.4811994242938669</v>
      </c>
      <c r="AZ48" s="29">
        <f t="shared" si="155"/>
        <v>0</v>
      </c>
      <c r="BA48" s="29">
        <f t="shared" si="155"/>
        <v>0</v>
      </c>
      <c r="BB48" s="29">
        <f t="shared" si="155"/>
        <v>2.6837840624652447</v>
      </c>
      <c r="BC48" s="29">
        <f t="shared" si="155"/>
        <v>2.6327286409001909</v>
      </c>
      <c r="BD48" s="29">
        <f t="shared" si="155"/>
        <v>0</v>
      </c>
      <c r="BE48" s="29">
        <f t="shared" si="155"/>
        <v>0</v>
      </c>
      <c r="BF48" s="29">
        <f t="shared" si="155"/>
        <v>1.6375529032202145</v>
      </c>
      <c r="BG48" s="29">
        <f t="shared" si="155"/>
        <v>0</v>
      </c>
      <c r="BH48" s="29">
        <f t="shared" si="155"/>
        <v>2.0144767219812123</v>
      </c>
      <c r="BI48" s="29">
        <f t="shared" si="155"/>
        <v>0</v>
      </c>
      <c r="BJ48" s="29">
        <f t="shared" si="155"/>
        <v>3.1578897360531126</v>
      </c>
      <c r="BK48" s="29">
        <f t="shared" si="155"/>
        <v>3.1532302713609015</v>
      </c>
      <c r="BL48" s="29">
        <f t="shared" si="155"/>
        <v>2.5102875811147212</v>
      </c>
      <c r="BM48" s="29">
        <f t="shared" si="155"/>
        <v>1.9087255325214054</v>
      </c>
      <c r="BN48" s="29">
        <f t="shared" si="155"/>
        <v>1.6004341823832671</v>
      </c>
      <c r="BO48" s="29">
        <f t="shared" si="155"/>
        <v>0</v>
      </c>
      <c r="BP48" s="29">
        <f t="shared" si="155"/>
        <v>1.7055180428850292</v>
      </c>
      <c r="BQ48" s="29">
        <f t="shared" ref="BQ48:EC48" si="158">LOG(BQ19)</f>
        <v>0</v>
      </c>
      <c r="BR48" s="29">
        <f t="shared" si="158"/>
        <v>1.7450256123585741</v>
      </c>
      <c r="BS48" s="29">
        <f t="shared" si="158"/>
        <v>1.4062893036621547</v>
      </c>
      <c r="BT48" s="29">
        <f t="shared" si="158"/>
        <v>1.7113911021082155</v>
      </c>
      <c r="BU48" s="29">
        <f t="shared" si="158"/>
        <v>0</v>
      </c>
      <c r="BV48" s="29">
        <f t="shared" si="158"/>
        <v>1.7970521497129437</v>
      </c>
      <c r="BW48" s="29">
        <f t="shared" si="158"/>
        <v>2.253709839503077</v>
      </c>
      <c r="BX48" s="29">
        <f t="shared" si="158"/>
        <v>2.6521491573208857</v>
      </c>
      <c r="BY48" s="29">
        <f t="shared" si="158"/>
        <v>3.1572176379722547</v>
      </c>
      <c r="BZ48" s="29">
        <f t="shared" si="158"/>
        <v>2.2470226352970712</v>
      </c>
      <c r="CA48" s="29">
        <f t="shared" si="158"/>
        <v>1.944786989513529</v>
      </c>
      <c r="CB48" s="29">
        <f t="shared" si="158"/>
        <v>1.5524645237170744</v>
      </c>
      <c r="CC48" s="29">
        <f t="shared" si="158"/>
        <v>1.625989313033628</v>
      </c>
      <c r="CD48" s="29">
        <f t="shared" si="158"/>
        <v>2.1804567094776166</v>
      </c>
      <c r="CE48" s="29">
        <f t="shared" si="158"/>
        <v>2.4057894241279212</v>
      </c>
      <c r="CF48" s="29">
        <f t="shared" si="158"/>
        <v>1.9471013383900899</v>
      </c>
      <c r="CG48" s="29">
        <f t="shared" si="158"/>
        <v>1.7302447734366961</v>
      </c>
      <c r="CH48" s="29">
        <f t="shared" si="158"/>
        <v>2.3919785159417648</v>
      </c>
      <c r="CI48" s="29">
        <v>0</v>
      </c>
      <c r="CJ48" s="29">
        <v>0</v>
      </c>
      <c r="CK48" s="29">
        <f t="shared" si="158"/>
        <v>1.7142386190036687</v>
      </c>
      <c r="CL48" s="29">
        <v>0</v>
      </c>
      <c r="CM48" s="29">
        <f t="shared" si="158"/>
        <v>1.534370419820787</v>
      </c>
      <c r="CN48" s="29">
        <f t="shared" si="158"/>
        <v>1.4641202319256768</v>
      </c>
      <c r="CO48" s="29">
        <f t="shared" si="158"/>
        <v>1.5250779313786307</v>
      </c>
      <c r="CP48" s="48">
        <f t="shared" ref="CP48:CP52" si="159">MEDIAN(AV48:CO48)</f>
        <v>1.6723488785580281</v>
      </c>
      <c r="CQ48" s="29">
        <v>0</v>
      </c>
      <c r="CR48" s="29">
        <v>0</v>
      </c>
      <c r="CS48" s="29">
        <f t="shared" si="158"/>
        <v>1.2201792200351966</v>
      </c>
      <c r="CT48" s="29">
        <f t="shared" si="158"/>
        <v>1.5537307979195467</v>
      </c>
      <c r="CU48" s="29">
        <v>0</v>
      </c>
      <c r="CV48" s="29">
        <v>0</v>
      </c>
      <c r="CW48" s="29">
        <f t="shared" si="158"/>
        <v>1.5453836299402179</v>
      </c>
      <c r="CX48" s="29">
        <f t="shared" si="158"/>
        <v>2.1125316675392605</v>
      </c>
      <c r="CY48" s="29">
        <f t="shared" si="158"/>
        <v>1.2559684428160038</v>
      </c>
      <c r="CZ48" s="29">
        <f t="shared" si="158"/>
        <v>1.5737180313170764</v>
      </c>
      <c r="DA48" s="29">
        <f t="shared" si="158"/>
        <v>2.1432956333607405</v>
      </c>
      <c r="DB48" s="29">
        <f t="shared" si="158"/>
        <v>1.3779842726430027</v>
      </c>
      <c r="DC48" s="29">
        <v>0</v>
      </c>
      <c r="DD48" s="29">
        <f t="shared" si="158"/>
        <v>1.16809311664938</v>
      </c>
      <c r="DE48" s="29">
        <f t="shared" si="158"/>
        <v>2.8426285804560032</v>
      </c>
      <c r="DF48" s="29">
        <f t="shared" si="158"/>
        <v>2.7928749434405558</v>
      </c>
      <c r="DG48" s="29">
        <f t="shared" si="158"/>
        <v>1.3906182837390162</v>
      </c>
      <c r="DH48" s="29">
        <v>0</v>
      </c>
      <c r="DI48" s="29">
        <v>0</v>
      </c>
      <c r="DJ48" s="29">
        <v>0</v>
      </c>
      <c r="DK48" s="29">
        <v>0</v>
      </c>
      <c r="DL48" s="29">
        <f t="shared" si="158"/>
        <v>1.4916410859123588</v>
      </c>
      <c r="DM48" s="29">
        <f t="shared" si="158"/>
        <v>1.3048885660840837</v>
      </c>
      <c r="DN48" s="29">
        <f t="shared" si="158"/>
        <v>1.8542670773600693</v>
      </c>
      <c r="DO48" s="29">
        <f t="shared" si="158"/>
        <v>2.3944171210216889</v>
      </c>
      <c r="DP48" s="29">
        <f t="shared" si="158"/>
        <v>2.6651183913998291</v>
      </c>
      <c r="DQ48" s="29">
        <f t="shared" si="158"/>
        <v>2.0809624081137308</v>
      </c>
      <c r="DR48" s="29">
        <f t="shared" si="158"/>
        <v>1.4284545608458736</v>
      </c>
      <c r="DS48" s="29">
        <v>0</v>
      </c>
      <c r="DT48" s="29">
        <v>0</v>
      </c>
      <c r="DU48" s="29">
        <f t="shared" si="158"/>
        <v>1.6753876689534393</v>
      </c>
      <c r="DV48" s="29">
        <v>0</v>
      </c>
      <c r="DW48" s="29">
        <v>0</v>
      </c>
      <c r="DX48" s="29">
        <f t="shared" si="158"/>
        <v>1.4114061691391122</v>
      </c>
      <c r="DY48" s="29">
        <f t="shared" si="158"/>
        <v>1.3192113682058915</v>
      </c>
      <c r="DZ48" s="29">
        <f t="shared" si="158"/>
        <v>1.4572793694494195</v>
      </c>
      <c r="EA48" s="29">
        <v>0</v>
      </c>
      <c r="EB48" s="29">
        <v>0</v>
      </c>
      <c r="EC48" s="29">
        <f t="shared" si="158"/>
        <v>1.3848814999340726</v>
      </c>
      <c r="ED48" s="29">
        <f t="shared" ref="ED48:FH48" si="160">LOG(ED19)</f>
        <v>1.3883422526057321</v>
      </c>
      <c r="EE48" s="29">
        <f t="shared" si="160"/>
        <v>1.7758077391732003</v>
      </c>
      <c r="EF48" s="29">
        <f t="shared" si="160"/>
        <v>1.8110881111061479</v>
      </c>
      <c r="EG48" s="29">
        <f t="shared" si="160"/>
        <v>1.279626822578378</v>
      </c>
      <c r="EH48" s="29">
        <v>0</v>
      </c>
      <c r="EI48" s="29">
        <v>0</v>
      </c>
      <c r="EJ48" s="29">
        <v>0</v>
      </c>
      <c r="EK48" s="29">
        <v>0</v>
      </c>
      <c r="EL48" s="29">
        <f t="shared" si="160"/>
        <v>1.1912813264414523</v>
      </c>
      <c r="EM48" s="29">
        <v>0</v>
      </c>
      <c r="EN48" s="29">
        <v>0</v>
      </c>
      <c r="EO48" s="29">
        <f t="shared" si="160"/>
        <v>1.3019689919309301</v>
      </c>
      <c r="EP48" s="48">
        <f t="shared" ref="EP48:EP52" si="161">MEDIAN(AV48:EO48)</f>
        <v>1.4606998006875482</v>
      </c>
      <c r="EQ48" s="29">
        <f t="shared" si="160"/>
        <v>1.2956992448610274</v>
      </c>
      <c r="ER48" s="29">
        <f t="shared" si="160"/>
        <v>2.2040317731167876</v>
      </c>
      <c r="ES48" s="29">
        <f t="shared" si="160"/>
        <v>1.4310345951991479</v>
      </c>
      <c r="ET48" s="29">
        <v>0</v>
      </c>
      <c r="EU48" s="29">
        <f t="shared" si="160"/>
        <v>1.4987486631359095</v>
      </c>
      <c r="EV48" s="29">
        <f t="shared" si="160"/>
        <v>1.3507581692990995</v>
      </c>
      <c r="EW48" s="29">
        <v>0</v>
      </c>
      <c r="EX48" s="29">
        <f t="shared" si="160"/>
        <v>2.1220408770171222</v>
      </c>
      <c r="EY48" s="29">
        <f t="shared" si="160"/>
        <v>2.4656684514820948</v>
      </c>
      <c r="EZ48" s="29">
        <f t="shared" si="160"/>
        <v>1.2423629140790413</v>
      </c>
      <c r="FA48" s="29">
        <f t="shared" si="160"/>
        <v>1.3473584217321568</v>
      </c>
      <c r="FB48" s="29">
        <f t="shared" si="160"/>
        <v>1.3250338059516586</v>
      </c>
      <c r="FC48" s="29">
        <v>0</v>
      </c>
      <c r="FD48" s="29">
        <v>0</v>
      </c>
      <c r="FE48" s="29">
        <f t="shared" si="160"/>
        <v>2.1125316675392605</v>
      </c>
      <c r="FF48" s="29">
        <v>0</v>
      </c>
      <c r="FG48" s="29">
        <v>0</v>
      </c>
      <c r="FH48" s="29">
        <f t="shared" si="160"/>
        <v>1.2674253325671758</v>
      </c>
      <c r="FI48" s="29">
        <v>0</v>
      </c>
      <c r="FJ48" s="78">
        <f t="shared" ref="FJ48:FJ52" si="162">MEDIAN(EQ48:FI48)</f>
        <v>1.2956992448610274</v>
      </c>
      <c r="FK48" s="48">
        <v>1.2956992000000001</v>
      </c>
      <c r="FL48" s="29"/>
    </row>
    <row r="49" spans="1:175">
      <c r="A49" s="71" t="s">
        <v>206</v>
      </c>
      <c r="B49" s="96" t="s">
        <v>163</v>
      </c>
      <c r="C49" s="29">
        <f t="shared" ref="C49:BP49" si="163">LOG(C20)</f>
        <v>3.1705128314331006</v>
      </c>
      <c r="D49" s="29">
        <f t="shared" si="163"/>
        <v>1.8298646867187807</v>
      </c>
      <c r="E49" s="29">
        <f t="shared" si="163"/>
        <v>3.7612271113919338</v>
      </c>
      <c r="F49" s="29">
        <f t="shared" si="163"/>
        <v>3.4433691839906779</v>
      </c>
      <c r="G49" s="29">
        <f t="shared" si="163"/>
        <v>2.1862869952109967</v>
      </c>
      <c r="H49" s="29">
        <f t="shared" si="163"/>
        <v>2.5247150912491909</v>
      </c>
      <c r="I49" s="29">
        <f t="shared" si="163"/>
        <v>2.1875247576892285</v>
      </c>
      <c r="J49" s="29">
        <f t="shared" si="163"/>
        <v>4.0615262628707196</v>
      </c>
      <c r="K49" s="29">
        <f t="shared" si="163"/>
        <v>3.7487295538957435</v>
      </c>
      <c r="L49" s="29">
        <f t="shared" si="163"/>
        <v>2.7182531290753764</v>
      </c>
      <c r="M49" s="29">
        <f t="shared" si="163"/>
        <v>1.7698479391017292</v>
      </c>
      <c r="N49" s="29">
        <f t="shared" si="163"/>
        <v>2.2074277318543953</v>
      </c>
      <c r="O49" s="29">
        <f t="shared" si="163"/>
        <v>1.6533825632624501</v>
      </c>
      <c r="P49" s="29">
        <f t="shared" si="163"/>
        <v>1.5059518569938755</v>
      </c>
      <c r="Q49" s="29">
        <f t="shared" si="163"/>
        <v>0</v>
      </c>
      <c r="R49" s="29">
        <f t="shared" si="163"/>
        <v>1.6061374725690836</v>
      </c>
      <c r="S49" s="29">
        <f t="shared" si="163"/>
        <v>1.493486932877409</v>
      </c>
      <c r="T49" s="29">
        <f t="shared" si="163"/>
        <v>1.8163186303648748</v>
      </c>
      <c r="U49" s="48">
        <f t="shared" si="156"/>
        <v>2.1869058764501128</v>
      </c>
      <c r="V49" s="29">
        <f t="shared" si="163"/>
        <v>4.6221068600179365</v>
      </c>
      <c r="W49" s="29">
        <f t="shared" si="163"/>
        <v>4.7668500959844904</v>
      </c>
      <c r="X49" s="29">
        <f t="shared" si="163"/>
        <v>4.6693383967917583</v>
      </c>
      <c r="Y49" s="29">
        <f t="shared" si="163"/>
        <v>1.7509926339050836</v>
      </c>
      <c r="Z49" s="29">
        <f t="shared" si="163"/>
        <v>2.8269118932282038</v>
      </c>
      <c r="AA49" s="29">
        <f t="shared" si="163"/>
        <v>5.3204756372379478</v>
      </c>
      <c r="AB49" s="29">
        <f t="shared" si="163"/>
        <v>4.389553249036747</v>
      </c>
      <c r="AC49" s="29">
        <f t="shared" si="163"/>
        <v>5.3478847695014622</v>
      </c>
      <c r="AD49" s="29">
        <f t="shared" si="163"/>
        <v>2.7744594134176261</v>
      </c>
      <c r="AE49" s="29">
        <f t="shared" si="163"/>
        <v>4.0962780070202012</v>
      </c>
      <c r="AF49" s="29">
        <f t="shared" si="163"/>
        <v>4.21240089385162</v>
      </c>
      <c r="AG49" s="29">
        <f t="shared" si="163"/>
        <v>2.9433063814093683</v>
      </c>
      <c r="AH49" s="29">
        <f t="shared" si="163"/>
        <v>3.2690600961561738</v>
      </c>
      <c r="AI49" s="29">
        <f t="shared" si="163"/>
        <v>2.8804797142359031</v>
      </c>
      <c r="AJ49" s="29">
        <f t="shared" si="163"/>
        <v>2.6312515422957494</v>
      </c>
      <c r="AK49" s="29">
        <f t="shared" si="163"/>
        <v>2.6727072273029342</v>
      </c>
      <c r="AL49" s="29">
        <f t="shared" si="163"/>
        <v>1.6259234126992059</v>
      </c>
      <c r="AM49" s="29">
        <f t="shared" si="163"/>
        <v>2.7303056165404209</v>
      </c>
      <c r="AN49" s="29">
        <f t="shared" si="163"/>
        <v>2.8742539932893236</v>
      </c>
      <c r="AO49" s="29">
        <f t="shared" si="163"/>
        <v>1.5106794818019156</v>
      </c>
      <c r="AP49" s="29">
        <f t="shared" si="163"/>
        <v>2.8132583424598119</v>
      </c>
      <c r="AQ49" s="29">
        <f t="shared" si="163"/>
        <v>2.719996430318397</v>
      </c>
      <c r="AR49" s="29">
        <f t="shared" si="163"/>
        <v>3.2045546344794862</v>
      </c>
      <c r="AS49" s="29">
        <f t="shared" si="163"/>
        <v>4.249754167011611</v>
      </c>
      <c r="AT49" s="29">
        <f t="shared" si="163"/>
        <v>2.435230506788054</v>
      </c>
      <c r="AU49" s="48">
        <f t="shared" si="157"/>
        <v>2.8804797142359031</v>
      </c>
      <c r="AV49" s="29">
        <f t="shared" si="163"/>
        <v>1.819261490400808</v>
      </c>
      <c r="AW49" s="29">
        <f t="shared" si="163"/>
        <v>2.6260727051701509</v>
      </c>
      <c r="AX49" s="29">
        <f t="shared" si="163"/>
        <v>2.0914292325651274</v>
      </c>
      <c r="AY49" s="29">
        <f t="shared" si="163"/>
        <v>1.7100373490851661</v>
      </c>
      <c r="AZ49" s="29">
        <f t="shared" si="163"/>
        <v>1.4745685606370897</v>
      </c>
      <c r="BA49" s="29">
        <f t="shared" si="163"/>
        <v>2.8451915926380189</v>
      </c>
      <c r="BB49" s="29">
        <f t="shared" si="163"/>
        <v>4.2756384342093359</v>
      </c>
      <c r="BC49" s="29">
        <f t="shared" si="163"/>
        <v>4.0357758712458862</v>
      </c>
      <c r="BD49" s="29">
        <f t="shared" si="163"/>
        <v>2.703665712875301</v>
      </c>
      <c r="BE49" s="29">
        <f t="shared" si="163"/>
        <v>2.3250719940903637</v>
      </c>
      <c r="BF49" s="29">
        <f t="shared" si="163"/>
        <v>3.2144888070499151</v>
      </c>
      <c r="BG49" s="29">
        <f t="shared" si="163"/>
        <v>3.0504187550948441</v>
      </c>
      <c r="BH49" s="29">
        <f t="shared" si="163"/>
        <v>3.1807664918750027</v>
      </c>
      <c r="BI49" s="29">
        <f t="shared" si="163"/>
        <v>3.1239699344210989</v>
      </c>
      <c r="BJ49" s="29">
        <f t="shared" si="163"/>
        <v>4.7866614089288904</v>
      </c>
      <c r="BK49" s="29">
        <f t="shared" si="163"/>
        <v>4.6247273130729836</v>
      </c>
      <c r="BL49" s="29">
        <f t="shared" si="163"/>
        <v>4.1084481778415691</v>
      </c>
      <c r="BM49" s="29">
        <f t="shared" si="163"/>
        <v>3.8922838420714196</v>
      </c>
      <c r="BN49" s="29">
        <f t="shared" si="163"/>
        <v>2.7064582213244224</v>
      </c>
      <c r="BO49" s="29">
        <f t="shared" si="163"/>
        <v>2.6003726895880117</v>
      </c>
      <c r="BP49" s="29">
        <f t="shared" si="163"/>
        <v>2.9317134136798311</v>
      </c>
      <c r="BQ49" s="29">
        <f t="shared" ref="BQ49:DZ49" si="164">LOG(BQ20)</f>
        <v>2.806082794238479</v>
      </c>
      <c r="BR49" s="29">
        <f t="shared" si="164"/>
        <v>3.3650166532792301</v>
      </c>
      <c r="BS49" s="29">
        <f t="shared" si="164"/>
        <v>2.9199203407343064</v>
      </c>
      <c r="BT49" s="29">
        <f t="shared" si="164"/>
        <v>3.1255656708886392</v>
      </c>
      <c r="BU49" s="29">
        <f t="shared" si="164"/>
        <v>2.7976728883513218</v>
      </c>
      <c r="BV49" s="29">
        <f t="shared" si="164"/>
        <v>2.3983906671803088</v>
      </c>
      <c r="BW49" s="29">
        <f t="shared" si="164"/>
        <v>3.608813332075973</v>
      </c>
      <c r="BX49" s="29">
        <f t="shared" si="164"/>
        <v>4.1517193981591101</v>
      </c>
      <c r="BY49" s="29">
        <f t="shared" si="164"/>
        <v>4.6002998060308133</v>
      </c>
      <c r="BZ49" s="29">
        <f t="shared" si="164"/>
        <v>4.0024625149990225</v>
      </c>
      <c r="CA49" s="29">
        <f t="shared" si="164"/>
        <v>3.4021646193734356</v>
      </c>
      <c r="CB49" s="29">
        <f t="shared" si="164"/>
        <v>3.1477892096391957</v>
      </c>
      <c r="CC49" s="29">
        <f t="shared" si="164"/>
        <v>3.0165693987506326</v>
      </c>
      <c r="CD49" s="29">
        <f t="shared" si="164"/>
        <v>3.6179100319667978</v>
      </c>
      <c r="CE49" s="29">
        <f t="shared" si="164"/>
        <v>3.700473589392375</v>
      </c>
      <c r="CF49" s="29">
        <f t="shared" si="164"/>
        <v>3.5435684963449847</v>
      </c>
      <c r="CG49" s="29">
        <f t="shared" si="164"/>
        <v>1.7952580144189583</v>
      </c>
      <c r="CH49" s="29">
        <f t="shared" si="164"/>
        <v>2.1819142192585499</v>
      </c>
      <c r="CI49" s="29">
        <v>0</v>
      </c>
      <c r="CJ49" s="29">
        <v>0</v>
      </c>
      <c r="CK49" s="29">
        <f t="shared" si="164"/>
        <v>2.2561259484581098</v>
      </c>
      <c r="CL49" s="29">
        <v>0</v>
      </c>
      <c r="CM49" s="29">
        <f t="shared" si="164"/>
        <v>2.3703772842577298</v>
      </c>
      <c r="CN49" s="29">
        <f t="shared" si="164"/>
        <v>1.7437640958958398</v>
      </c>
      <c r="CO49" s="29">
        <f t="shared" si="164"/>
        <v>1.8058431059160884</v>
      </c>
      <c r="CP49" s="48">
        <f t="shared" si="159"/>
        <v>2.925816877207069</v>
      </c>
      <c r="CQ49" s="29">
        <v>0</v>
      </c>
      <c r="CR49" s="29">
        <v>0</v>
      </c>
      <c r="CS49" s="29">
        <v>0</v>
      </c>
      <c r="CT49" s="29">
        <f t="shared" si="164"/>
        <v>1.3413546404094974</v>
      </c>
      <c r="CU49" s="29">
        <v>0</v>
      </c>
      <c r="CV49" s="29">
        <v>0</v>
      </c>
      <c r="CW49" s="29">
        <f t="shared" si="164"/>
        <v>1.3001119961235295</v>
      </c>
      <c r="CX49" s="29">
        <f t="shared" si="164"/>
        <v>2.0517332979621794</v>
      </c>
      <c r="CY49" s="29">
        <v>0</v>
      </c>
      <c r="CZ49" s="29">
        <f t="shared" si="164"/>
        <v>1.476588186492354</v>
      </c>
      <c r="DA49" s="29">
        <f t="shared" si="164"/>
        <v>1.7937733871545192</v>
      </c>
      <c r="DB49" s="29">
        <f t="shared" si="164"/>
        <v>2.0574979167607266</v>
      </c>
      <c r="DC49" s="29">
        <v>0</v>
      </c>
      <c r="DD49" s="29">
        <v>0</v>
      </c>
      <c r="DE49" s="29">
        <f t="shared" si="164"/>
        <v>2.5317521453404397</v>
      </c>
      <c r="DF49" s="29">
        <f t="shared" si="164"/>
        <v>2.5464570043749677</v>
      </c>
      <c r="DG49" s="29">
        <v>0</v>
      </c>
      <c r="DH49" s="29">
        <v>0</v>
      </c>
      <c r="DI49" s="29">
        <f t="shared" si="164"/>
        <v>1.1992608253424659</v>
      </c>
      <c r="DJ49" s="29">
        <f t="shared" si="164"/>
        <v>1.1299281584189995</v>
      </c>
      <c r="DK49" s="29">
        <f t="shared" si="164"/>
        <v>1.2653090628397379</v>
      </c>
      <c r="DL49" s="29">
        <v>0</v>
      </c>
      <c r="DM49" s="29">
        <f t="shared" si="164"/>
        <v>1.6394846436720951</v>
      </c>
      <c r="DN49" s="29">
        <v>0</v>
      </c>
      <c r="DO49" s="29">
        <f t="shared" si="164"/>
        <v>2.4568060956168347</v>
      </c>
      <c r="DP49" s="29">
        <f t="shared" si="164"/>
        <v>2.1657698187733985</v>
      </c>
      <c r="DQ49" s="29">
        <f t="shared" si="164"/>
        <v>2.189070000057046</v>
      </c>
      <c r="DR49" s="29">
        <f t="shared" si="164"/>
        <v>1.9544336047614823</v>
      </c>
      <c r="DS49" s="29">
        <v>0</v>
      </c>
      <c r="DT49" s="29">
        <v>0</v>
      </c>
      <c r="DU49" s="29">
        <v>0</v>
      </c>
      <c r="DV49" s="29">
        <v>0</v>
      </c>
      <c r="DW49" s="29">
        <v>0</v>
      </c>
      <c r="DX49" s="29">
        <f t="shared" si="164"/>
        <v>1.1351209162817411</v>
      </c>
      <c r="DY49" s="29">
        <f t="shared" si="164"/>
        <v>1.1032540540064042</v>
      </c>
      <c r="DZ49" s="29">
        <f t="shared" si="164"/>
        <v>1.5365903896039799</v>
      </c>
      <c r="EA49" s="29">
        <v>0</v>
      </c>
      <c r="EB49" s="29">
        <v>0</v>
      </c>
      <c r="EC49" s="29">
        <v>0</v>
      </c>
      <c r="ED49" s="29">
        <f t="shared" ref="ED49:FE49" si="165">LOG(ED20)</f>
        <v>1.1963929724486098</v>
      </c>
      <c r="EE49" s="29">
        <v>0</v>
      </c>
      <c r="EF49" s="29">
        <f t="shared" si="165"/>
        <v>1.5990867904499033</v>
      </c>
      <c r="EG49" s="29">
        <f t="shared" si="165"/>
        <v>1.4346565656938748</v>
      </c>
      <c r="EH49" s="29">
        <v>0</v>
      </c>
      <c r="EI49" s="29">
        <v>0</v>
      </c>
      <c r="EJ49" s="29">
        <v>0</v>
      </c>
      <c r="EK49" s="29">
        <v>0</v>
      </c>
      <c r="EL49" s="29">
        <f t="shared" si="165"/>
        <v>1.3487773837493335</v>
      </c>
      <c r="EM49" s="29">
        <f t="shared" si="165"/>
        <v>1.4535772785072354</v>
      </c>
      <c r="EN49" s="29">
        <v>0</v>
      </c>
      <c r="EO49" s="29">
        <v>0</v>
      </c>
      <c r="EP49" s="48">
        <f t="shared" si="161"/>
        <v>1.7945157007867387</v>
      </c>
      <c r="EQ49" s="29">
        <v>0</v>
      </c>
      <c r="ER49" s="29">
        <f t="shared" si="165"/>
        <v>1.8308766222048891</v>
      </c>
      <c r="ES49" s="29">
        <v>0</v>
      </c>
      <c r="ET49" s="29">
        <v>0</v>
      </c>
      <c r="EU49" s="29">
        <f t="shared" si="165"/>
        <v>1.3666821642300127</v>
      </c>
      <c r="EV49" s="29">
        <v>0</v>
      </c>
      <c r="EW49" s="29">
        <v>0</v>
      </c>
      <c r="EX49" s="29">
        <v>0</v>
      </c>
      <c r="EY49" s="29">
        <f t="shared" si="165"/>
        <v>1.7420650114535983</v>
      </c>
      <c r="EZ49" s="29">
        <f t="shared" si="165"/>
        <v>1.2365673516617759</v>
      </c>
      <c r="FA49" s="29">
        <v>0</v>
      </c>
      <c r="FB49" s="29">
        <f t="shared" si="165"/>
        <v>1.6311750886608478</v>
      </c>
      <c r="FC49" s="29">
        <v>0</v>
      </c>
      <c r="FD49" s="29">
        <f t="shared" si="165"/>
        <v>1.6078342015523086</v>
      </c>
      <c r="FE49" s="29">
        <f t="shared" si="165"/>
        <v>2.0517332979621794</v>
      </c>
      <c r="FF49" s="29">
        <v>0</v>
      </c>
      <c r="FG49" s="29">
        <v>0</v>
      </c>
      <c r="FH49" s="29">
        <v>0</v>
      </c>
      <c r="FI49" s="29">
        <v>0</v>
      </c>
      <c r="FJ49" s="78">
        <f t="shared" si="162"/>
        <v>0</v>
      </c>
      <c r="FK49" s="176">
        <v>1</v>
      </c>
      <c r="FL49" s="29"/>
    </row>
    <row r="50" spans="1:175">
      <c r="A50" s="71" t="s">
        <v>207</v>
      </c>
      <c r="B50" s="98" t="s">
        <v>162</v>
      </c>
      <c r="C50" s="29">
        <f t="shared" ref="C50:BP50" si="166">LOG(C21)</f>
        <v>3.0299484616410415</v>
      </c>
      <c r="D50" s="29">
        <f t="shared" si="166"/>
        <v>2.3746266898602304</v>
      </c>
      <c r="E50" s="29">
        <f t="shared" si="166"/>
        <v>3.5912825866951743</v>
      </c>
      <c r="F50" s="29">
        <f t="shared" si="166"/>
        <v>3.5123018465551747</v>
      </c>
      <c r="G50" s="29">
        <f t="shared" si="166"/>
        <v>2.0448323054184976</v>
      </c>
      <c r="H50" s="29">
        <f t="shared" si="166"/>
        <v>2.4636033762150471</v>
      </c>
      <c r="I50" s="29">
        <f t="shared" si="166"/>
        <v>2.6768217654849873</v>
      </c>
      <c r="J50" s="29">
        <f t="shared" si="166"/>
        <v>3.8968914210099159</v>
      </c>
      <c r="K50" s="29">
        <f t="shared" si="166"/>
        <v>3.5386322645460169</v>
      </c>
      <c r="L50" s="29">
        <f t="shared" si="166"/>
        <v>1.788278657421881</v>
      </c>
      <c r="M50" s="29">
        <f t="shared" si="166"/>
        <v>1.7433511748455441</v>
      </c>
      <c r="N50" s="29">
        <f t="shared" si="166"/>
        <v>1.577314446517218</v>
      </c>
      <c r="O50" s="29">
        <f t="shared" si="166"/>
        <v>1.6421197983019509</v>
      </c>
      <c r="P50" s="29">
        <f t="shared" si="166"/>
        <v>1.9103503105618116</v>
      </c>
      <c r="Q50" s="29">
        <f t="shared" si="166"/>
        <v>1.6937213558310511</v>
      </c>
      <c r="R50" s="29">
        <f t="shared" si="166"/>
        <v>1.6352063492422921</v>
      </c>
      <c r="S50" s="29">
        <f t="shared" si="166"/>
        <v>1.5868774398316914</v>
      </c>
      <c r="T50" s="29">
        <f t="shared" si="166"/>
        <v>2.2256082157837249</v>
      </c>
      <c r="U50" s="48">
        <f t="shared" si="156"/>
        <v>2.1352202606011113</v>
      </c>
      <c r="V50" s="29">
        <f t="shared" si="166"/>
        <v>4.5764692673515857</v>
      </c>
      <c r="W50" s="29">
        <f t="shared" si="166"/>
        <v>4.7430541238048471</v>
      </c>
      <c r="X50" s="29">
        <f t="shared" si="166"/>
        <v>4.9453010288896815</v>
      </c>
      <c r="Y50" s="29">
        <f t="shared" si="166"/>
        <v>2.454901780785943</v>
      </c>
      <c r="Z50" s="29">
        <f t="shared" si="166"/>
        <v>2.0674851803376044</v>
      </c>
      <c r="AA50" s="29">
        <f t="shared" si="166"/>
        <v>5.3729326129051191</v>
      </c>
      <c r="AB50" s="29">
        <f t="shared" si="166"/>
        <v>4.5267054508683442</v>
      </c>
      <c r="AC50" s="29">
        <f t="shared" si="166"/>
        <v>5.4715118527777316</v>
      </c>
      <c r="AD50" s="29">
        <f t="shared" si="166"/>
        <v>3.3426735444545885</v>
      </c>
      <c r="AE50" s="29">
        <f t="shared" si="166"/>
        <v>4.4313887008999382</v>
      </c>
      <c r="AF50" s="29">
        <f t="shared" si="166"/>
        <v>4.4291580244328976</v>
      </c>
      <c r="AG50" s="29">
        <f t="shared" si="166"/>
        <v>3.1778856634812072</v>
      </c>
      <c r="AH50" s="29">
        <f t="shared" si="166"/>
        <v>3.439723665244665</v>
      </c>
      <c r="AI50" s="29">
        <f t="shared" si="166"/>
        <v>1.9205356075957609</v>
      </c>
      <c r="AJ50" s="29">
        <f t="shared" si="166"/>
        <v>3.126750964313425</v>
      </c>
      <c r="AK50" s="29">
        <f t="shared" si="166"/>
        <v>2.7601881772298338</v>
      </c>
      <c r="AL50" s="29">
        <f t="shared" si="166"/>
        <v>2.1436822090769505</v>
      </c>
      <c r="AM50" s="29">
        <f t="shared" si="166"/>
        <v>2.2932513266552563</v>
      </c>
      <c r="AN50" s="29">
        <f t="shared" si="166"/>
        <v>2.3948807001371706</v>
      </c>
      <c r="AO50" s="29">
        <f t="shared" si="166"/>
        <v>1.7350613626444644</v>
      </c>
      <c r="AP50" s="29">
        <f t="shared" si="166"/>
        <v>3.1007125882723754</v>
      </c>
      <c r="AQ50" s="29">
        <f t="shared" si="166"/>
        <v>2.8297171163758277</v>
      </c>
      <c r="AR50" s="29">
        <f t="shared" si="166"/>
        <v>3.2629911626595329</v>
      </c>
      <c r="AS50" s="29">
        <f t="shared" si="166"/>
        <v>4.2243080585579778</v>
      </c>
      <c r="AT50" s="29">
        <f t="shared" si="166"/>
        <v>2.1190537441679895</v>
      </c>
      <c r="AU50" s="48">
        <f t="shared" si="157"/>
        <v>3.1778856634812072</v>
      </c>
      <c r="AV50" s="29">
        <f t="shared" si="166"/>
        <v>2.2622095403189828</v>
      </c>
      <c r="AW50" s="29">
        <f t="shared" si="166"/>
        <v>1.6212531483716475</v>
      </c>
      <c r="AX50" s="29">
        <f t="shared" si="166"/>
        <v>1.6954965285978907</v>
      </c>
      <c r="AY50" s="29">
        <f t="shared" si="166"/>
        <v>1.847141054306713</v>
      </c>
      <c r="AZ50" s="29">
        <f t="shared" si="166"/>
        <v>0</v>
      </c>
      <c r="BA50" s="29">
        <f t="shared" si="166"/>
        <v>3.0041881374224682</v>
      </c>
      <c r="BB50" s="29">
        <f t="shared" si="166"/>
        <v>3.8365856809488013</v>
      </c>
      <c r="BC50" s="29">
        <f t="shared" si="166"/>
        <v>3.6006390263355432</v>
      </c>
      <c r="BD50" s="29">
        <f t="shared" si="166"/>
        <v>2.5721999285906563</v>
      </c>
      <c r="BE50" s="29">
        <f t="shared" si="166"/>
        <v>1.7990261986772147</v>
      </c>
      <c r="BF50" s="29">
        <f t="shared" si="166"/>
        <v>2.8599609218615027</v>
      </c>
      <c r="BG50" s="29">
        <f t="shared" si="166"/>
        <v>2.5347816034450221</v>
      </c>
      <c r="BH50" s="29">
        <f t="shared" si="166"/>
        <v>2.6199247161099195</v>
      </c>
      <c r="BI50" s="29">
        <f t="shared" si="166"/>
        <v>2.9062935785311819</v>
      </c>
      <c r="BJ50" s="29">
        <f t="shared" si="166"/>
        <v>4.2984261371243395</v>
      </c>
      <c r="BK50" s="29">
        <f t="shared" si="166"/>
        <v>4.1704273814375155</v>
      </c>
      <c r="BL50" s="29">
        <f t="shared" si="166"/>
        <v>3.6781074685425343</v>
      </c>
      <c r="BM50" s="29">
        <f t="shared" si="166"/>
        <v>3.458833096487604</v>
      </c>
      <c r="BN50" s="29">
        <f t="shared" si="166"/>
        <v>2.5029234973029055</v>
      </c>
      <c r="BO50" s="29">
        <f t="shared" si="166"/>
        <v>2.0404759983971799</v>
      </c>
      <c r="BP50" s="29">
        <f t="shared" si="166"/>
        <v>2.6928104416975378</v>
      </c>
      <c r="BQ50" s="29">
        <f t="shared" ref="BQ50:EC50" si="167">LOG(BQ21)</f>
        <v>2.3624216692539339</v>
      </c>
      <c r="BR50" s="29">
        <f t="shared" si="167"/>
        <v>2.6336542074233633</v>
      </c>
      <c r="BS50" s="29">
        <f t="shared" si="167"/>
        <v>2.2886407046831958</v>
      </c>
      <c r="BT50" s="29">
        <f t="shared" si="167"/>
        <v>2.9301295793161781</v>
      </c>
      <c r="BU50" s="29">
        <f t="shared" si="167"/>
        <v>2.2264997841807364</v>
      </c>
      <c r="BV50" s="29">
        <f t="shared" si="167"/>
        <v>2.1012792601996786</v>
      </c>
      <c r="BW50" s="29">
        <f t="shared" si="167"/>
        <v>3.0595885181933751</v>
      </c>
      <c r="BX50" s="29">
        <f t="shared" si="167"/>
        <v>3.5790081321201344</v>
      </c>
      <c r="BY50" s="29">
        <f t="shared" si="167"/>
        <v>4.1195992999504698</v>
      </c>
      <c r="BZ50" s="29">
        <f t="shared" si="167"/>
        <v>3.5610288670897461</v>
      </c>
      <c r="CA50" s="29">
        <f t="shared" si="167"/>
        <v>3.0885139243267061</v>
      </c>
      <c r="CB50" s="29">
        <f t="shared" si="167"/>
        <v>2.4622923869104585</v>
      </c>
      <c r="CC50" s="29">
        <f t="shared" si="167"/>
        <v>2.6437999621179507</v>
      </c>
      <c r="CD50" s="29">
        <f t="shared" si="167"/>
        <v>3.066388797590065</v>
      </c>
      <c r="CE50" s="29">
        <f t="shared" si="167"/>
        <v>3.4085038110967671</v>
      </c>
      <c r="CF50" s="29">
        <f t="shared" si="167"/>
        <v>3.2689432805713943</v>
      </c>
      <c r="CG50" s="29">
        <f t="shared" si="167"/>
        <v>1.6883177437058949</v>
      </c>
      <c r="CH50" s="29">
        <f t="shared" si="167"/>
        <v>1.8290729250831452</v>
      </c>
      <c r="CI50" s="29">
        <f t="shared" si="167"/>
        <v>1.9359155263242738</v>
      </c>
      <c r="CJ50" s="29">
        <f t="shared" si="167"/>
        <v>1.448818659122594</v>
      </c>
      <c r="CK50" s="29">
        <v>0</v>
      </c>
      <c r="CL50" s="29">
        <v>0</v>
      </c>
      <c r="CM50" s="29">
        <f t="shared" si="167"/>
        <v>1.810288259503495</v>
      </c>
      <c r="CN50" s="29">
        <f t="shared" si="167"/>
        <v>1.638022179394258</v>
      </c>
      <c r="CO50" s="29">
        <f t="shared" si="167"/>
        <v>1.5479048903172408</v>
      </c>
      <c r="CP50" s="48">
        <f t="shared" si="159"/>
        <v>2.5534907660178394</v>
      </c>
      <c r="CQ50" s="29">
        <v>0</v>
      </c>
      <c r="CR50" s="29">
        <v>0</v>
      </c>
      <c r="CS50" s="29">
        <v>0</v>
      </c>
      <c r="CT50" s="29">
        <v>0</v>
      </c>
      <c r="CU50" s="29">
        <v>0</v>
      </c>
      <c r="CV50" s="29">
        <v>0</v>
      </c>
      <c r="CW50" s="29">
        <v>0</v>
      </c>
      <c r="CX50" s="29">
        <f t="shared" si="167"/>
        <v>1.2112723339524203</v>
      </c>
      <c r="CY50" s="29">
        <v>0</v>
      </c>
      <c r="CZ50" s="29">
        <v>0</v>
      </c>
      <c r="DA50" s="29">
        <v>0</v>
      </c>
      <c r="DB50" s="29">
        <v>0</v>
      </c>
      <c r="DC50" s="29">
        <v>0</v>
      </c>
      <c r="DD50" s="29">
        <v>0</v>
      </c>
      <c r="DE50" s="29">
        <f t="shared" si="167"/>
        <v>1.480392625527186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f t="shared" si="167"/>
        <v>1.1286753686172426</v>
      </c>
      <c r="DQ50" s="29">
        <f t="shared" si="167"/>
        <v>1.1465626680704344</v>
      </c>
      <c r="DR50" s="29">
        <v>0</v>
      </c>
      <c r="DS50" s="29">
        <v>0</v>
      </c>
      <c r="DT50" s="29">
        <v>0</v>
      </c>
      <c r="DU50" s="29">
        <v>0</v>
      </c>
      <c r="DV50" s="29">
        <v>0</v>
      </c>
      <c r="DW50" s="29">
        <v>0</v>
      </c>
      <c r="DX50" s="29">
        <v>0</v>
      </c>
      <c r="DY50" s="29">
        <v>0</v>
      </c>
      <c r="DZ50" s="29">
        <v>0</v>
      </c>
      <c r="EA50" s="29">
        <v>0</v>
      </c>
      <c r="EB50" s="29">
        <v>0</v>
      </c>
      <c r="EC50" s="29">
        <f t="shared" si="167"/>
        <v>1.4544437201480256</v>
      </c>
      <c r="ED50" s="29">
        <f t="shared" ref="ED50:FE50" si="168">LOG(ED21)</f>
        <v>1.504713580922679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f t="shared" si="168"/>
        <v>1.0486833878199944</v>
      </c>
      <c r="EM50" s="29">
        <v>0</v>
      </c>
      <c r="EN50" s="29">
        <v>0</v>
      </c>
      <c r="EO50" s="29">
        <v>0</v>
      </c>
      <c r="EP50" s="48">
        <f t="shared" si="161"/>
        <v>1.1376190183438384</v>
      </c>
      <c r="EQ50" s="29">
        <v>0</v>
      </c>
      <c r="ER50" s="29">
        <v>0</v>
      </c>
      <c r="ES50" s="29">
        <v>0</v>
      </c>
      <c r="ET50" s="29">
        <v>0</v>
      </c>
      <c r="EU50" s="29">
        <v>0</v>
      </c>
      <c r="EV50" s="29">
        <f t="shared" si="168"/>
        <v>1.1869324706501765</v>
      </c>
      <c r="EW50" s="29">
        <v>0</v>
      </c>
      <c r="EX50" s="29">
        <v>0</v>
      </c>
      <c r="EY50" s="29">
        <f t="shared" si="168"/>
        <v>1.7520357855788922</v>
      </c>
      <c r="EZ50" s="29">
        <v>0</v>
      </c>
      <c r="FA50" s="29">
        <v>0</v>
      </c>
      <c r="FB50" s="29">
        <v>0</v>
      </c>
      <c r="FC50" s="29">
        <v>0</v>
      </c>
      <c r="FD50" s="29">
        <v>0</v>
      </c>
      <c r="FE50" s="29">
        <f t="shared" si="168"/>
        <v>1.2112723339524203</v>
      </c>
      <c r="FF50" s="29">
        <v>0</v>
      </c>
      <c r="FG50" s="29">
        <v>0</v>
      </c>
      <c r="FH50" s="29">
        <v>0</v>
      </c>
      <c r="FI50" s="29">
        <v>0</v>
      </c>
      <c r="FJ50" s="78">
        <f t="shared" si="162"/>
        <v>0</v>
      </c>
      <c r="FK50" s="176">
        <v>1</v>
      </c>
      <c r="FL50" s="29"/>
    </row>
    <row r="51" spans="1:175">
      <c r="A51" s="71" t="s">
        <v>240</v>
      </c>
      <c r="B51" s="96" t="s">
        <v>162</v>
      </c>
      <c r="C51" s="29">
        <f t="shared" ref="C51:BP51" si="169">LOG(C22)</f>
        <v>2.771036589809404</v>
      </c>
      <c r="D51" s="29">
        <f t="shared" si="169"/>
        <v>2.2617498152987516</v>
      </c>
      <c r="E51" s="29">
        <f t="shared" si="169"/>
        <v>3.3644489454654494</v>
      </c>
      <c r="F51" s="29">
        <f t="shared" si="169"/>
        <v>3.31130518027912</v>
      </c>
      <c r="G51" s="29">
        <f t="shared" si="169"/>
        <v>2.002374530354706</v>
      </c>
      <c r="H51" s="29">
        <f t="shared" si="169"/>
        <v>2.401390708491117</v>
      </c>
      <c r="I51" s="29">
        <f t="shared" si="169"/>
        <v>1.9365085327495344</v>
      </c>
      <c r="J51" s="29">
        <f t="shared" si="169"/>
        <v>3.8625235796072315</v>
      </c>
      <c r="K51" s="29">
        <f t="shared" si="169"/>
        <v>3.5015321730059195</v>
      </c>
      <c r="L51" s="29">
        <f t="shared" si="169"/>
        <v>2.2163208189441708</v>
      </c>
      <c r="M51" s="29">
        <f t="shared" si="169"/>
        <v>2.2971660590329899</v>
      </c>
      <c r="N51" s="29">
        <f t="shared" si="169"/>
        <v>1.7507987131212728</v>
      </c>
      <c r="O51" s="29">
        <f t="shared" si="169"/>
        <v>0</v>
      </c>
      <c r="P51" s="29">
        <f t="shared" si="169"/>
        <v>1.6308449490590569</v>
      </c>
      <c r="Q51" s="29">
        <f t="shared" si="169"/>
        <v>1.5806564126535989</v>
      </c>
      <c r="R51" s="29">
        <f t="shared" si="169"/>
        <v>1.5238705202588403</v>
      </c>
      <c r="S51" s="29">
        <f t="shared" si="169"/>
        <v>1.8313505356154833</v>
      </c>
      <c r="T51" s="29">
        <f t="shared" si="169"/>
        <v>2.1805526279584977</v>
      </c>
      <c r="U51" s="48">
        <f t="shared" si="156"/>
        <v>2.1984367234513345</v>
      </c>
      <c r="V51" s="29">
        <f t="shared" si="169"/>
        <v>4.661295438092897</v>
      </c>
      <c r="W51" s="29">
        <f t="shared" si="169"/>
        <v>4.8353153045977022</v>
      </c>
      <c r="X51" s="29">
        <f t="shared" si="169"/>
        <v>5.0510559879605488</v>
      </c>
      <c r="Y51" s="29">
        <f t="shared" si="169"/>
        <v>1.7502924430256226</v>
      </c>
      <c r="Z51" s="29">
        <f t="shared" si="169"/>
        <v>2.6795763099179943</v>
      </c>
      <c r="AA51" s="29">
        <f t="shared" si="169"/>
        <v>5.4862717086107722</v>
      </c>
      <c r="AB51" s="29">
        <f t="shared" si="169"/>
        <v>4.4749691218853904</v>
      </c>
      <c r="AC51" s="29">
        <f t="shared" si="169"/>
        <v>5.4380495380368483</v>
      </c>
      <c r="AD51" s="29">
        <f t="shared" si="169"/>
        <v>3.3271806127670063</v>
      </c>
      <c r="AE51" s="29">
        <f t="shared" si="169"/>
        <v>4.094534351507237</v>
      </c>
      <c r="AF51" s="29">
        <f t="shared" si="169"/>
        <v>4.4212015463534575</v>
      </c>
      <c r="AG51" s="29">
        <f t="shared" si="169"/>
        <v>3.0032993688278271</v>
      </c>
      <c r="AH51" s="29">
        <f t="shared" si="169"/>
        <v>3.540737649975517</v>
      </c>
      <c r="AI51" s="29">
        <f t="shared" si="169"/>
        <v>2.337541503140653</v>
      </c>
      <c r="AJ51" s="29">
        <f t="shared" si="169"/>
        <v>1.9002730656126345</v>
      </c>
      <c r="AK51" s="29">
        <f t="shared" si="169"/>
        <v>2.6324362440480349</v>
      </c>
      <c r="AL51" s="29">
        <f t="shared" si="169"/>
        <v>2.3920808976419741</v>
      </c>
      <c r="AM51" s="29">
        <f t="shared" si="169"/>
        <v>2.4826340127821815</v>
      </c>
      <c r="AN51" s="29">
        <f t="shared" si="169"/>
        <v>2.6556764281433454</v>
      </c>
      <c r="AO51" s="29">
        <f t="shared" si="169"/>
        <v>2.4553239274231649</v>
      </c>
      <c r="AP51" s="29">
        <f t="shared" si="169"/>
        <v>3.1902704225203062</v>
      </c>
      <c r="AQ51" s="29">
        <f t="shared" si="169"/>
        <v>3.0082852196800585</v>
      </c>
      <c r="AR51" s="29">
        <f t="shared" si="169"/>
        <v>3.3958850851513347</v>
      </c>
      <c r="AS51" s="29">
        <f t="shared" si="169"/>
        <v>4.1953764116859436</v>
      </c>
      <c r="AT51" s="29">
        <f t="shared" si="169"/>
        <v>2.134683892628519</v>
      </c>
      <c r="AU51" s="48">
        <f t="shared" si="157"/>
        <v>3.1902704225203062</v>
      </c>
      <c r="AV51" s="29">
        <f t="shared" si="169"/>
        <v>2.0031609120997675</v>
      </c>
      <c r="AW51" s="29">
        <f t="shared" si="169"/>
        <v>2.1883257766973312</v>
      </c>
      <c r="AX51" s="29">
        <f t="shared" si="169"/>
        <v>2.546399447370836</v>
      </c>
      <c r="AY51" s="29">
        <f t="shared" si="169"/>
        <v>1.7044194633649459</v>
      </c>
      <c r="AZ51" s="29">
        <f t="shared" si="169"/>
        <v>1.4677370057874322</v>
      </c>
      <c r="BA51" s="29">
        <f t="shared" si="169"/>
        <v>3.1150347637566997</v>
      </c>
      <c r="BB51" s="29">
        <f t="shared" si="169"/>
        <v>4.2824587156309439</v>
      </c>
      <c r="BC51" s="29">
        <f t="shared" si="169"/>
        <v>3.8596915980414819</v>
      </c>
      <c r="BD51" s="29">
        <f t="shared" si="169"/>
        <v>2.5264474796310896</v>
      </c>
      <c r="BE51" s="29">
        <f t="shared" si="169"/>
        <v>2.6198092633191075</v>
      </c>
      <c r="BF51" s="29">
        <f t="shared" si="169"/>
        <v>3.3289857930395086</v>
      </c>
      <c r="BG51" s="29">
        <f t="shared" si="169"/>
        <v>2.7246078687540911</v>
      </c>
      <c r="BH51" s="29">
        <f t="shared" si="169"/>
        <v>3.1845618811903611</v>
      </c>
      <c r="BI51" s="29">
        <f t="shared" si="169"/>
        <v>2.9066600876206454</v>
      </c>
      <c r="BJ51" s="29">
        <f t="shared" si="169"/>
        <v>4.8528073499746132</v>
      </c>
      <c r="BK51" s="29">
        <f t="shared" si="169"/>
        <v>4.6125196899254215</v>
      </c>
      <c r="BL51" s="29">
        <f t="shared" si="169"/>
        <v>3.9844394088079631</v>
      </c>
      <c r="BM51" s="29">
        <f t="shared" si="169"/>
        <v>3.8057650442850477</v>
      </c>
      <c r="BN51" s="29">
        <f t="shared" si="169"/>
        <v>2.7487773702557199</v>
      </c>
      <c r="BO51" s="29">
        <f t="shared" si="169"/>
        <v>2.4872220987012703</v>
      </c>
      <c r="BP51" s="29">
        <f t="shared" si="169"/>
        <v>2.9217195468273434</v>
      </c>
      <c r="BQ51" s="29">
        <f t="shared" ref="BQ51:EA51" si="170">LOG(BQ22)</f>
        <v>2.8480051324457096</v>
      </c>
      <c r="BR51" s="29">
        <f t="shared" si="170"/>
        <v>3.4828678699182087</v>
      </c>
      <c r="BS51" s="29">
        <f t="shared" si="170"/>
        <v>3.3224681813810739</v>
      </c>
      <c r="BT51" s="29">
        <f t="shared" si="170"/>
        <v>3.4428398743979258</v>
      </c>
      <c r="BU51" s="29">
        <f t="shared" si="170"/>
        <v>2.8491265149969252</v>
      </c>
      <c r="BV51" s="29">
        <f t="shared" si="170"/>
        <v>3.1186827885286794</v>
      </c>
      <c r="BW51" s="29">
        <f t="shared" si="170"/>
        <v>3.7600118364875179</v>
      </c>
      <c r="BX51" s="29">
        <f t="shared" si="170"/>
        <v>4.1498683183950966</v>
      </c>
      <c r="BY51" s="29">
        <f t="shared" si="170"/>
        <v>4.7058624265561209</v>
      </c>
      <c r="BZ51" s="29">
        <f t="shared" si="170"/>
        <v>4.0937660117669994</v>
      </c>
      <c r="CA51" s="29">
        <f t="shared" si="170"/>
        <v>3.4784947167349616</v>
      </c>
      <c r="CB51" s="29">
        <f t="shared" si="170"/>
        <v>3.3833287668510135</v>
      </c>
      <c r="CC51" s="29">
        <f t="shared" si="170"/>
        <v>2.7549127642868525</v>
      </c>
      <c r="CD51" s="29">
        <f t="shared" si="170"/>
        <v>3.8445666661600169</v>
      </c>
      <c r="CE51" s="29">
        <f t="shared" si="170"/>
        <v>3.9508181176273758</v>
      </c>
      <c r="CF51" s="29">
        <f t="shared" si="170"/>
        <v>3.8059926304349183</v>
      </c>
      <c r="CG51" s="29">
        <f t="shared" si="170"/>
        <v>1.6702050580905039</v>
      </c>
      <c r="CH51" s="29">
        <f t="shared" si="170"/>
        <v>2.3877927182559295</v>
      </c>
      <c r="CI51" s="29">
        <f t="shared" si="170"/>
        <v>1.7344826769844373</v>
      </c>
      <c r="CJ51" s="29">
        <v>0</v>
      </c>
      <c r="CK51" s="29">
        <f t="shared" si="170"/>
        <v>2.2166919639954039</v>
      </c>
      <c r="CL51" s="29">
        <v>0</v>
      </c>
      <c r="CM51" s="29">
        <f t="shared" si="170"/>
        <v>2.5169269599713302</v>
      </c>
      <c r="CN51" s="29">
        <v>0</v>
      </c>
      <c r="CO51" s="29">
        <f t="shared" si="170"/>
        <v>1.4273372856731936</v>
      </c>
      <c r="CP51" s="48">
        <f t="shared" si="159"/>
        <v>2.9141898172239946</v>
      </c>
      <c r="CQ51" s="29">
        <f t="shared" si="170"/>
        <v>1.2546675321785166</v>
      </c>
      <c r="CR51" s="29">
        <f t="shared" si="170"/>
        <v>1.229521153863318</v>
      </c>
      <c r="CS51" s="29">
        <v>0</v>
      </c>
      <c r="CT51" s="29">
        <v>0</v>
      </c>
      <c r="CU51" s="29">
        <v>0</v>
      </c>
      <c r="CV51" s="29">
        <f t="shared" si="170"/>
        <v>1.4487852458740751</v>
      </c>
      <c r="CW51" s="29">
        <f t="shared" si="170"/>
        <v>2.2360465567485726</v>
      </c>
      <c r="CX51" s="29">
        <f t="shared" si="170"/>
        <v>2.5870569003205204</v>
      </c>
      <c r="CY51" s="29">
        <f t="shared" si="170"/>
        <v>1.1533131158037793</v>
      </c>
      <c r="CZ51" s="29">
        <f t="shared" si="170"/>
        <v>1.7479368737205334</v>
      </c>
      <c r="DA51" s="29">
        <f t="shared" si="170"/>
        <v>1.5765128244285087</v>
      </c>
      <c r="DB51" s="29">
        <f t="shared" si="170"/>
        <v>2.3871928453975784</v>
      </c>
      <c r="DC51" s="29">
        <v>0</v>
      </c>
      <c r="DD51" s="29">
        <f t="shared" si="170"/>
        <v>1.8063382660382565</v>
      </c>
      <c r="DE51" s="29">
        <f t="shared" si="170"/>
        <v>2.8549656308515163</v>
      </c>
      <c r="DF51" s="29">
        <f t="shared" si="170"/>
        <v>2.7555660286969954</v>
      </c>
      <c r="DG51" s="29">
        <v>0</v>
      </c>
      <c r="DH51" s="29">
        <v>0</v>
      </c>
      <c r="DI51" s="29">
        <v>0</v>
      </c>
      <c r="DJ51" s="29">
        <f t="shared" si="170"/>
        <v>1.471930366158035</v>
      </c>
      <c r="DK51" s="29">
        <f t="shared" si="170"/>
        <v>1.850359916276024</v>
      </c>
      <c r="DL51" s="29">
        <f t="shared" si="170"/>
        <v>1.4121581664953426</v>
      </c>
      <c r="DM51" s="29">
        <f t="shared" si="170"/>
        <v>2.0909795228587984</v>
      </c>
      <c r="DN51" s="29">
        <f t="shared" si="170"/>
        <v>1.7367278049423531</v>
      </c>
      <c r="DO51" s="29">
        <f t="shared" si="170"/>
        <v>2.2779495488067725</v>
      </c>
      <c r="DP51" s="29">
        <f t="shared" si="170"/>
        <v>2.7253751442540901</v>
      </c>
      <c r="DQ51" s="29">
        <f t="shared" si="170"/>
        <v>2.3235027488713431</v>
      </c>
      <c r="DR51" s="29">
        <f t="shared" si="170"/>
        <v>2.4022959272852797</v>
      </c>
      <c r="DS51" s="29">
        <v>0</v>
      </c>
      <c r="DT51" s="29">
        <v>0</v>
      </c>
      <c r="DU51" s="29">
        <f t="shared" si="170"/>
        <v>1.4140657113765334</v>
      </c>
      <c r="DV51" s="29">
        <v>0</v>
      </c>
      <c r="DW51" s="29">
        <v>0</v>
      </c>
      <c r="DX51" s="29">
        <v>0</v>
      </c>
      <c r="DY51" s="29">
        <f t="shared" si="170"/>
        <v>1.9484833215202848</v>
      </c>
      <c r="DZ51" s="29">
        <f t="shared" si="170"/>
        <v>1.9064919837307728</v>
      </c>
      <c r="EA51" s="29">
        <f t="shared" si="170"/>
        <v>1.1474954185724979</v>
      </c>
      <c r="EB51" s="29">
        <v>0</v>
      </c>
      <c r="EC51" s="29">
        <v>0</v>
      </c>
      <c r="ED51" s="29">
        <f t="shared" ref="ED51:FF51" si="171">LOG(ED22)</f>
        <v>1.665751964769467</v>
      </c>
      <c r="EE51" s="29">
        <f t="shared" si="171"/>
        <v>1.4740679237125001</v>
      </c>
      <c r="EF51" s="29">
        <f t="shared" si="171"/>
        <v>2.1699684086865014</v>
      </c>
      <c r="EG51" s="29">
        <f t="shared" si="171"/>
        <v>1.8210313174375725</v>
      </c>
      <c r="EH51" s="29">
        <f t="shared" si="171"/>
        <v>1.3109246370723369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f t="shared" si="171"/>
        <v>1.0291360399670599</v>
      </c>
      <c r="EP51" s="48">
        <f t="shared" si="161"/>
        <v>2.0470702174792832</v>
      </c>
      <c r="EQ51" s="29">
        <f t="shared" si="171"/>
        <v>1.2212658571984445</v>
      </c>
      <c r="ER51" s="29">
        <f t="shared" si="171"/>
        <v>2.0271931402065393</v>
      </c>
      <c r="ES51" s="29">
        <f t="shared" si="171"/>
        <v>1.4755772489712129</v>
      </c>
      <c r="ET51" s="29">
        <v>0</v>
      </c>
      <c r="EU51" s="29">
        <f t="shared" si="171"/>
        <v>1.3919906042907573</v>
      </c>
      <c r="EV51" s="29">
        <v>0</v>
      </c>
      <c r="EW51" s="29">
        <f t="shared" si="171"/>
        <v>1.6373955617575402</v>
      </c>
      <c r="EX51" s="29">
        <f t="shared" si="171"/>
        <v>1.5887000061230054</v>
      </c>
      <c r="EY51" s="29">
        <f t="shared" si="171"/>
        <v>2.0072022611181479</v>
      </c>
      <c r="EZ51" s="29">
        <f t="shared" si="171"/>
        <v>1.7440384995405713</v>
      </c>
      <c r="FA51" s="29">
        <f t="shared" si="171"/>
        <v>1.4615790656559291</v>
      </c>
      <c r="FB51" s="29">
        <v>0</v>
      </c>
      <c r="FC51" s="29">
        <v>0</v>
      </c>
      <c r="FD51" s="29">
        <v>0</v>
      </c>
      <c r="FE51" s="29">
        <f t="shared" si="171"/>
        <v>2.5870569003205204</v>
      </c>
      <c r="FF51" s="29">
        <f t="shared" si="171"/>
        <v>1.1334218191490866</v>
      </c>
      <c r="FG51" s="29">
        <v>0</v>
      </c>
      <c r="FH51" s="29">
        <v>0</v>
      </c>
      <c r="FI51" s="29">
        <v>0</v>
      </c>
      <c r="FJ51" s="78">
        <f t="shared" si="162"/>
        <v>1.2212658571984445</v>
      </c>
      <c r="FK51" s="48">
        <v>1.2212658999999999</v>
      </c>
      <c r="FL51" s="29"/>
    </row>
    <row r="52" spans="1:175">
      <c r="A52" s="71" t="s">
        <v>208</v>
      </c>
      <c r="B52" s="96" t="s">
        <v>162</v>
      </c>
      <c r="C52" s="114">
        <f t="shared" ref="C52:BP52" si="172">LOG(C23)</f>
        <v>3.3481870355812426</v>
      </c>
      <c r="D52" s="114">
        <f t="shared" si="172"/>
        <v>2.2176145884185487</v>
      </c>
      <c r="E52" s="114">
        <f t="shared" si="172"/>
        <v>3.8080217978153907</v>
      </c>
      <c r="F52" s="114">
        <f t="shared" si="172"/>
        <v>3.3784004890407902</v>
      </c>
      <c r="G52" s="114">
        <f t="shared" si="172"/>
        <v>1.7514798826104025</v>
      </c>
      <c r="H52" s="114">
        <f t="shared" si="172"/>
        <v>2.6424070400159825</v>
      </c>
      <c r="I52" s="114">
        <f t="shared" si="172"/>
        <v>2.1963272124380286</v>
      </c>
      <c r="J52" s="114">
        <f t="shared" si="172"/>
        <v>4.3181325540058149</v>
      </c>
      <c r="K52" s="114">
        <f t="shared" si="172"/>
        <v>4.0069321593833136</v>
      </c>
      <c r="L52" s="114">
        <f t="shared" si="172"/>
        <v>2.879500093544666</v>
      </c>
      <c r="M52" s="114">
        <f t="shared" si="172"/>
        <v>2.475812654111452</v>
      </c>
      <c r="N52" s="114">
        <f t="shared" si="172"/>
        <v>2.2902384337158037</v>
      </c>
      <c r="O52" s="114">
        <f t="shared" si="172"/>
        <v>1.9275603447728538</v>
      </c>
      <c r="P52" s="114">
        <f t="shared" si="172"/>
        <v>1.4302636372727282</v>
      </c>
      <c r="Q52" s="114">
        <f t="shared" si="172"/>
        <v>0</v>
      </c>
      <c r="R52" s="114">
        <f t="shared" si="172"/>
        <v>1.3656707793903233</v>
      </c>
      <c r="S52" s="114">
        <f t="shared" si="172"/>
        <v>2.1783725921911494</v>
      </c>
      <c r="T52" s="114">
        <f t="shared" si="172"/>
        <v>2.5734797026609288</v>
      </c>
      <c r="U52" s="106">
        <f t="shared" si="156"/>
        <v>2.3830255439136279</v>
      </c>
      <c r="V52" s="114">
        <f t="shared" si="172"/>
        <v>4.7338674257137985</v>
      </c>
      <c r="W52" s="114">
        <f t="shared" si="172"/>
        <v>4.8980449406787239</v>
      </c>
      <c r="X52" s="114">
        <f t="shared" si="172"/>
        <v>4.7619044903467005</v>
      </c>
      <c r="Y52" s="114">
        <f t="shared" si="172"/>
        <v>1.812512140479013</v>
      </c>
      <c r="Z52" s="114">
        <f t="shared" si="172"/>
        <v>1.9039516211454355</v>
      </c>
      <c r="AA52" s="114">
        <f t="shared" si="172"/>
        <v>5.5294631882543595</v>
      </c>
      <c r="AB52" s="114">
        <f t="shared" si="172"/>
        <v>4.6061790025480081</v>
      </c>
      <c r="AC52" s="114">
        <f t="shared" si="172"/>
        <v>5.5852682943950498</v>
      </c>
      <c r="AD52" s="114">
        <f t="shared" si="172"/>
        <v>3.0389638349818906</v>
      </c>
      <c r="AE52" s="114">
        <f t="shared" si="172"/>
        <v>3.8780567070257859</v>
      </c>
      <c r="AF52" s="114">
        <f t="shared" si="172"/>
        <v>4.2608439514201635</v>
      </c>
      <c r="AG52" s="114">
        <f t="shared" si="172"/>
        <v>2.423950014837819</v>
      </c>
      <c r="AH52" s="114">
        <f t="shared" si="172"/>
        <v>3.6190961649183926</v>
      </c>
      <c r="AI52" s="114">
        <f t="shared" si="172"/>
        <v>3.1392255606623753</v>
      </c>
      <c r="AJ52" s="114">
        <f t="shared" si="172"/>
        <v>3.0436530799536397</v>
      </c>
      <c r="AK52" s="114">
        <f t="shared" si="172"/>
        <v>2.4876025716994081</v>
      </c>
      <c r="AL52" s="114">
        <f t="shared" si="172"/>
        <v>1.7270620615783057</v>
      </c>
      <c r="AM52" s="114">
        <f t="shared" si="172"/>
        <v>1.8845492765008014</v>
      </c>
      <c r="AN52" s="114">
        <f t="shared" si="172"/>
        <v>1.6204296783531755</v>
      </c>
      <c r="AO52" s="114">
        <f t="shared" si="172"/>
        <v>2.3028030030870337</v>
      </c>
      <c r="AP52" s="114">
        <f t="shared" si="172"/>
        <v>2.8966112491239073</v>
      </c>
      <c r="AQ52" s="114">
        <f t="shared" si="172"/>
        <v>3.1243439500758199</v>
      </c>
      <c r="AR52" s="114">
        <f t="shared" si="172"/>
        <v>3.2866136835718343</v>
      </c>
      <c r="AS52" s="114">
        <f t="shared" si="172"/>
        <v>4.0206159774238319</v>
      </c>
      <c r="AT52" s="114">
        <f t="shared" si="172"/>
        <v>1.7387727694233883</v>
      </c>
      <c r="AU52" s="106">
        <f t="shared" si="157"/>
        <v>3.1243439500758199</v>
      </c>
      <c r="AV52" s="114">
        <f t="shared" si="172"/>
        <v>1.8019992859814196</v>
      </c>
      <c r="AW52" s="114">
        <f t="shared" si="172"/>
        <v>1.9040327619424109</v>
      </c>
      <c r="AX52" s="114">
        <f t="shared" si="172"/>
        <v>2.1231235523920069</v>
      </c>
      <c r="AY52" s="114">
        <f t="shared" si="172"/>
        <v>0</v>
      </c>
      <c r="AZ52" s="114">
        <f t="shared" si="172"/>
        <v>0</v>
      </c>
      <c r="BA52" s="114">
        <f t="shared" si="172"/>
        <v>2.7269365680681603</v>
      </c>
      <c r="BB52" s="114">
        <f t="shared" si="172"/>
        <v>3.4173988362921328</v>
      </c>
      <c r="BC52" s="114">
        <f t="shared" si="172"/>
        <v>3.1932556815259558</v>
      </c>
      <c r="BD52" s="114">
        <f t="shared" si="172"/>
        <v>1.9291786649007814</v>
      </c>
      <c r="BE52" s="114">
        <f t="shared" si="172"/>
        <v>2.0644869995846196</v>
      </c>
      <c r="BF52" s="114">
        <f t="shared" si="172"/>
        <v>2.7649052508835585</v>
      </c>
      <c r="BG52" s="114">
        <f t="shared" si="172"/>
        <v>2.5816394349133165</v>
      </c>
      <c r="BH52" s="114">
        <f t="shared" si="172"/>
        <v>2.8509615071397501</v>
      </c>
      <c r="BI52" s="114">
        <f t="shared" si="172"/>
        <v>2.7805915131903567</v>
      </c>
      <c r="BJ52" s="114">
        <f t="shared" si="172"/>
        <v>4.1570022949791401</v>
      </c>
      <c r="BK52" s="114">
        <f t="shared" si="172"/>
        <v>4.0873475422212957</v>
      </c>
      <c r="BL52" s="114">
        <f t="shared" si="172"/>
        <v>3.3982113858284451</v>
      </c>
      <c r="BM52" s="114">
        <f t="shared" si="172"/>
        <v>3.1144194110940049</v>
      </c>
      <c r="BN52" s="114">
        <f t="shared" si="172"/>
        <v>2.3197632814137359</v>
      </c>
      <c r="BO52" s="114">
        <f t="shared" si="172"/>
        <v>1.760377128756256</v>
      </c>
      <c r="BP52" s="114">
        <f t="shared" si="172"/>
        <v>2.1019691788909913</v>
      </c>
      <c r="BQ52" s="114">
        <f t="shared" ref="BQ52:EC52" si="173">LOG(BQ23)</f>
        <v>1.7661325764243863</v>
      </c>
      <c r="BR52" s="114">
        <f t="shared" si="173"/>
        <v>2.6435832129783168</v>
      </c>
      <c r="BS52" s="114">
        <f t="shared" si="173"/>
        <v>2.7388296753369827</v>
      </c>
      <c r="BT52" s="114">
        <f t="shared" si="173"/>
        <v>2.4015255990081483</v>
      </c>
      <c r="BU52" s="114">
        <f t="shared" si="173"/>
        <v>1.9250876092990099</v>
      </c>
      <c r="BV52" s="114">
        <f t="shared" si="173"/>
        <v>2.1712156741650435</v>
      </c>
      <c r="BW52" s="114">
        <f t="shared" si="173"/>
        <v>2.5640583514846735</v>
      </c>
      <c r="BX52" s="114">
        <f t="shared" si="173"/>
        <v>3.4913181518515968</v>
      </c>
      <c r="BY52" s="114">
        <f t="shared" si="173"/>
        <v>3.9888265452793297</v>
      </c>
      <c r="BZ52" s="114">
        <f t="shared" si="173"/>
        <v>3.3421106454636416</v>
      </c>
      <c r="CA52" s="114">
        <f t="shared" si="173"/>
        <v>2.5819910004316253</v>
      </c>
      <c r="CB52" s="114">
        <f t="shared" si="173"/>
        <v>2.4006850800020754</v>
      </c>
      <c r="CC52" s="114">
        <f t="shared" si="173"/>
        <v>2.1540597308781213</v>
      </c>
      <c r="CD52" s="114">
        <f t="shared" si="173"/>
        <v>2.9532519304452185</v>
      </c>
      <c r="CE52" s="114">
        <f t="shared" si="173"/>
        <v>3.0246623435584321</v>
      </c>
      <c r="CF52" s="114">
        <f t="shared" si="173"/>
        <v>3.1556317279993715</v>
      </c>
      <c r="CG52" s="114">
        <f t="shared" si="173"/>
        <v>1.9985387589898969</v>
      </c>
      <c r="CH52" s="114">
        <f t="shared" si="173"/>
        <v>2.5344214954890774</v>
      </c>
      <c r="CI52" s="114">
        <f t="shared" si="173"/>
        <v>1.4727684348073324</v>
      </c>
      <c r="CJ52" s="114">
        <f t="shared" si="173"/>
        <v>1.7497648154236645</v>
      </c>
      <c r="CK52" s="114">
        <v>0</v>
      </c>
      <c r="CL52" s="114">
        <v>0</v>
      </c>
      <c r="CM52" s="114">
        <f t="shared" si="173"/>
        <v>1.470685576837079</v>
      </c>
      <c r="CN52" s="114">
        <v>0</v>
      </c>
      <c r="CO52" s="114">
        <f t="shared" si="173"/>
        <v>1.4805554620040915</v>
      </c>
      <c r="CP52" s="106">
        <f t="shared" si="159"/>
        <v>2.4011053395051118</v>
      </c>
      <c r="CQ52" s="114">
        <f t="shared" si="173"/>
        <v>1.404596166469249</v>
      </c>
      <c r="CR52" s="114">
        <f t="shared" si="173"/>
        <v>1.1937118927353851</v>
      </c>
      <c r="CS52" s="114">
        <f t="shared" si="173"/>
        <v>1.4666480086388165</v>
      </c>
      <c r="CT52" s="114">
        <f t="shared" si="173"/>
        <v>1.2197833738812716</v>
      </c>
      <c r="CU52" s="114">
        <f t="shared" si="173"/>
        <v>1.1574799721333324</v>
      </c>
      <c r="CV52" s="114">
        <f t="shared" si="173"/>
        <v>1.1145479201736552</v>
      </c>
      <c r="CW52" s="114">
        <f t="shared" si="173"/>
        <v>2.2325519551981259</v>
      </c>
      <c r="CX52" s="114">
        <f t="shared" si="173"/>
        <v>2.6476428049354892</v>
      </c>
      <c r="CY52" s="114">
        <v>0</v>
      </c>
      <c r="CZ52" s="114">
        <f t="shared" si="173"/>
        <v>1.5400648777304471</v>
      </c>
      <c r="DA52" s="114">
        <f t="shared" si="173"/>
        <v>1.8285179969966396</v>
      </c>
      <c r="DB52" s="114">
        <f t="shared" si="173"/>
        <v>2.3052144428249748</v>
      </c>
      <c r="DC52" s="114">
        <f t="shared" si="173"/>
        <v>1.4408595202605192</v>
      </c>
      <c r="DD52" s="114">
        <f t="shared" si="173"/>
        <v>2.0652614585722091</v>
      </c>
      <c r="DE52" s="114">
        <f t="shared" si="173"/>
        <v>3.1247315620248863</v>
      </c>
      <c r="DF52" s="114">
        <f t="shared" si="173"/>
        <v>3.0691432398679961</v>
      </c>
      <c r="DG52" s="114">
        <v>0</v>
      </c>
      <c r="DH52" s="114">
        <f t="shared" si="173"/>
        <v>1.3596778245455077</v>
      </c>
      <c r="DI52" s="114">
        <v>0</v>
      </c>
      <c r="DJ52" s="114">
        <v>0</v>
      </c>
      <c r="DK52" s="114">
        <f t="shared" si="173"/>
        <v>1.5936102000985508</v>
      </c>
      <c r="DL52" s="114">
        <f t="shared" si="173"/>
        <v>1.7300805396303429</v>
      </c>
      <c r="DM52" s="114">
        <f t="shared" si="173"/>
        <v>2.0030000495653941</v>
      </c>
      <c r="DN52" s="114">
        <f t="shared" si="173"/>
        <v>1.5901265132995757</v>
      </c>
      <c r="DO52" s="114">
        <f t="shared" si="173"/>
        <v>2.8481787679708557</v>
      </c>
      <c r="DP52" s="114">
        <f t="shared" si="173"/>
        <v>2.938062570037228</v>
      </c>
      <c r="DQ52" s="114">
        <f t="shared" si="173"/>
        <v>2.7175888931694647</v>
      </c>
      <c r="DR52" s="114">
        <f t="shared" si="173"/>
        <v>2.6075998127037119</v>
      </c>
      <c r="DS52" s="114">
        <f t="shared" si="173"/>
        <v>1.5259986160637902</v>
      </c>
      <c r="DT52" s="114">
        <v>0</v>
      </c>
      <c r="DU52" s="114">
        <f t="shared" si="173"/>
        <v>1.2670366235844999</v>
      </c>
      <c r="DV52" s="114">
        <f t="shared" si="173"/>
        <v>1.2915456773025213</v>
      </c>
      <c r="DW52" s="114">
        <f t="shared" si="173"/>
        <v>1.2772585150289468</v>
      </c>
      <c r="DX52" s="114">
        <f t="shared" si="173"/>
        <v>1.2380926517711044</v>
      </c>
      <c r="DY52" s="114">
        <f t="shared" si="173"/>
        <v>1.48098558156025</v>
      </c>
      <c r="DZ52" s="114">
        <f t="shared" si="173"/>
        <v>1.5834066337309136</v>
      </c>
      <c r="EA52" s="114">
        <f t="shared" si="173"/>
        <v>1.5737012388754228</v>
      </c>
      <c r="EB52" s="114">
        <v>0</v>
      </c>
      <c r="EC52" s="114">
        <f t="shared" si="173"/>
        <v>1.5462879966458156</v>
      </c>
      <c r="ED52" s="114">
        <f t="shared" ref="ED52:FH52" si="174">LOG(ED23)</f>
        <v>2.3909428900142022</v>
      </c>
      <c r="EE52" s="114">
        <f t="shared" si="174"/>
        <v>2.3236344428625721</v>
      </c>
      <c r="EF52" s="114">
        <f t="shared" si="174"/>
        <v>2.0291809071444042</v>
      </c>
      <c r="EG52" s="114">
        <f t="shared" si="174"/>
        <v>2.0898038499376974</v>
      </c>
      <c r="EH52" s="114">
        <f t="shared" si="174"/>
        <v>1.3121077726868418</v>
      </c>
      <c r="EI52" s="114">
        <v>0</v>
      </c>
      <c r="EJ52" s="114">
        <v>0</v>
      </c>
      <c r="EK52" s="114">
        <v>0</v>
      </c>
      <c r="EL52" s="114">
        <v>0</v>
      </c>
      <c r="EM52" s="114">
        <f t="shared" si="174"/>
        <v>1.2870734220287274</v>
      </c>
      <c r="EN52" s="114">
        <v>0</v>
      </c>
      <c r="EO52" s="114">
        <f t="shared" si="174"/>
        <v>1.3824321628829959</v>
      </c>
      <c r="EP52" s="106">
        <f t="shared" si="161"/>
        <v>1.9145601856207104</v>
      </c>
      <c r="EQ52" s="114">
        <f t="shared" si="174"/>
        <v>1.8582710210419424</v>
      </c>
      <c r="ER52" s="114">
        <f t="shared" si="174"/>
        <v>2.5648591884053316</v>
      </c>
      <c r="ES52" s="114">
        <f t="shared" si="174"/>
        <v>2.2005576258986395</v>
      </c>
      <c r="ET52" s="114">
        <v>0</v>
      </c>
      <c r="EU52" s="114">
        <v>0</v>
      </c>
      <c r="EV52" s="114">
        <v>0</v>
      </c>
      <c r="EW52" s="114">
        <v>0</v>
      </c>
      <c r="EX52" s="114">
        <f t="shared" si="174"/>
        <v>2.2325109670620664</v>
      </c>
      <c r="EY52" s="114">
        <f t="shared" si="174"/>
        <v>2.5928817012424874</v>
      </c>
      <c r="EZ52" s="114">
        <f t="shared" si="174"/>
        <v>1.4801791491344138</v>
      </c>
      <c r="FA52" s="114">
        <v>0</v>
      </c>
      <c r="FB52" s="114">
        <f t="shared" si="174"/>
        <v>2.064860007771379</v>
      </c>
      <c r="FC52" s="114">
        <v>0</v>
      </c>
      <c r="FD52" s="114">
        <f t="shared" si="174"/>
        <v>1.6521350557260617</v>
      </c>
      <c r="FE52" s="114">
        <f t="shared" si="174"/>
        <v>2.6476428049354892</v>
      </c>
      <c r="FF52" s="114">
        <f t="shared" si="174"/>
        <v>1.60837958410274</v>
      </c>
      <c r="FG52" s="114">
        <f t="shared" si="174"/>
        <v>1.3895066170559345</v>
      </c>
      <c r="FH52" s="114">
        <f t="shared" si="174"/>
        <v>1.2023297007307032</v>
      </c>
      <c r="FI52" s="114">
        <v>0</v>
      </c>
      <c r="FJ52" s="78">
        <f t="shared" si="162"/>
        <v>1.4801791491344138</v>
      </c>
      <c r="FK52" s="48">
        <v>1.4801791</v>
      </c>
      <c r="FL52" s="29"/>
    </row>
    <row r="53" spans="1:175">
      <c r="A53" s="73"/>
      <c r="B53" s="74" t="s">
        <v>172</v>
      </c>
      <c r="C53" s="107">
        <f>AVERAGE(C47:C52)</f>
        <v>2.9089212024022184</v>
      </c>
      <c r="D53" s="107">
        <f t="shared" ref="D53:BQ53" si="175">AVERAGE(D47:D52)</f>
        <v>2.04619849297513</v>
      </c>
      <c r="E53" s="107">
        <f t="shared" si="175"/>
        <v>3.6463598775086106</v>
      </c>
      <c r="F53" s="107">
        <f t="shared" si="175"/>
        <v>3.3692736596641351</v>
      </c>
      <c r="G53" s="107">
        <f t="shared" si="175"/>
        <v>2.0018325929874963</v>
      </c>
      <c r="H53" s="107">
        <f t="shared" si="175"/>
        <v>2.4049148736388721</v>
      </c>
      <c r="I53" s="107">
        <f t="shared" si="175"/>
        <v>2.3415518948740606</v>
      </c>
      <c r="J53" s="107">
        <f t="shared" si="175"/>
        <v>4.0007876627819785</v>
      </c>
      <c r="K53" s="107">
        <f t="shared" si="175"/>
        <v>3.6640174966096324</v>
      </c>
      <c r="L53" s="107">
        <f t="shared" si="175"/>
        <v>2.3798214362702876</v>
      </c>
      <c r="M53" s="107">
        <f t="shared" si="175"/>
        <v>2.0814611168008841</v>
      </c>
      <c r="N53" s="107">
        <f t="shared" si="175"/>
        <v>1.9247244790175451</v>
      </c>
      <c r="O53" s="107">
        <f t="shared" si="175"/>
        <v>1.1312952780186933</v>
      </c>
      <c r="P53" s="107">
        <f t="shared" si="175"/>
        <v>1.6155996149819918</v>
      </c>
      <c r="Q53" s="107">
        <f t="shared" si="175"/>
        <v>0.84258709878455684</v>
      </c>
      <c r="R53" s="107">
        <f t="shared" si="175"/>
        <v>1.581298097530399</v>
      </c>
      <c r="S53" s="107">
        <f t="shared" si="175"/>
        <v>1.9197973031064641</v>
      </c>
      <c r="T53" s="107">
        <f t="shared" si="175"/>
        <v>2.3119338117875521</v>
      </c>
      <c r="U53" s="107"/>
      <c r="V53" s="107">
        <f t="shared" si="175"/>
        <v>4.61606059880872</v>
      </c>
      <c r="W53" s="107">
        <f t="shared" si="175"/>
        <v>4.7839096436148534</v>
      </c>
      <c r="X53" s="107">
        <f t="shared" si="175"/>
        <v>4.8357845611703087</v>
      </c>
      <c r="Y53" s="107">
        <f t="shared" si="175"/>
        <v>1.8982746757527005</v>
      </c>
      <c r="Z53" s="107">
        <f t="shared" si="175"/>
        <v>2.4885743739325781</v>
      </c>
      <c r="AA53" s="107">
        <f t="shared" si="175"/>
        <v>5.3588247465309111</v>
      </c>
      <c r="AB53" s="107">
        <f t="shared" si="175"/>
        <v>4.412135180687339</v>
      </c>
      <c r="AC53" s="107">
        <f t="shared" si="175"/>
        <v>5.3722241853618122</v>
      </c>
      <c r="AD53" s="107">
        <f t="shared" si="175"/>
        <v>3.1373415398677218</v>
      </c>
      <c r="AE53" s="107">
        <f t="shared" si="175"/>
        <v>4.1543227968037648</v>
      </c>
      <c r="AF53" s="107">
        <f t="shared" si="175"/>
        <v>4.2995487403461974</v>
      </c>
      <c r="AG53" s="107">
        <f t="shared" si="175"/>
        <v>2.9289722900600879</v>
      </c>
      <c r="AH53" s="107">
        <f t="shared" si="175"/>
        <v>3.4620110090801202</v>
      </c>
      <c r="AI53" s="107">
        <f t="shared" si="175"/>
        <v>2.4801132653617906</v>
      </c>
      <c r="AJ53" s="107">
        <f t="shared" si="175"/>
        <v>2.7388900722210248</v>
      </c>
      <c r="AK53" s="107">
        <f t="shared" si="175"/>
        <v>2.6043856917512369</v>
      </c>
      <c r="AL53" s="107">
        <f t="shared" si="175"/>
        <v>1.9288016053960224</v>
      </c>
      <c r="AM53" s="107">
        <f t="shared" si="175"/>
        <v>2.3821340261759802</v>
      </c>
      <c r="AN53" s="107">
        <f t="shared" si="175"/>
        <v>2.4298189005808695</v>
      </c>
      <c r="AO53" s="107">
        <f t="shared" si="175"/>
        <v>1.9603195992641724</v>
      </c>
      <c r="AP53" s="107">
        <f t="shared" si="175"/>
        <v>3.0154695036582306</v>
      </c>
      <c r="AQ53" s="107">
        <f t="shared" si="175"/>
        <v>2.9474203975435778</v>
      </c>
      <c r="AR53" s="107">
        <f t="shared" si="175"/>
        <v>3.2956808599043299</v>
      </c>
      <c r="AS53" s="107">
        <f t="shared" si="175"/>
        <v>4.1425534004169862</v>
      </c>
      <c r="AT53" s="107">
        <f t="shared" si="175"/>
        <v>2.0186916421664711</v>
      </c>
      <c r="AU53" s="107"/>
      <c r="AV53" s="107">
        <f t="shared" si="175"/>
        <v>1.6383864052227206</v>
      </c>
      <c r="AW53" s="107">
        <f t="shared" si="175"/>
        <v>1.9614676132161932</v>
      </c>
      <c r="AX53" s="107">
        <f t="shared" si="175"/>
        <v>1.9420194509463971</v>
      </c>
      <c r="AY53" s="107">
        <f t="shared" si="175"/>
        <v>1.1237995485084487</v>
      </c>
      <c r="AZ53" s="107">
        <f t="shared" si="175"/>
        <v>0.68159417803814948</v>
      </c>
      <c r="BA53" s="107">
        <f t="shared" si="175"/>
        <v>1.9485585103142247</v>
      </c>
      <c r="BB53" s="107">
        <f t="shared" si="175"/>
        <v>3.4398911033057602</v>
      </c>
      <c r="BC53" s="107">
        <f t="shared" si="175"/>
        <v>3.1789067145331948</v>
      </c>
      <c r="BD53" s="107">
        <f t="shared" si="175"/>
        <v>1.6219152976663047</v>
      </c>
      <c r="BE53" s="107">
        <f t="shared" si="175"/>
        <v>1.4680657426118842</v>
      </c>
      <c r="BF53" s="107">
        <f t="shared" si="175"/>
        <v>2.6872312833980385</v>
      </c>
      <c r="BG53" s="107">
        <f t="shared" si="175"/>
        <v>2.1160615399922436</v>
      </c>
      <c r="BH53" s="107">
        <f t="shared" si="175"/>
        <v>2.5726749249877581</v>
      </c>
      <c r="BI53" s="107">
        <f t="shared" si="175"/>
        <v>2.2313530349421229</v>
      </c>
      <c r="BJ53" s="107">
        <f t="shared" si="175"/>
        <v>4.084813571583938</v>
      </c>
      <c r="BK53" s="107">
        <f t="shared" si="175"/>
        <v>3.8552171585712869</v>
      </c>
      <c r="BL53" s="107">
        <f t="shared" si="175"/>
        <v>3.2028072381482211</v>
      </c>
      <c r="BM53" s="107">
        <f t="shared" si="175"/>
        <v>3.0248291235436624</v>
      </c>
      <c r="BN53" s="107">
        <f t="shared" si="175"/>
        <v>2.2152934242720348</v>
      </c>
      <c r="BO53" s="107">
        <f t="shared" si="175"/>
        <v>1.8478645822540776</v>
      </c>
      <c r="BP53" s="107">
        <f t="shared" si="175"/>
        <v>2.0589551039967886</v>
      </c>
      <c r="BQ53" s="107">
        <f t="shared" si="175"/>
        <v>2.2071501634186865</v>
      </c>
      <c r="BR53" s="107">
        <f t="shared" ref="BR53:ED53" si="176">AVERAGE(BR47:BR52)</f>
        <v>2.3116912593262824</v>
      </c>
      <c r="BS53" s="107">
        <f t="shared" si="176"/>
        <v>2.112691367632952</v>
      </c>
      <c r="BT53" s="107">
        <f t="shared" si="176"/>
        <v>2.268575304286518</v>
      </c>
      <c r="BU53" s="107">
        <f t="shared" si="176"/>
        <v>1.6330644661379992</v>
      </c>
      <c r="BV53" s="107">
        <f t="shared" si="176"/>
        <v>2.3381413805404345</v>
      </c>
      <c r="BW53" s="107">
        <f t="shared" si="176"/>
        <v>2.8715218142310781</v>
      </c>
      <c r="BX53" s="107">
        <f t="shared" si="176"/>
        <v>3.3793169356640314</v>
      </c>
      <c r="BY53" s="107">
        <f t="shared" si="176"/>
        <v>3.8877139402376986</v>
      </c>
      <c r="BZ53" s="107">
        <f t="shared" si="176"/>
        <v>3.1250281991599782</v>
      </c>
      <c r="CA53" s="107">
        <f t="shared" si="176"/>
        <v>2.6672725578163856</v>
      </c>
      <c r="CB53" s="107">
        <f t="shared" si="176"/>
        <v>2.3692183495594827</v>
      </c>
      <c r="CC53" s="107">
        <f t="shared" si="176"/>
        <v>2.0325551948445306</v>
      </c>
      <c r="CD53" s="107">
        <f t="shared" si="176"/>
        <v>2.9795772213823715</v>
      </c>
      <c r="CE53" s="107">
        <f t="shared" si="176"/>
        <v>3.0519027828478738</v>
      </c>
      <c r="CF53" s="107">
        <f t="shared" si="176"/>
        <v>2.9570212336400132</v>
      </c>
      <c r="CG53" s="107">
        <f t="shared" si="176"/>
        <v>1.7872653711918665</v>
      </c>
      <c r="CH53" s="107">
        <f t="shared" si="176"/>
        <v>2.2695885157970541</v>
      </c>
      <c r="CI53" s="107">
        <f t="shared" si="176"/>
        <v>0.85719443968600728</v>
      </c>
      <c r="CJ53" s="107">
        <f t="shared" si="176"/>
        <v>0.53309724575770978</v>
      </c>
      <c r="CK53" s="107">
        <f t="shared" si="176"/>
        <v>1.0311760885761971</v>
      </c>
      <c r="CL53" s="107">
        <f t="shared" si="176"/>
        <v>0</v>
      </c>
      <c r="CM53" s="107">
        <f t="shared" si="176"/>
        <v>1.6171080833984035</v>
      </c>
      <c r="CN53" s="107">
        <f t="shared" si="176"/>
        <v>0.80765108453596246</v>
      </c>
      <c r="CO53" s="107">
        <f t="shared" si="176"/>
        <v>1.5836048803869287</v>
      </c>
      <c r="CP53" s="53"/>
      <c r="CQ53" s="107">
        <f t="shared" si="176"/>
        <v>0.44321061644129428</v>
      </c>
      <c r="CR53" s="107">
        <f t="shared" si="176"/>
        <v>0.40387217443311724</v>
      </c>
      <c r="CS53" s="107">
        <f t="shared" si="176"/>
        <v>0.4478045381123355</v>
      </c>
      <c r="CT53" s="107">
        <f t="shared" si="176"/>
        <v>0.88631470193738793</v>
      </c>
      <c r="CU53" s="107">
        <f t="shared" si="176"/>
        <v>0.19291332868888875</v>
      </c>
      <c r="CV53" s="107">
        <f t="shared" si="176"/>
        <v>0.42722219434128839</v>
      </c>
      <c r="CW53" s="107">
        <f t="shared" si="176"/>
        <v>1.2190156896684077</v>
      </c>
      <c r="CX53" s="107">
        <f t="shared" si="176"/>
        <v>2.0513888023845404</v>
      </c>
      <c r="CY53" s="107">
        <f t="shared" si="176"/>
        <v>0.40154692643663054</v>
      </c>
      <c r="CZ53" s="107">
        <f t="shared" si="176"/>
        <v>1.0563846615434018</v>
      </c>
      <c r="DA53" s="107">
        <f t="shared" si="176"/>
        <v>1.4459615313447223</v>
      </c>
      <c r="DB53" s="107">
        <f t="shared" si="176"/>
        <v>1.6892114036998205</v>
      </c>
      <c r="DC53" s="107">
        <f t="shared" si="176"/>
        <v>0.43672920177489832</v>
      </c>
      <c r="DD53" s="107">
        <f t="shared" si="176"/>
        <v>1.1091543107786384</v>
      </c>
      <c r="DE53" s="107">
        <f t="shared" si="176"/>
        <v>2.5120889007318534</v>
      </c>
      <c r="DF53" s="107">
        <f t="shared" si="176"/>
        <v>2.238448869490635</v>
      </c>
      <c r="DG53" s="107">
        <f t="shared" si="176"/>
        <v>0.2317697139565027</v>
      </c>
      <c r="DH53" s="107">
        <f t="shared" si="176"/>
        <v>0.2266129707575846</v>
      </c>
      <c r="DI53" s="107">
        <f t="shared" si="176"/>
        <v>0.19987680422374432</v>
      </c>
      <c r="DJ53" s="107">
        <f t="shared" si="176"/>
        <v>0.6286086131228622</v>
      </c>
      <c r="DK53" s="107">
        <f t="shared" si="176"/>
        <v>1.0504886669421323</v>
      </c>
      <c r="DL53" s="107">
        <f t="shared" si="176"/>
        <v>1.0878189627444603</v>
      </c>
      <c r="DM53" s="107">
        <f t="shared" si="176"/>
        <v>1.4418555851482662</v>
      </c>
      <c r="DN53" s="107">
        <f t="shared" si="176"/>
        <v>1.0917146303590393</v>
      </c>
      <c r="DO53" s="107">
        <f t="shared" si="176"/>
        <v>2.0305013426158873</v>
      </c>
      <c r="DP53" s="107">
        <f t="shared" si="176"/>
        <v>2.3271650341050134</v>
      </c>
      <c r="DQ53" s="107">
        <f t="shared" si="176"/>
        <v>2.0972597742890611</v>
      </c>
      <c r="DR53" s="107">
        <f t="shared" si="176"/>
        <v>1.6737293495520404</v>
      </c>
      <c r="DS53" s="107">
        <f t="shared" si="176"/>
        <v>0.25433310267729836</v>
      </c>
      <c r="DT53" s="107">
        <f t="shared" si="176"/>
        <v>0</v>
      </c>
      <c r="DU53" s="107">
        <v>0</v>
      </c>
      <c r="DV53" s="107">
        <f t="shared" si="176"/>
        <v>0.21525761288375356</v>
      </c>
      <c r="DW53" s="107">
        <f t="shared" si="176"/>
        <v>0.21287641917149114</v>
      </c>
      <c r="DX53" s="107">
        <f t="shared" si="176"/>
        <v>0.84169847513581553</v>
      </c>
      <c r="DY53" s="107">
        <f t="shared" si="176"/>
        <v>1.1955646650719389</v>
      </c>
      <c r="DZ53" s="107">
        <f t="shared" si="176"/>
        <v>1.2843765807659222</v>
      </c>
      <c r="EA53" s="107">
        <f t="shared" si="176"/>
        <v>0.45353277624132016</v>
      </c>
      <c r="EB53" s="107">
        <f t="shared" si="176"/>
        <v>0</v>
      </c>
      <c r="EC53" s="107">
        <f t="shared" si="176"/>
        <v>0.7309355361213189</v>
      </c>
      <c r="ED53" s="107">
        <f t="shared" si="176"/>
        <v>1.6179067661376223</v>
      </c>
      <c r="EE53" s="107">
        <f t="shared" ref="EE53:FI53" si="177">AVERAGE(EE47:EE52)</f>
        <v>1.1742578848004872</v>
      </c>
      <c r="EF53" s="107">
        <f t="shared" si="177"/>
        <v>1.5961429883826039</v>
      </c>
      <c r="EG53" s="107">
        <f t="shared" si="177"/>
        <v>1.1041864259412539</v>
      </c>
      <c r="EH53" s="107">
        <f t="shared" si="177"/>
        <v>0.43717206829319649</v>
      </c>
      <c r="EI53" s="107">
        <f t="shared" si="177"/>
        <v>0.21270858628234168</v>
      </c>
      <c r="EJ53" s="107">
        <f t="shared" si="177"/>
        <v>0</v>
      </c>
      <c r="EK53" s="107">
        <v>0</v>
      </c>
      <c r="EL53" s="107">
        <f t="shared" si="177"/>
        <v>0.59812368300179675</v>
      </c>
      <c r="EM53" s="107">
        <f t="shared" si="177"/>
        <v>0.45677511675599386</v>
      </c>
      <c r="EN53" s="107">
        <f t="shared" si="177"/>
        <v>0.22244646873030946</v>
      </c>
      <c r="EO53" s="107">
        <f t="shared" si="177"/>
        <v>0.86124628537626524</v>
      </c>
      <c r="EP53" s="107"/>
      <c r="EQ53" s="107">
        <f t="shared" si="177"/>
        <v>0.72920602051690242</v>
      </c>
      <c r="ER53" s="107">
        <f t="shared" si="177"/>
        <v>1.7779005332123408</v>
      </c>
      <c r="ES53" s="107">
        <f t="shared" si="177"/>
        <v>0.85119491167816674</v>
      </c>
      <c r="ET53" s="107">
        <f t="shared" si="177"/>
        <v>0</v>
      </c>
      <c r="EU53" s="107">
        <f t="shared" si="177"/>
        <v>0.70957023860944657</v>
      </c>
      <c r="EV53" s="107">
        <f t="shared" si="177"/>
        <v>0.42294843999154602</v>
      </c>
      <c r="EW53" s="107">
        <f t="shared" si="177"/>
        <v>0.27289926029292338</v>
      </c>
      <c r="EX53" s="107">
        <f t="shared" si="177"/>
        <v>1.1915416650419302</v>
      </c>
      <c r="EY53" s="107">
        <f t="shared" si="177"/>
        <v>2.0098550421140291</v>
      </c>
      <c r="EZ53" s="107">
        <f t="shared" si="177"/>
        <v>0.95052465240263373</v>
      </c>
      <c r="FA53" s="107">
        <f t="shared" si="177"/>
        <v>0.4681562478980143</v>
      </c>
      <c r="FB53" s="107">
        <f t="shared" si="177"/>
        <v>0.83684481706398095</v>
      </c>
      <c r="FC53" s="107">
        <f t="shared" si="177"/>
        <v>0</v>
      </c>
      <c r="FD53" s="107">
        <v>0</v>
      </c>
      <c r="FE53" s="107">
        <f t="shared" si="177"/>
        <v>2.0513888023845404</v>
      </c>
      <c r="FF53" s="107">
        <f t="shared" si="177"/>
        <v>0.45696690054197103</v>
      </c>
      <c r="FG53" s="107">
        <f t="shared" si="177"/>
        <v>0.23158443617598909</v>
      </c>
      <c r="FH53" s="107">
        <f t="shared" si="177"/>
        <v>0.41162583888297988</v>
      </c>
      <c r="FI53" s="107">
        <f t="shared" si="177"/>
        <v>0</v>
      </c>
      <c r="FJ53" s="73"/>
    </row>
    <row r="54" spans="1:175">
      <c r="A54" s="73"/>
      <c r="B54" s="74" t="s">
        <v>165</v>
      </c>
      <c r="C54" s="72">
        <f>_xlfn.STDEV.S(C47:C52)</f>
        <v>0.3826243069004171</v>
      </c>
      <c r="D54" s="72">
        <f t="shared" ref="D54:BQ54" si="178">_xlfn.STDEV.S(D47:D52)</f>
        <v>0.28857625759282735</v>
      </c>
      <c r="E54" s="72">
        <f t="shared" si="178"/>
        <v>0.157419861972841</v>
      </c>
      <c r="F54" s="72">
        <f t="shared" si="178"/>
        <v>0.11422294051486877</v>
      </c>
      <c r="G54" s="72">
        <f t="shared" si="178"/>
        <v>0.26556221647267392</v>
      </c>
      <c r="H54" s="72">
        <f t="shared" si="178"/>
        <v>0.22189791919606169</v>
      </c>
      <c r="I54" s="72">
        <f t="shared" si="178"/>
        <v>0.28552610707392029</v>
      </c>
      <c r="J54" s="72">
        <f t="shared" si="178"/>
        <v>0.16953467020735918</v>
      </c>
      <c r="K54" s="72">
        <f t="shared" si="178"/>
        <v>0.18811759963727326</v>
      </c>
      <c r="L54" s="72">
        <f t="shared" si="178"/>
        <v>0.39444862905299805</v>
      </c>
      <c r="M54" s="72">
        <f t="shared" si="178"/>
        <v>0.29900774237113942</v>
      </c>
      <c r="N54" s="72">
        <f t="shared" si="178"/>
        <v>0.37183674785826093</v>
      </c>
      <c r="O54" s="72">
        <f t="shared" si="178"/>
        <v>0.88487968830465769</v>
      </c>
      <c r="P54" s="72">
        <f t="shared" si="178"/>
        <v>0.16454741822611293</v>
      </c>
      <c r="Q54" s="72">
        <f t="shared" si="178"/>
        <v>0.92519462781485506</v>
      </c>
      <c r="R54" s="72">
        <f t="shared" si="178"/>
        <v>0.12211563169911319</v>
      </c>
      <c r="S54" s="72">
        <f t="shared" si="178"/>
        <v>0.33333984849456</v>
      </c>
      <c r="T54" s="72">
        <f t="shared" si="178"/>
        <v>0.31203311246830195</v>
      </c>
      <c r="U54" s="72"/>
      <c r="V54" s="72">
        <f t="shared" si="178"/>
        <v>7.3939150765460246E-2</v>
      </c>
      <c r="W54" s="72">
        <f t="shared" si="178"/>
        <v>6.8605842988142943E-2</v>
      </c>
      <c r="X54" s="72">
        <f t="shared" si="178"/>
        <v>0.13878013299133538</v>
      </c>
      <c r="Y54" s="72">
        <f t="shared" si="178"/>
        <v>0.27503307765074725</v>
      </c>
      <c r="Z54" s="72">
        <f t="shared" si="178"/>
        <v>0.3972191726125256</v>
      </c>
      <c r="AA54" s="72">
        <f t="shared" si="178"/>
        <v>0.13404149026682416</v>
      </c>
      <c r="AB54" s="72">
        <f t="shared" si="178"/>
        <v>0.19965184531383559</v>
      </c>
      <c r="AC54" s="72">
        <f t="shared" si="178"/>
        <v>0.21001886291480951</v>
      </c>
      <c r="AD54" s="72">
        <f t="shared" si="178"/>
        <v>0.21785829329942752</v>
      </c>
      <c r="AE54" s="72">
        <f t="shared" si="178"/>
        <v>0.18308866505124158</v>
      </c>
      <c r="AF54" s="72">
        <f t="shared" si="178"/>
        <v>0.10175446758981034</v>
      </c>
      <c r="AG54" s="72">
        <f t="shared" si="178"/>
        <v>0.27617496343164161</v>
      </c>
      <c r="AH54" s="72">
        <f t="shared" si="178"/>
        <v>0.11769956389375526</v>
      </c>
      <c r="AI54" s="72">
        <f t="shared" si="178"/>
        <v>0.45837249494943649</v>
      </c>
      <c r="AJ54" s="72">
        <f t="shared" si="178"/>
        <v>0.47707162726424146</v>
      </c>
      <c r="AK54" s="72">
        <f t="shared" si="178"/>
        <v>0.10710912305144681</v>
      </c>
      <c r="AL54" s="72">
        <f t="shared" si="178"/>
        <v>0.38891946424510843</v>
      </c>
      <c r="AM54" s="72">
        <f t="shared" si="178"/>
        <v>0.31716959540975775</v>
      </c>
      <c r="AN54" s="72">
        <f t="shared" si="178"/>
        <v>0.43009747943512699</v>
      </c>
      <c r="AO54" s="72">
        <f t="shared" si="178"/>
        <v>0.45533685223513792</v>
      </c>
      <c r="AP54" s="72">
        <f t="shared" si="178"/>
        <v>0.15476255866222749</v>
      </c>
      <c r="AQ54" s="72">
        <f t="shared" si="178"/>
        <v>0.14987146109911176</v>
      </c>
      <c r="AR54" s="72">
        <f t="shared" si="178"/>
        <v>6.5829720936103009E-2</v>
      </c>
      <c r="AS54" s="72">
        <f t="shared" si="178"/>
        <v>9.7998811228185767E-2</v>
      </c>
      <c r="AT54" s="72">
        <f t="shared" si="178"/>
        <v>0.26099684311888405</v>
      </c>
      <c r="AU54" s="72"/>
      <c r="AV54" s="72">
        <f t="shared" si="178"/>
        <v>0.81966082077837665</v>
      </c>
      <c r="AW54" s="72">
        <f t="shared" si="178"/>
        <v>0.3861346581604852</v>
      </c>
      <c r="AX54" s="72">
        <f t="shared" si="178"/>
        <v>0.37975022438000722</v>
      </c>
      <c r="AY54" s="72">
        <f t="shared" si="178"/>
        <v>0.87836241950922633</v>
      </c>
      <c r="AZ54" s="72">
        <f t="shared" si="178"/>
        <v>0.75596097537433959</v>
      </c>
      <c r="BA54" s="72">
        <f t="shared" si="178"/>
        <v>1.5151636598612124</v>
      </c>
      <c r="BB54" s="72">
        <f t="shared" si="178"/>
        <v>0.87391573622217233</v>
      </c>
      <c r="BC54" s="72">
        <f t="shared" si="178"/>
        <v>0.8616248629158777</v>
      </c>
      <c r="BD54" s="72">
        <f t="shared" si="178"/>
        <v>1.2842922215164323</v>
      </c>
      <c r="BE54" s="72">
        <f t="shared" si="178"/>
        <v>1.1693297260459379</v>
      </c>
      <c r="BF54" s="72">
        <f t="shared" si="178"/>
        <v>0.62677722719872397</v>
      </c>
      <c r="BG54" s="72">
        <f t="shared" si="178"/>
        <v>1.1144474706850627</v>
      </c>
      <c r="BH54" s="72">
        <f t="shared" si="178"/>
        <v>0.64965166855465528</v>
      </c>
      <c r="BI54" s="72">
        <f t="shared" si="178"/>
        <v>1.2085850444792487</v>
      </c>
      <c r="BJ54" s="72">
        <f t="shared" si="178"/>
        <v>0.73201222159290225</v>
      </c>
      <c r="BK54" s="72">
        <f t="shared" si="178"/>
        <v>0.8595953972374637</v>
      </c>
      <c r="BL54" s="72">
        <f t="shared" si="178"/>
        <v>0.99484277303825819</v>
      </c>
      <c r="BM54" s="72">
        <f t="shared" si="178"/>
        <v>0.88535834927971158</v>
      </c>
      <c r="BN54" s="72">
        <f t="shared" si="178"/>
        <v>0.57281262832576163</v>
      </c>
      <c r="BO54" s="72">
        <f t="shared" si="178"/>
        <v>0.95472681690995898</v>
      </c>
      <c r="BP54" s="72">
        <f t="shared" si="178"/>
        <v>1.1201701859222999</v>
      </c>
      <c r="BQ54" s="72">
        <f t="shared" si="178"/>
        <v>1.21900075960013</v>
      </c>
      <c r="BR54" s="72">
        <f t="shared" ref="BR54:ED54" si="179">_xlfn.STDEV.S(BR47:BR52)</f>
        <v>1.2930574528217154</v>
      </c>
      <c r="BS54" s="72">
        <f t="shared" si="179"/>
        <v>1.224798317645212</v>
      </c>
      <c r="BT54" s="72">
        <f t="shared" si="179"/>
        <v>1.2669291815346344</v>
      </c>
      <c r="BU54" s="72">
        <f t="shared" si="179"/>
        <v>1.3119726961894036</v>
      </c>
      <c r="BV54" s="72">
        <f t="shared" si="179"/>
        <v>0.44731515697293289</v>
      </c>
      <c r="BW54" s="72">
        <f t="shared" si="179"/>
        <v>0.72583323659442589</v>
      </c>
      <c r="BX54" s="72">
        <f t="shared" si="179"/>
        <v>0.78009698672960415</v>
      </c>
      <c r="BY54" s="72">
        <f t="shared" si="179"/>
        <v>0.78217502557314622</v>
      </c>
      <c r="BZ54" s="72">
        <f t="shared" si="179"/>
        <v>1.0339158176904018</v>
      </c>
      <c r="CA54" s="72">
        <f t="shared" si="179"/>
        <v>0.80616322939360929</v>
      </c>
      <c r="CB54" s="72">
        <f t="shared" si="179"/>
        <v>0.83932860882313076</v>
      </c>
      <c r="CC54" s="72">
        <f t="shared" si="179"/>
        <v>1.1113095307570811</v>
      </c>
      <c r="CD54" s="72">
        <f t="shared" si="179"/>
        <v>0.69097701281280632</v>
      </c>
      <c r="CE54" s="72">
        <f t="shared" si="179"/>
        <v>0.81101988992635798</v>
      </c>
      <c r="CF54" s="72">
        <f t="shared" si="179"/>
        <v>0.78712281530000983</v>
      </c>
      <c r="CG54" s="72">
        <f t="shared" si="179"/>
        <v>0.12193099063594351</v>
      </c>
      <c r="CH54" s="72">
        <f t="shared" si="179"/>
        <v>0.24549825311778203</v>
      </c>
      <c r="CI54" s="72">
        <f t="shared" si="179"/>
        <v>0.95042644111111318</v>
      </c>
      <c r="CJ54" s="72">
        <f t="shared" si="179"/>
        <v>0.83133583775868414</v>
      </c>
      <c r="CK54" s="72">
        <f t="shared" si="179"/>
        <v>1.1456436485682258</v>
      </c>
      <c r="CL54" s="72">
        <f t="shared" si="179"/>
        <v>0</v>
      </c>
      <c r="CM54" s="72">
        <f t="shared" si="179"/>
        <v>0.90085855769201073</v>
      </c>
      <c r="CN54" s="72">
        <f t="shared" si="179"/>
        <v>0.88923296044898703</v>
      </c>
      <c r="CO54" s="72">
        <f t="shared" si="179"/>
        <v>0.14585586006333723</v>
      </c>
      <c r="CQ54" s="72">
        <f t="shared" si="179"/>
        <v>0.68825389268865111</v>
      </c>
      <c r="CR54" s="72">
        <f t="shared" si="179"/>
        <v>0.62577854724611237</v>
      </c>
      <c r="CS54" s="72">
        <f t="shared" si="179"/>
        <v>0.69810032002942013</v>
      </c>
      <c r="CT54" s="72">
        <f t="shared" si="179"/>
        <v>0.69787051995241445</v>
      </c>
      <c r="CU54" s="72">
        <f t="shared" si="179"/>
        <v>0.47253921986959274</v>
      </c>
      <c r="CV54" s="72">
        <f t="shared" si="179"/>
        <v>0.67023621731433036</v>
      </c>
      <c r="CW54" s="72">
        <f t="shared" si="179"/>
        <v>1.0145638168997726</v>
      </c>
      <c r="CX54" s="72">
        <f t="shared" si="179"/>
        <v>0.54347204797013826</v>
      </c>
      <c r="CY54" s="72">
        <f t="shared" si="179"/>
        <v>0.62292026257787614</v>
      </c>
      <c r="CZ54" s="72">
        <f t="shared" si="179"/>
        <v>0.82320021110870423</v>
      </c>
      <c r="DA54" s="72">
        <f t="shared" si="179"/>
        <v>0.75816295232671649</v>
      </c>
      <c r="DB54" s="72">
        <f t="shared" si="179"/>
        <v>0.90042221989785409</v>
      </c>
      <c r="DC54" s="72">
        <f t="shared" si="179"/>
        <v>0.6816067850162979</v>
      </c>
      <c r="DD54" s="72">
        <f t="shared" si="179"/>
        <v>0.90777115640332695</v>
      </c>
      <c r="DE54" s="72">
        <f t="shared" si="179"/>
        <v>0.59025860107584593</v>
      </c>
      <c r="DF54" s="72">
        <f t="shared" si="179"/>
        <v>1.1288196785916653</v>
      </c>
      <c r="DG54" s="72">
        <f t="shared" si="179"/>
        <v>0.56771753702424455</v>
      </c>
      <c r="DH54" s="72">
        <f t="shared" si="179"/>
        <v>0.55508614745232776</v>
      </c>
      <c r="DI54" s="72">
        <f t="shared" si="179"/>
        <v>0.48959618176634312</v>
      </c>
      <c r="DJ54" s="72">
        <f t="shared" si="179"/>
        <v>0.69869019437411828</v>
      </c>
      <c r="DK54" s="72">
        <f t="shared" si="179"/>
        <v>0.83462602359937477</v>
      </c>
      <c r="DL54" s="72">
        <f t="shared" si="179"/>
        <v>0.85974875189817745</v>
      </c>
      <c r="DM54" s="72">
        <f t="shared" si="179"/>
        <v>0.7618694295827515</v>
      </c>
      <c r="DN54" s="72">
        <f t="shared" si="179"/>
        <v>0.86099985832336501</v>
      </c>
      <c r="DO54" s="72">
        <f t="shared" si="179"/>
        <v>1.0195697584975649</v>
      </c>
      <c r="DP54" s="72">
        <f t="shared" si="179"/>
        <v>0.64939508907681731</v>
      </c>
      <c r="DQ54" s="72">
        <f t="shared" si="179"/>
        <v>0.51948675903428121</v>
      </c>
      <c r="DR54" s="72">
        <f t="shared" si="179"/>
        <v>0.93207622423757686</v>
      </c>
      <c r="DS54" s="72">
        <f t="shared" si="179"/>
        <v>0.62298632625826311</v>
      </c>
      <c r="DT54" s="72">
        <f t="shared" si="179"/>
        <v>0</v>
      </c>
      <c r="DU54" s="72">
        <f t="shared" si="179"/>
        <v>0.80606698942151822</v>
      </c>
      <c r="DV54" s="72">
        <f t="shared" si="179"/>
        <v>0.52727131481474643</v>
      </c>
      <c r="DW54" s="72">
        <f t="shared" si="179"/>
        <v>0.52143860524097985</v>
      </c>
      <c r="DX54" s="72">
        <f t="shared" si="179"/>
        <v>0.65793200083213821</v>
      </c>
      <c r="DY54" s="72">
        <f t="shared" si="179"/>
        <v>0.65075099194924158</v>
      </c>
      <c r="DZ54" s="72">
        <f t="shared" si="179"/>
        <v>0.66684432063787746</v>
      </c>
      <c r="EA54" s="72">
        <f t="shared" si="179"/>
        <v>0.71542007941236263</v>
      </c>
      <c r="EB54" s="72">
        <f t="shared" si="179"/>
        <v>0</v>
      </c>
      <c r="EC54" s="72">
        <f t="shared" si="179"/>
        <v>0.8023352571984913</v>
      </c>
      <c r="ED54" s="72">
        <f t="shared" si="179"/>
        <v>0.41140372531940855</v>
      </c>
      <c r="EE54" s="72">
        <f t="shared" ref="EE54:FI54" si="180">_xlfn.STDEV.S(EE47:EE52)</f>
        <v>0.96117120653534371</v>
      </c>
      <c r="EF54" s="72">
        <f t="shared" si="180"/>
        <v>0.80605347632184965</v>
      </c>
      <c r="EG54" s="72">
        <f t="shared" si="180"/>
        <v>0.90152686897905643</v>
      </c>
      <c r="EH54" s="72">
        <f t="shared" si="180"/>
        <v>0.67726415931362494</v>
      </c>
      <c r="EI54" s="72">
        <f t="shared" si="180"/>
        <v>0.5210275003005066</v>
      </c>
      <c r="EJ54" s="72">
        <f t="shared" si="180"/>
        <v>0</v>
      </c>
      <c r="EK54" s="72">
        <f t="shared" si="180"/>
        <v>0</v>
      </c>
      <c r="EL54" s="72">
        <f t="shared" si="180"/>
        <v>0.66205390060411562</v>
      </c>
      <c r="EM54" s="72">
        <f t="shared" si="180"/>
        <v>0.70958915642229603</v>
      </c>
      <c r="EN54" s="72">
        <f t="shared" si="180"/>
        <v>0.54488034347323189</v>
      </c>
      <c r="EO54" s="72">
        <f t="shared" si="180"/>
        <v>0.68247124094656619</v>
      </c>
      <c r="EP54" s="72"/>
      <c r="EQ54" s="72">
        <f t="shared" si="180"/>
        <v>0.82861927235465238</v>
      </c>
      <c r="ER54" s="72">
        <f t="shared" si="180"/>
        <v>0.90506393209382874</v>
      </c>
      <c r="ES54" s="72">
        <f t="shared" si="180"/>
        <v>0.97164246811654809</v>
      </c>
      <c r="ET54" s="72">
        <f t="shared" si="180"/>
        <v>0</v>
      </c>
      <c r="EU54" s="72">
        <f t="shared" si="180"/>
        <v>0.77855841072950382</v>
      </c>
      <c r="EV54" s="72">
        <f t="shared" si="180"/>
        <v>0.65727376708100749</v>
      </c>
      <c r="EW54" s="72">
        <f t="shared" si="180"/>
        <v>0.66846393890063249</v>
      </c>
      <c r="EX54" s="72">
        <f t="shared" si="180"/>
        <v>0.99467911286569655</v>
      </c>
      <c r="EY54" s="72">
        <f t="shared" si="180"/>
        <v>0.43510117228484307</v>
      </c>
      <c r="EZ54" s="72">
        <f t="shared" si="180"/>
        <v>0.7594975099282294</v>
      </c>
      <c r="FA54" s="72">
        <f t="shared" si="180"/>
        <v>0.72616340407659552</v>
      </c>
      <c r="FB54" s="72">
        <f t="shared" si="180"/>
        <v>0.94638661459204876</v>
      </c>
      <c r="FC54" s="72">
        <f t="shared" si="180"/>
        <v>0</v>
      </c>
      <c r="FD54" s="72">
        <f t="shared" si="180"/>
        <v>0.84183701537850653</v>
      </c>
      <c r="FE54" s="72">
        <f t="shared" si="180"/>
        <v>0.54347204797013826</v>
      </c>
      <c r="FF54" s="72">
        <f t="shared" si="180"/>
        <v>0.72368742113375351</v>
      </c>
      <c r="FG54" s="72">
        <f t="shared" si="180"/>
        <v>0.56726370100131085</v>
      </c>
      <c r="FH54" s="72">
        <f t="shared" si="180"/>
        <v>0.63802017138574818</v>
      </c>
      <c r="FI54" s="72">
        <f t="shared" si="180"/>
        <v>0</v>
      </c>
      <c r="FJ54" s="73"/>
    </row>
    <row r="55" spans="1:175">
      <c r="A55" s="73"/>
      <c r="B55" s="74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  <c r="BS55" s="72"/>
      <c r="BT55" s="72"/>
      <c r="BU55" s="72"/>
      <c r="BV55" s="72"/>
      <c r="BW55" s="72"/>
      <c r="BX55" s="72"/>
      <c r="BY55" s="72"/>
      <c r="BZ55" s="72"/>
      <c r="CA55" s="72"/>
      <c r="CB55" s="72"/>
      <c r="CC55" s="72"/>
      <c r="CD55" s="72"/>
      <c r="CE55" s="72"/>
      <c r="CF55" s="72"/>
      <c r="CG55" s="72"/>
      <c r="CH55" s="72"/>
      <c r="CI55" s="72"/>
      <c r="CJ55" s="72"/>
      <c r="CK55" s="72"/>
      <c r="CL55" s="72"/>
      <c r="CM55" s="72"/>
      <c r="CN55" s="72"/>
      <c r="CO55" s="72"/>
      <c r="CQ55" s="72"/>
      <c r="CR55" s="72"/>
      <c r="CS55" s="72"/>
      <c r="CT55" s="72"/>
      <c r="CU55" s="72"/>
      <c r="CV55" s="72"/>
      <c r="CW55" s="72"/>
      <c r="CX55" s="72"/>
      <c r="CY55" s="72"/>
      <c r="CZ55" s="72"/>
      <c r="DA55" s="72"/>
      <c r="DB55" s="72"/>
      <c r="DC55" s="72"/>
      <c r="DD55" s="72"/>
      <c r="DE55" s="72"/>
      <c r="DF55" s="72"/>
      <c r="DG55" s="72"/>
      <c r="DH55" s="72"/>
      <c r="DI55" s="72"/>
      <c r="DJ55" s="72"/>
      <c r="DK55" s="72"/>
      <c r="DL55" s="72"/>
      <c r="DM55" s="72"/>
      <c r="DN55" s="72"/>
      <c r="DO55" s="72"/>
      <c r="DP55" s="72"/>
      <c r="DQ55" s="72"/>
      <c r="DR55" s="72"/>
      <c r="DS55" s="72"/>
      <c r="DT55" s="72"/>
      <c r="DU55" s="72"/>
      <c r="DV55" s="72"/>
      <c r="DW55" s="72"/>
      <c r="DX55" s="72"/>
      <c r="DY55" s="72"/>
      <c r="DZ55" s="72"/>
      <c r="EA55" s="72"/>
      <c r="EB55" s="72"/>
      <c r="EC55" s="72"/>
      <c r="ED55" s="72"/>
      <c r="EE55" s="72"/>
      <c r="EF55" s="72"/>
      <c r="EG55" s="72"/>
      <c r="EH55" s="72"/>
      <c r="EI55" s="72"/>
      <c r="EJ55" s="72"/>
      <c r="EK55" s="72"/>
      <c r="EL55" s="72"/>
      <c r="EM55" s="72"/>
      <c r="EN55" s="72"/>
      <c r="EO55" s="72"/>
      <c r="EP55" s="72"/>
      <c r="EQ55" s="72"/>
      <c r="ER55" s="72"/>
      <c r="ES55" s="72"/>
      <c r="ET55" s="72"/>
      <c r="EU55" s="72"/>
      <c r="EV55" s="72"/>
      <c r="EW55" s="72"/>
      <c r="EX55" s="72"/>
      <c r="EY55" s="72"/>
      <c r="EZ55" s="72"/>
      <c r="FA55" s="72"/>
      <c r="FB55" s="72"/>
      <c r="FC55" s="72"/>
      <c r="FD55" s="72"/>
      <c r="FE55" s="72"/>
      <c r="FF55" s="72"/>
      <c r="FG55" s="72"/>
      <c r="FH55" s="72"/>
      <c r="FI55" s="72"/>
      <c r="FJ55" s="73"/>
    </row>
    <row r="56" spans="1:175">
      <c r="A56" s="73"/>
      <c r="B56" s="104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  <c r="CG56" s="73"/>
      <c r="CH56" s="73"/>
      <c r="CI56" s="73"/>
      <c r="CJ56" s="73"/>
      <c r="CK56" s="73"/>
      <c r="CL56" s="73"/>
      <c r="CM56" s="73"/>
      <c r="CN56" s="73"/>
      <c r="CO56" s="73"/>
      <c r="CP56" s="73"/>
      <c r="CQ56" s="73"/>
      <c r="CR56" s="73"/>
      <c r="CS56" s="73"/>
      <c r="CT56" s="73"/>
      <c r="CU56" s="73"/>
      <c r="CV56" s="73"/>
      <c r="CW56" s="73"/>
      <c r="CX56" s="73"/>
      <c r="CY56" s="73"/>
      <c r="CZ56" s="73"/>
      <c r="DA56" s="73"/>
      <c r="DB56" s="73"/>
      <c r="DC56" s="73"/>
      <c r="DD56" s="73"/>
      <c r="DE56" s="73"/>
      <c r="DF56" s="73"/>
      <c r="DG56" s="73"/>
      <c r="DH56" s="73"/>
      <c r="DI56" s="73"/>
      <c r="DJ56" s="73"/>
      <c r="DK56" s="73"/>
      <c r="DL56" s="73"/>
      <c r="DM56" s="73"/>
      <c r="DN56" s="73"/>
      <c r="DO56" s="73"/>
      <c r="DP56" s="73"/>
      <c r="DQ56" s="73"/>
      <c r="DR56" s="73"/>
      <c r="DS56" s="73"/>
      <c r="DT56" s="73"/>
      <c r="DU56" s="73"/>
      <c r="DV56" s="73"/>
      <c r="DW56" s="73"/>
      <c r="DX56" s="73"/>
      <c r="DY56" s="73"/>
      <c r="DZ56" s="73"/>
      <c r="EA56" s="73"/>
      <c r="EB56" s="73"/>
      <c r="EC56" s="73"/>
      <c r="ED56" s="73"/>
      <c r="EE56" s="73"/>
      <c r="EF56" s="73"/>
      <c r="EG56" s="73"/>
      <c r="EH56" s="73"/>
      <c r="EI56" s="73"/>
      <c r="EJ56" s="73"/>
      <c r="EK56" s="73"/>
      <c r="EL56" s="73"/>
      <c r="EM56" s="73"/>
      <c r="EN56" s="73"/>
      <c r="EO56" s="73"/>
      <c r="EP56" s="73"/>
      <c r="EQ56" s="73"/>
      <c r="ER56" s="73"/>
      <c r="ES56" s="73"/>
      <c r="ET56" s="73"/>
      <c r="EU56" s="73"/>
      <c r="EV56" s="73"/>
      <c r="EW56" s="73"/>
      <c r="EX56" s="73"/>
      <c r="EY56" s="73"/>
      <c r="EZ56" s="73"/>
      <c r="FA56" s="73"/>
      <c r="FB56" s="73"/>
      <c r="FC56" s="73"/>
      <c r="FD56" s="73"/>
      <c r="FE56" s="73"/>
      <c r="FF56" s="73"/>
      <c r="FG56" s="73"/>
      <c r="FH56" s="73"/>
      <c r="FI56" s="73"/>
      <c r="FJ56" s="73"/>
    </row>
    <row r="57" spans="1:175" ht="15">
      <c r="A57" s="73"/>
      <c r="C57" s="70"/>
      <c r="J57" s="70"/>
      <c r="K57" s="70"/>
      <c r="R57" s="73"/>
      <c r="S57" s="73"/>
      <c r="T57" s="73"/>
      <c r="V57" s="73"/>
      <c r="W57" s="73"/>
      <c r="X57" s="70"/>
      <c r="Y57" s="73"/>
      <c r="Z57" s="70"/>
      <c r="AA57" s="70"/>
      <c r="AB57" s="73"/>
      <c r="AC57" s="73"/>
      <c r="AD57" s="70"/>
      <c r="AE57" s="70"/>
      <c r="AF57" s="70"/>
      <c r="AG57" s="73"/>
      <c r="AH57" s="73"/>
      <c r="AI57" s="70"/>
      <c r="AJ57" s="70"/>
      <c r="AK57" s="73"/>
      <c r="AL57" s="73"/>
      <c r="AM57" s="70"/>
      <c r="AN57" s="70"/>
      <c r="AO57" s="73"/>
      <c r="AP57" s="70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  <c r="CG57" s="70"/>
      <c r="CH57" s="73"/>
      <c r="CI57" s="73"/>
      <c r="CJ57" s="73"/>
      <c r="CK57" s="73"/>
      <c r="CL57" s="73"/>
      <c r="CM57" s="73"/>
      <c r="CN57" s="73"/>
      <c r="CO57" s="73"/>
      <c r="CP57" s="73"/>
      <c r="CQ57" s="73"/>
      <c r="CR57" s="73"/>
      <c r="CS57" s="73"/>
      <c r="CT57" s="73"/>
      <c r="CU57" s="73"/>
      <c r="CV57" s="73"/>
      <c r="CW57" s="73"/>
      <c r="CX57" s="73"/>
      <c r="CY57" s="73"/>
      <c r="CZ57" s="73"/>
      <c r="DA57" s="73"/>
      <c r="DB57" s="73"/>
      <c r="DC57" s="73"/>
      <c r="DD57" s="73"/>
      <c r="DE57" s="73"/>
      <c r="DF57" s="73"/>
      <c r="DG57" s="73"/>
      <c r="DH57" s="73"/>
      <c r="DI57" s="73"/>
      <c r="DJ57" s="73"/>
      <c r="DK57" s="73"/>
      <c r="DL57" s="73"/>
      <c r="DM57" s="73"/>
      <c r="DN57" s="73"/>
      <c r="DO57" s="73"/>
      <c r="DP57" s="73"/>
      <c r="DQ57" s="73"/>
      <c r="DR57" s="73"/>
      <c r="DS57" s="73"/>
      <c r="DT57" s="73"/>
      <c r="DU57" s="73"/>
      <c r="DV57" s="73"/>
      <c r="DW57" s="73"/>
      <c r="DX57" s="73"/>
      <c r="DY57" s="73"/>
      <c r="DZ57" s="73"/>
      <c r="EA57" s="73"/>
      <c r="EB57" s="73"/>
      <c r="EC57" s="73"/>
      <c r="ED57" s="73"/>
      <c r="EE57" s="73"/>
      <c r="EF57" s="73"/>
      <c r="EG57" s="73"/>
      <c r="EH57" s="73"/>
      <c r="EI57" s="73"/>
      <c r="EJ57" s="73"/>
      <c r="EK57" s="73"/>
      <c r="EL57" s="73"/>
      <c r="EM57" s="73"/>
      <c r="EN57" s="73"/>
      <c r="EO57" s="73"/>
      <c r="EP57" s="73"/>
      <c r="EQ57" s="73"/>
      <c r="ER57" s="73"/>
      <c r="ES57" s="73"/>
      <c r="ET57" s="73"/>
      <c r="EU57" s="73"/>
      <c r="EV57" s="73"/>
      <c r="EW57" s="73"/>
      <c r="EX57" s="73"/>
      <c r="EY57" s="73"/>
      <c r="EZ57" s="73"/>
      <c r="FA57" s="73"/>
      <c r="FB57" s="73"/>
      <c r="FC57" s="73"/>
      <c r="FD57" s="73"/>
      <c r="FE57" s="73"/>
      <c r="FF57" s="73"/>
      <c r="FG57" s="73"/>
      <c r="FH57" s="73"/>
      <c r="FI57" s="73"/>
      <c r="FJ57" s="73"/>
    </row>
    <row r="58" spans="1:175" s="16" customFormat="1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4"/>
      <c r="W58" s="85" t="s">
        <v>203</v>
      </c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/>
      <c r="DB58" s="83"/>
      <c r="DC58" s="83"/>
      <c r="DD58" s="83"/>
      <c r="DE58" s="83"/>
      <c r="DF58" s="83"/>
      <c r="DG58" s="83"/>
      <c r="DH58" s="83"/>
      <c r="DI58" s="83"/>
      <c r="DJ58" s="83"/>
      <c r="DK58" s="83"/>
      <c r="DL58" s="83"/>
      <c r="DM58" s="83"/>
      <c r="DN58" s="83"/>
      <c r="DO58" s="83"/>
      <c r="DP58" s="83"/>
      <c r="DQ58" s="83"/>
      <c r="DR58" s="83"/>
      <c r="DS58" s="83"/>
      <c r="DT58" s="83"/>
      <c r="DU58" s="83"/>
      <c r="DV58" s="83"/>
      <c r="DW58" s="83"/>
      <c r="DX58" s="83"/>
      <c r="DY58" s="83"/>
      <c r="DZ58" s="83"/>
      <c r="EA58" s="83"/>
      <c r="EB58" s="83"/>
      <c r="EC58" s="83"/>
      <c r="ED58" s="83"/>
      <c r="EE58" s="83"/>
      <c r="EF58" s="83"/>
      <c r="EG58" s="83"/>
      <c r="EH58" s="83"/>
      <c r="EI58" s="83"/>
      <c r="EJ58" s="83"/>
      <c r="EK58" s="83"/>
      <c r="EL58" s="83"/>
      <c r="EM58" s="83"/>
      <c r="EN58" s="83"/>
      <c r="EO58" s="83"/>
      <c r="EP58" s="83"/>
      <c r="EQ58" s="83"/>
      <c r="ER58" s="83"/>
      <c r="ES58" s="83"/>
      <c r="ET58" s="83"/>
      <c r="EU58" s="83"/>
      <c r="EV58" s="83"/>
      <c r="EW58" s="83"/>
      <c r="EX58" s="83"/>
      <c r="EY58" s="83"/>
      <c r="EZ58" s="83"/>
      <c r="FA58" s="83"/>
      <c r="FB58" s="83"/>
      <c r="FC58" s="83"/>
      <c r="FD58" s="83"/>
      <c r="FE58" s="83"/>
      <c r="FF58" s="83"/>
      <c r="FG58" s="83"/>
      <c r="FH58" s="83"/>
      <c r="FI58" s="83"/>
      <c r="FJ58" s="83"/>
    </row>
    <row r="59" spans="1:175" s="16" customFormat="1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5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3"/>
      <c r="DG59" s="83"/>
      <c r="DH59" s="83"/>
      <c r="DI59" s="83"/>
      <c r="DJ59" s="83"/>
      <c r="DK59" s="83"/>
      <c r="DL59" s="83"/>
      <c r="DM59" s="83"/>
      <c r="DN59" s="83"/>
      <c r="DO59" s="83"/>
      <c r="DP59" s="83"/>
      <c r="DQ59" s="83"/>
      <c r="DR59" s="83"/>
      <c r="DS59" s="83"/>
      <c r="DT59" s="83"/>
      <c r="DU59" s="83"/>
      <c r="DV59" s="83"/>
      <c r="DW59" s="83"/>
      <c r="DX59" s="83"/>
      <c r="DY59" s="83"/>
      <c r="DZ59" s="83"/>
      <c r="EA59" s="83"/>
      <c r="EB59" s="83"/>
      <c r="EC59" s="83"/>
      <c r="ED59" s="83"/>
      <c r="EE59" s="83"/>
      <c r="EF59" s="83"/>
      <c r="EG59" s="83"/>
      <c r="EH59" s="83"/>
      <c r="EI59" s="83"/>
      <c r="EJ59" s="83"/>
      <c r="EK59" s="83"/>
      <c r="EL59" s="83"/>
      <c r="EM59" s="83"/>
      <c r="EN59" s="83"/>
      <c r="EO59" s="83"/>
      <c r="EP59" s="83"/>
      <c r="EQ59" s="83"/>
      <c r="ER59" s="83"/>
      <c r="ES59" s="83"/>
      <c r="ET59" s="83"/>
      <c r="EU59" s="83"/>
      <c r="EV59" s="83"/>
      <c r="EW59" s="83"/>
      <c r="EX59" s="83"/>
      <c r="EY59" s="83"/>
      <c r="EZ59" s="83"/>
      <c r="FA59" s="83"/>
      <c r="FB59" s="83"/>
      <c r="FC59" s="83"/>
      <c r="FD59" s="83"/>
      <c r="FE59" s="83"/>
      <c r="FF59" s="83"/>
      <c r="FG59" s="83"/>
      <c r="FH59" s="83"/>
      <c r="FI59" s="83"/>
      <c r="FJ59" s="83"/>
    </row>
    <row r="60" spans="1:175" s="16" customFormat="1" ht="23" customHeight="1">
      <c r="A60" s="52" t="s">
        <v>195</v>
      </c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83"/>
      <c r="DA60" s="83"/>
      <c r="DB60" s="83"/>
      <c r="DC60" s="83"/>
      <c r="DD60" s="83"/>
      <c r="DE60" s="83"/>
      <c r="DF60" s="83"/>
      <c r="DG60" s="83"/>
      <c r="DH60" s="83"/>
      <c r="DI60" s="83"/>
      <c r="DJ60" s="83"/>
      <c r="DK60" s="83"/>
      <c r="DL60" s="83"/>
      <c r="DM60" s="83"/>
      <c r="DN60" s="83"/>
      <c r="DO60" s="83"/>
      <c r="DP60" s="83"/>
      <c r="DQ60" s="83"/>
      <c r="DR60" s="83"/>
      <c r="DS60" s="83"/>
      <c r="DT60" s="83"/>
      <c r="DU60" s="83"/>
      <c r="DV60" s="83"/>
      <c r="DW60" s="83"/>
      <c r="DX60" s="83"/>
      <c r="DY60" s="83"/>
      <c r="DZ60" s="83"/>
      <c r="EA60" s="83"/>
      <c r="EB60" s="83"/>
      <c r="EC60" s="83"/>
      <c r="ED60" s="83"/>
      <c r="EE60" s="83"/>
      <c r="EF60" s="83"/>
      <c r="EG60" s="83"/>
      <c r="EH60" s="83"/>
      <c r="EI60" s="83"/>
      <c r="EJ60" s="83"/>
      <c r="EK60" s="83"/>
      <c r="EL60" s="83"/>
      <c r="EM60" s="83"/>
      <c r="EN60" s="83"/>
      <c r="EO60" s="83"/>
      <c r="EP60" s="83"/>
      <c r="EQ60" s="83"/>
      <c r="ER60" s="83"/>
      <c r="ES60" s="83"/>
      <c r="ET60" s="83"/>
      <c r="EU60" s="83"/>
      <c r="EV60" s="83"/>
      <c r="EW60" s="83"/>
      <c r="EX60" s="83"/>
      <c r="EY60" s="83"/>
      <c r="EZ60" s="83"/>
      <c r="FA60" s="83"/>
      <c r="FB60" s="83"/>
      <c r="FC60" s="83"/>
      <c r="FD60" s="83"/>
      <c r="FE60" s="83"/>
      <c r="FF60" s="83"/>
      <c r="FG60" s="83"/>
      <c r="FH60" s="83"/>
      <c r="FI60" s="83"/>
      <c r="FJ60" s="83"/>
    </row>
    <row r="61" spans="1:175" ht="21" hidden="1" customHeight="1">
      <c r="A61" s="52" t="s">
        <v>195</v>
      </c>
      <c r="B61" s="29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3"/>
      <c r="CG61" s="73"/>
      <c r="CH61" s="73"/>
      <c r="CI61" s="73"/>
      <c r="CJ61" s="73"/>
      <c r="CK61" s="73"/>
      <c r="CL61" s="73"/>
      <c r="CM61" s="73"/>
      <c r="CN61" s="73"/>
      <c r="CO61" s="73"/>
      <c r="CP61" s="73"/>
      <c r="CQ61" s="73"/>
      <c r="CR61" s="73"/>
      <c r="CS61" s="73"/>
      <c r="CT61" s="73"/>
      <c r="CU61" s="73"/>
      <c r="CV61" s="73"/>
      <c r="CW61" s="73"/>
      <c r="CX61" s="73"/>
      <c r="CY61" s="73"/>
      <c r="CZ61" s="73"/>
      <c r="DA61" s="73"/>
      <c r="DB61" s="73"/>
      <c r="DC61" s="73"/>
      <c r="DD61" s="73"/>
      <c r="DE61" s="73"/>
      <c r="DF61" s="73"/>
      <c r="DG61" s="73"/>
      <c r="DH61" s="73"/>
      <c r="DI61" s="73"/>
      <c r="DJ61" s="73"/>
      <c r="DK61" s="73"/>
      <c r="DL61" s="73"/>
      <c r="DM61" s="73"/>
      <c r="DN61" s="73"/>
      <c r="DO61" s="73"/>
      <c r="DP61" s="73"/>
      <c r="DQ61" s="73"/>
      <c r="DR61" s="73"/>
      <c r="DS61" s="73"/>
      <c r="DT61" s="73"/>
      <c r="DU61" s="73"/>
      <c r="DV61" s="73"/>
      <c r="DW61" s="73"/>
      <c r="DX61" s="73"/>
      <c r="DY61" s="73"/>
      <c r="DZ61" s="73"/>
      <c r="EA61" s="73"/>
      <c r="EB61" s="73"/>
      <c r="EC61" s="73"/>
      <c r="ED61" s="73"/>
      <c r="EE61" s="73"/>
      <c r="EF61" s="73"/>
      <c r="EG61" s="73"/>
      <c r="EH61" s="73"/>
      <c r="EI61" s="73"/>
      <c r="EJ61" s="73"/>
      <c r="EK61" s="73"/>
      <c r="EL61" s="73"/>
      <c r="EM61" s="73"/>
      <c r="EN61" s="73"/>
      <c r="EO61" s="73"/>
      <c r="EP61" s="73"/>
      <c r="EQ61" s="73"/>
      <c r="ER61" s="73"/>
      <c r="ES61" s="73"/>
      <c r="ET61" s="73"/>
      <c r="EU61" s="73"/>
      <c r="EV61" s="73"/>
      <c r="EW61" s="73"/>
      <c r="EX61" s="73"/>
      <c r="EY61" s="73"/>
      <c r="EZ61" s="73"/>
      <c r="FA61" s="73"/>
      <c r="FB61" s="73"/>
      <c r="FC61" s="73"/>
      <c r="FD61" s="73"/>
      <c r="FE61" s="73"/>
      <c r="FF61" s="73"/>
      <c r="FG61" s="73"/>
      <c r="FH61" s="73"/>
      <c r="FI61" s="73"/>
      <c r="FJ61" s="73"/>
    </row>
    <row r="62" spans="1:175" ht="18" hidden="1">
      <c r="A62" s="30" t="s">
        <v>216</v>
      </c>
      <c r="B62" s="31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  <c r="BM62" s="73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  <c r="CF62" s="73"/>
      <c r="CG62" s="73"/>
      <c r="CH62" s="73"/>
      <c r="CI62" s="73"/>
      <c r="CJ62" s="73"/>
      <c r="CK62" s="73"/>
      <c r="CL62" s="73"/>
      <c r="CM62" s="73"/>
      <c r="CN62" s="73"/>
      <c r="CO62" s="73"/>
      <c r="CP62" s="73"/>
      <c r="CQ62" s="73"/>
      <c r="CR62" s="73"/>
      <c r="CS62" s="73"/>
      <c r="CT62" s="73"/>
      <c r="CU62" s="73"/>
      <c r="CV62" s="73"/>
      <c r="CW62" s="73"/>
      <c r="CX62" s="73"/>
      <c r="CY62" s="73"/>
      <c r="CZ62" s="73"/>
      <c r="DA62" s="73"/>
      <c r="DB62" s="73"/>
      <c r="DC62" s="73"/>
      <c r="DD62" s="73"/>
      <c r="DE62" s="73"/>
      <c r="DF62" s="73"/>
      <c r="DG62" s="73"/>
      <c r="DH62" s="73"/>
      <c r="DI62" s="73"/>
      <c r="DJ62" s="73"/>
      <c r="DK62" s="73"/>
      <c r="DL62" s="73"/>
      <c r="DM62" s="73"/>
      <c r="DN62" s="73"/>
      <c r="DO62" s="73"/>
      <c r="DP62" s="73"/>
      <c r="DQ62" s="73"/>
      <c r="DR62" s="73"/>
      <c r="DS62" s="73"/>
      <c r="DT62" s="73"/>
      <c r="DU62" s="73"/>
      <c r="DV62" s="73"/>
      <c r="DW62" s="73"/>
      <c r="DX62" s="73"/>
      <c r="DY62" s="73"/>
      <c r="DZ62" s="73"/>
      <c r="EA62" s="73"/>
      <c r="EB62" s="73"/>
      <c r="EC62" s="73"/>
      <c r="ED62" s="73"/>
      <c r="EE62" s="73"/>
      <c r="EF62" s="73"/>
      <c r="EG62" s="73"/>
      <c r="EH62" s="73"/>
      <c r="EI62" s="73"/>
      <c r="EJ62" s="73"/>
      <c r="EK62" s="73"/>
      <c r="EL62" s="73"/>
      <c r="EM62" s="73"/>
      <c r="EN62" s="73"/>
      <c r="EO62" s="73"/>
      <c r="EP62" s="73"/>
      <c r="EQ62" s="73"/>
      <c r="ER62" s="73"/>
      <c r="ES62" s="73"/>
      <c r="ET62" s="73"/>
      <c r="EU62" s="73"/>
      <c r="EV62" s="73"/>
      <c r="EW62" s="73"/>
      <c r="EX62" s="73"/>
      <c r="EY62" s="73"/>
      <c r="EZ62" s="73"/>
      <c r="FA62" s="73"/>
      <c r="FB62" s="73"/>
      <c r="FC62" s="73"/>
      <c r="FD62" s="73"/>
      <c r="FE62" s="73"/>
      <c r="FF62" s="73"/>
      <c r="FG62" s="73"/>
      <c r="FH62" s="73"/>
      <c r="FI62" s="73"/>
      <c r="FJ62" s="73"/>
    </row>
    <row r="63" spans="1:175" s="19" customFormat="1" ht="111" customHeight="1">
      <c r="A63" s="3" t="s">
        <v>164</v>
      </c>
      <c r="B63" s="4" t="s">
        <v>0</v>
      </c>
      <c r="C63" s="5" t="s">
        <v>71</v>
      </c>
      <c r="D63" s="4" t="s">
        <v>72</v>
      </c>
      <c r="E63" s="4" t="s">
        <v>73</v>
      </c>
      <c r="F63" s="4" t="s">
        <v>74</v>
      </c>
      <c r="G63" s="4" t="s">
        <v>75</v>
      </c>
      <c r="H63" s="4" t="s">
        <v>76</v>
      </c>
      <c r="I63" s="4" t="s">
        <v>77</v>
      </c>
      <c r="J63" s="4" t="s">
        <v>78</v>
      </c>
      <c r="K63" s="4" t="s">
        <v>79</v>
      </c>
      <c r="L63" s="4" t="s">
        <v>80</v>
      </c>
      <c r="M63" s="4" t="s">
        <v>81</v>
      </c>
      <c r="N63" s="4" t="s">
        <v>82</v>
      </c>
      <c r="O63" s="4" t="s">
        <v>83</v>
      </c>
      <c r="P63" s="4" t="s">
        <v>84</v>
      </c>
      <c r="Q63" s="4" t="s">
        <v>85</v>
      </c>
      <c r="R63" s="4" t="s">
        <v>86</v>
      </c>
      <c r="S63" s="4" t="s">
        <v>87</v>
      </c>
      <c r="T63" s="4" t="s">
        <v>88</v>
      </c>
      <c r="U63" s="87"/>
      <c r="V63" s="4" t="s">
        <v>89</v>
      </c>
      <c r="W63" s="4" t="s">
        <v>90</v>
      </c>
      <c r="X63" s="4" t="s">
        <v>91</v>
      </c>
      <c r="Y63" s="4" t="s">
        <v>92</v>
      </c>
      <c r="Z63" s="5" t="s">
        <v>93</v>
      </c>
      <c r="AA63" s="4" t="s">
        <v>94</v>
      </c>
      <c r="AB63" s="4" t="s">
        <v>95</v>
      </c>
      <c r="AC63" s="4" t="s">
        <v>96</v>
      </c>
      <c r="AD63" s="4" t="s">
        <v>97</v>
      </c>
      <c r="AE63" s="4" t="s">
        <v>98</v>
      </c>
      <c r="AF63" s="4" t="s">
        <v>99</v>
      </c>
      <c r="AG63" s="4" t="s">
        <v>100</v>
      </c>
      <c r="AH63" s="4" t="s">
        <v>101</v>
      </c>
      <c r="AI63" s="4" t="s">
        <v>102</v>
      </c>
      <c r="AJ63" s="5" t="s">
        <v>103</v>
      </c>
      <c r="AK63" s="4" t="s">
        <v>104</v>
      </c>
      <c r="AL63" s="4" t="s">
        <v>105</v>
      </c>
      <c r="AM63" s="4" t="s">
        <v>106</v>
      </c>
      <c r="AN63" s="4" t="s">
        <v>107</v>
      </c>
      <c r="AO63" s="4" t="s">
        <v>108</v>
      </c>
      <c r="AP63" s="4" t="s">
        <v>109</v>
      </c>
      <c r="AQ63" s="4" t="s">
        <v>110</v>
      </c>
      <c r="AR63" s="4" t="s">
        <v>111</v>
      </c>
      <c r="AS63" s="4" t="s">
        <v>112</v>
      </c>
      <c r="AT63" s="4" t="s">
        <v>113</v>
      </c>
      <c r="AU63" s="88"/>
      <c r="AV63" s="4" t="s">
        <v>160</v>
      </c>
      <c r="AW63" s="4" t="s">
        <v>114</v>
      </c>
      <c r="AX63" s="4" t="s">
        <v>115</v>
      </c>
      <c r="AY63" s="4" t="s">
        <v>116</v>
      </c>
      <c r="AZ63" s="4" t="s">
        <v>117</v>
      </c>
      <c r="BA63" s="4" t="s">
        <v>118</v>
      </c>
      <c r="BB63" s="4" t="s">
        <v>119</v>
      </c>
      <c r="BC63" s="4" t="s">
        <v>120</v>
      </c>
      <c r="BD63" s="4" t="s">
        <v>121</v>
      </c>
      <c r="BE63" s="4" t="s">
        <v>122</v>
      </c>
      <c r="BF63" s="4" t="s">
        <v>123</v>
      </c>
      <c r="BG63" s="4" t="s">
        <v>124</v>
      </c>
      <c r="BH63" s="4" t="s">
        <v>125</v>
      </c>
      <c r="BI63" s="4" t="s">
        <v>126</v>
      </c>
      <c r="BJ63" s="4" t="s">
        <v>127</v>
      </c>
      <c r="BK63" s="4" t="s">
        <v>128</v>
      </c>
      <c r="BL63" s="4" t="s">
        <v>129</v>
      </c>
      <c r="BM63" s="4" t="s">
        <v>130</v>
      </c>
      <c r="BN63" s="4" t="s">
        <v>131</v>
      </c>
      <c r="BO63" s="4" t="s">
        <v>132</v>
      </c>
      <c r="BP63" s="4" t="s">
        <v>133</v>
      </c>
      <c r="BQ63" s="4" t="s">
        <v>134</v>
      </c>
      <c r="BR63" s="4" t="s">
        <v>135</v>
      </c>
      <c r="BS63" s="4" t="s">
        <v>136</v>
      </c>
      <c r="BT63" s="4" t="s">
        <v>137</v>
      </c>
      <c r="BU63" s="4" t="s">
        <v>138</v>
      </c>
      <c r="BV63" s="4" t="s">
        <v>139</v>
      </c>
      <c r="BW63" s="4" t="s">
        <v>140</v>
      </c>
      <c r="BX63" s="4" t="s">
        <v>141</v>
      </c>
      <c r="BY63" s="4" t="s">
        <v>142</v>
      </c>
      <c r="BZ63" s="4" t="s">
        <v>143</v>
      </c>
      <c r="CA63" s="4" t="s">
        <v>144</v>
      </c>
      <c r="CB63" s="4" t="s">
        <v>145</v>
      </c>
      <c r="CC63" s="4" t="s">
        <v>146</v>
      </c>
      <c r="CD63" s="4" t="s">
        <v>147</v>
      </c>
      <c r="CE63" s="4" t="s">
        <v>148</v>
      </c>
      <c r="CF63" s="4" t="s">
        <v>149</v>
      </c>
      <c r="CG63" s="4" t="s">
        <v>150</v>
      </c>
      <c r="CH63" s="4" t="s">
        <v>151</v>
      </c>
      <c r="CI63" s="4" t="s">
        <v>152</v>
      </c>
      <c r="CJ63" s="4" t="s">
        <v>153</v>
      </c>
      <c r="CK63" s="4" t="s">
        <v>154</v>
      </c>
      <c r="CL63" s="4" t="s">
        <v>155</v>
      </c>
      <c r="CM63" s="4" t="s">
        <v>156</v>
      </c>
      <c r="CN63" s="4" t="s">
        <v>157</v>
      </c>
      <c r="CO63" s="4" t="s">
        <v>158</v>
      </c>
      <c r="CP63" s="87"/>
      <c r="CQ63" s="4" t="s">
        <v>1</v>
      </c>
      <c r="CR63" s="4" t="s">
        <v>2</v>
      </c>
      <c r="CS63" s="4" t="s">
        <v>3</v>
      </c>
      <c r="CT63" s="4" t="s">
        <v>4</v>
      </c>
      <c r="CU63" s="4" t="s">
        <v>5</v>
      </c>
      <c r="CV63" s="4" t="s">
        <v>6</v>
      </c>
      <c r="CW63" s="4" t="s">
        <v>7</v>
      </c>
      <c r="CX63" s="4" t="s">
        <v>8</v>
      </c>
      <c r="CY63" s="4" t="s">
        <v>9</v>
      </c>
      <c r="CZ63" s="4" t="s">
        <v>10</v>
      </c>
      <c r="DA63" s="4" t="s">
        <v>11</v>
      </c>
      <c r="DB63" s="4" t="s">
        <v>12</v>
      </c>
      <c r="DC63" s="4" t="s">
        <v>13</v>
      </c>
      <c r="DD63" s="4" t="s">
        <v>14</v>
      </c>
      <c r="DE63" s="4" t="s">
        <v>15</v>
      </c>
      <c r="DF63" s="4" t="s">
        <v>16</v>
      </c>
      <c r="DG63" s="4" t="s">
        <v>17</v>
      </c>
      <c r="DH63" s="4" t="s">
        <v>18</v>
      </c>
      <c r="DI63" s="4" t="s">
        <v>19</v>
      </c>
      <c r="DJ63" s="4" t="s">
        <v>20</v>
      </c>
      <c r="DK63" s="4" t="s">
        <v>21</v>
      </c>
      <c r="DL63" s="4" t="s">
        <v>22</v>
      </c>
      <c r="DM63" s="4" t="s">
        <v>23</v>
      </c>
      <c r="DN63" s="4" t="s">
        <v>24</v>
      </c>
      <c r="DO63" s="4" t="s">
        <v>25</v>
      </c>
      <c r="DP63" s="4" t="s">
        <v>26</v>
      </c>
      <c r="DQ63" s="4" t="s">
        <v>27</v>
      </c>
      <c r="DR63" s="4" t="s">
        <v>28</v>
      </c>
      <c r="DS63" s="4" t="s">
        <v>29</v>
      </c>
      <c r="DT63" s="4" t="s">
        <v>30</v>
      </c>
      <c r="DU63" s="4" t="s">
        <v>31</v>
      </c>
      <c r="DV63" s="4" t="s">
        <v>32</v>
      </c>
      <c r="DW63" s="4" t="s">
        <v>33</v>
      </c>
      <c r="DX63" s="4" t="s">
        <v>34</v>
      </c>
      <c r="DY63" s="4" t="s">
        <v>35</v>
      </c>
      <c r="DZ63" s="4" t="s">
        <v>36</v>
      </c>
      <c r="EA63" s="4" t="s">
        <v>37</v>
      </c>
      <c r="EB63" s="4" t="s">
        <v>38</v>
      </c>
      <c r="EC63" s="4" t="s">
        <v>39</v>
      </c>
      <c r="ED63" s="4" t="s">
        <v>40</v>
      </c>
      <c r="EE63" s="4" t="s">
        <v>41</v>
      </c>
      <c r="EF63" s="4" t="s">
        <v>42</v>
      </c>
      <c r="EG63" s="4" t="s">
        <v>43</v>
      </c>
      <c r="EH63" s="4" t="s">
        <v>44</v>
      </c>
      <c r="EI63" s="4" t="s">
        <v>45</v>
      </c>
      <c r="EJ63" s="4" t="s">
        <v>46</v>
      </c>
      <c r="EK63" s="4" t="s">
        <v>47</v>
      </c>
      <c r="EL63" s="4" t="s">
        <v>48</v>
      </c>
      <c r="EM63" s="4" t="s">
        <v>49</v>
      </c>
      <c r="EN63" s="4" t="s">
        <v>50</v>
      </c>
      <c r="EO63" s="4" t="s">
        <v>51</v>
      </c>
      <c r="EP63" s="87"/>
      <c r="EQ63" s="4" t="s">
        <v>52</v>
      </c>
      <c r="ER63" s="4" t="s">
        <v>53</v>
      </c>
      <c r="ES63" s="4" t="s">
        <v>54</v>
      </c>
      <c r="ET63" s="4" t="s">
        <v>55</v>
      </c>
      <c r="EU63" s="4" t="s">
        <v>56</v>
      </c>
      <c r="EV63" s="4" t="s">
        <v>57</v>
      </c>
      <c r="EW63" s="4" t="s">
        <v>58</v>
      </c>
      <c r="EX63" s="4" t="s">
        <v>59</v>
      </c>
      <c r="EY63" s="4" t="s">
        <v>60</v>
      </c>
      <c r="EZ63" s="4" t="s">
        <v>61</v>
      </c>
      <c r="FA63" s="4" t="s">
        <v>62</v>
      </c>
      <c r="FB63" s="4" t="s">
        <v>63</v>
      </c>
      <c r="FC63" s="4" t="s">
        <v>64</v>
      </c>
      <c r="FD63" s="4" t="s">
        <v>65</v>
      </c>
      <c r="FE63" s="4" t="s">
        <v>66</v>
      </c>
      <c r="FF63" s="4" t="s">
        <v>67</v>
      </c>
      <c r="FG63" s="4" t="s">
        <v>68</v>
      </c>
      <c r="FH63" s="4" t="s">
        <v>69</v>
      </c>
      <c r="FI63" s="4" t="s">
        <v>70</v>
      </c>
      <c r="FJ63" s="77"/>
      <c r="FK63" s="18"/>
      <c r="FL63" s="18"/>
      <c r="FM63" s="18"/>
      <c r="FN63" s="18"/>
      <c r="FO63" s="18"/>
      <c r="FP63" s="18"/>
      <c r="FQ63" s="18"/>
      <c r="FR63" s="18"/>
      <c r="FS63" s="18"/>
    </row>
    <row r="64" spans="1:175" ht="15">
      <c r="A64" s="95" t="s">
        <v>170</v>
      </c>
      <c r="B64" s="2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9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  <c r="CJ64" s="73"/>
      <c r="CK64" s="73"/>
      <c r="CL64" s="73"/>
      <c r="CM64" s="73"/>
      <c r="CN64" s="73"/>
      <c r="CO64" s="73"/>
      <c r="CP64" s="73"/>
      <c r="CQ64" s="73"/>
      <c r="CR64" s="73"/>
      <c r="CS64" s="73"/>
      <c r="CT64" s="73"/>
      <c r="CU64" s="73"/>
      <c r="CV64" s="73"/>
      <c r="CW64" s="73"/>
      <c r="CX64" s="73"/>
      <c r="CY64" s="73"/>
      <c r="CZ64" s="73"/>
      <c r="DA64" s="73"/>
      <c r="DB64" s="73"/>
      <c r="DC64" s="73"/>
      <c r="DD64" s="73"/>
      <c r="DE64" s="73"/>
      <c r="DF64" s="73"/>
      <c r="DG64" s="73"/>
      <c r="DH64" s="73"/>
      <c r="DI64" s="73"/>
      <c r="DJ64" s="73"/>
      <c r="DK64" s="73"/>
      <c r="DL64" s="73"/>
      <c r="DM64" s="73"/>
      <c r="DN64" s="73"/>
      <c r="DO64" s="73"/>
      <c r="DP64" s="73"/>
      <c r="DQ64" s="73"/>
      <c r="DR64" s="73"/>
      <c r="DS64" s="73"/>
      <c r="DT64" s="73"/>
      <c r="DU64" s="73"/>
      <c r="DV64" s="73"/>
      <c r="DW64" s="73"/>
      <c r="DX64" s="73"/>
      <c r="DY64" s="73"/>
      <c r="DZ64" s="73"/>
      <c r="EA64" s="73"/>
      <c r="EB64" s="73"/>
      <c r="EC64" s="73"/>
      <c r="ED64" s="73"/>
      <c r="EE64" s="73"/>
      <c r="EF64" s="73"/>
      <c r="EG64" s="73"/>
      <c r="EH64" s="73"/>
      <c r="EI64" s="73"/>
      <c r="EJ64" s="73"/>
      <c r="EK64" s="73"/>
      <c r="EL64" s="73"/>
      <c r="EM64" s="73"/>
      <c r="EN64" s="73"/>
      <c r="EO64" s="73"/>
      <c r="EP64" s="73"/>
      <c r="EQ64" s="73"/>
      <c r="ER64" s="73"/>
      <c r="ES64" s="73"/>
      <c r="ET64" s="73"/>
      <c r="EU64" s="73"/>
      <c r="EV64" s="73"/>
      <c r="EW64" s="73"/>
      <c r="EX64" s="73"/>
      <c r="EY64" s="73"/>
      <c r="EZ64" s="73"/>
      <c r="FA64" s="73"/>
      <c r="FB64" s="73"/>
      <c r="FC64" s="73"/>
      <c r="FD64" s="73"/>
      <c r="FE64" s="73"/>
      <c r="FF64" s="73"/>
      <c r="FG64" s="73"/>
      <c r="FH64" s="73"/>
      <c r="FI64" s="73"/>
      <c r="FJ64" s="73"/>
    </row>
    <row r="65" spans="1:166">
      <c r="A65" s="71" t="s">
        <v>230</v>
      </c>
      <c r="B65" s="92" t="s">
        <v>161</v>
      </c>
      <c r="C65" s="94">
        <f t="shared" ref="C65:T65" si="181">C37/$U37</f>
        <v>1.6082668592517191</v>
      </c>
      <c r="D65" s="94">
        <f t="shared" si="181"/>
        <v>1.1556716888228322</v>
      </c>
      <c r="E65" s="94">
        <f t="shared" si="181"/>
        <v>1.9328124196073382</v>
      </c>
      <c r="F65" s="94">
        <f t="shared" si="181"/>
        <v>1.6743801052228457</v>
      </c>
      <c r="G65" s="94">
        <f t="shared" si="181"/>
        <v>0.88032856518330282</v>
      </c>
      <c r="H65" s="94">
        <f t="shared" si="181"/>
        <v>1.2228399068097608</v>
      </c>
      <c r="I65" s="94">
        <f t="shared" si="181"/>
        <v>1.0024159260330752</v>
      </c>
      <c r="J65" s="94">
        <f t="shared" si="181"/>
        <v>2.0726369494721331</v>
      </c>
      <c r="K65" s="94">
        <f t="shared" si="181"/>
        <v>1.9035555138340639</v>
      </c>
      <c r="L65" s="94">
        <f t="shared" si="181"/>
        <v>0.89253756520856775</v>
      </c>
      <c r="M65" s="94">
        <f t="shared" si="181"/>
        <v>1.0167889617429435</v>
      </c>
      <c r="N65" s="94">
        <f t="shared" si="181"/>
        <v>0.85425773322502652</v>
      </c>
      <c r="O65" s="94">
        <f t="shared" si="181"/>
        <v>0.8101985637964163</v>
      </c>
      <c r="P65" s="94">
        <f t="shared" si="181"/>
        <v>0.68434391085028634</v>
      </c>
      <c r="Q65" s="94">
        <f t="shared" si="181"/>
        <v>0.69344469111376017</v>
      </c>
      <c r="R65" s="94">
        <f t="shared" si="181"/>
        <v>0.86108088460455745</v>
      </c>
      <c r="S65" s="94">
        <f t="shared" si="181"/>
        <v>0.99758407396692483</v>
      </c>
      <c r="T65" s="94">
        <f t="shared" si="181"/>
        <v>0.8499450900468527</v>
      </c>
      <c r="U65" s="94"/>
      <c r="V65" s="94">
        <f t="shared" ref="V65:AT65" si="182">V37/$AU37</f>
        <v>1.6063195858308077</v>
      </c>
      <c r="W65" s="94">
        <f t="shared" si="182"/>
        <v>1.6548880849556893</v>
      </c>
      <c r="X65" s="94">
        <f t="shared" si="182"/>
        <v>1.6615322852971894</v>
      </c>
      <c r="Y65" s="94">
        <f t="shared" si="182"/>
        <v>0.63385922217644386</v>
      </c>
      <c r="Z65" s="94">
        <f t="shared" si="182"/>
        <v>0.56514848268095574</v>
      </c>
      <c r="AA65" s="94">
        <f t="shared" si="182"/>
        <v>1.88470426217934</v>
      </c>
      <c r="AB65" s="94">
        <f t="shared" si="182"/>
        <v>1.5970025247157436</v>
      </c>
      <c r="AC65" s="94">
        <f t="shared" si="182"/>
        <v>1.9518869534063714</v>
      </c>
      <c r="AD65" s="94">
        <f t="shared" si="182"/>
        <v>1</v>
      </c>
      <c r="AE65" s="94">
        <f t="shared" si="182"/>
        <v>1.3611299285718164</v>
      </c>
      <c r="AF65" s="94">
        <f t="shared" si="182"/>
        <v>1.4253446864936137</v>
      </c>
      <c r="AG65" s="94">
        <f t="shared" si="182"/>
        <v>0.97111979961342021</v>
      </c>
      <c r="AH65" s="94">
        <f t="shared" si="182"/>
        <v>1.1882379758183936</v>
      </c>
      <c r="AI65" s="94">
        <f t="shared" si="182"/>
        <v>0.67991422374423416</v>
      </c>
      <c r="AJ65" s="94">
        <f t="shared" si="182"/>
        <v>0.61386024809266004</v>
      </c>
      <c r="AK65" s="94">
        <f t="shared" si="182"/>
        <v>0.9096895408660074</v>
      </c>
      <c r="AL65" s="94">
        <f t="shared" si="182"/>
        <v>0.66869955302971007</v>
      </c>
      <c r="AM65" s="94">
        <f t="shared" si="182"/>
        <v>0.80903824277576608</v>
      </c>
      <c r="AN65" s="94">
        <f t="shared" si="182"/>
        <v>0.70605316063114953</v>
      </c>
      <c r="AO65" s="94">
        <f t="shared" si="182"/>
        <v>0.54708751831031288</v>
      </c>
      <c r="AP65" s="94">
        <f t="shared" si="182"/>
        <v>0.99374125439480887</v>
      </c>
      <c r="AQ65" s="94">
        <f t="shared" si="182"/>
        <v>1.0608243177808327</v>
      </c>
      <c r="AR65" s="94">
        <f t="shared" si="182"/>
        <v>1.2282648413371307</v>
      </c>
      <c r="AS65" s="94">
        <f t="shared" si="182"/>
        <v>1.4500938861568664</v>
      </c>
      <c r="AT65" s="94">
        <f t="shared" si="182"/>
        <v>0.70493183521340341</v>
      </c>
      <c r="AU65" s="94"/>
      <c r="AV65" s="94">
        <f t="shared" ref="AV65:CO65" si="183">AV37/$CP37</f>
        <v>0.99479739319506943</v>
      </c>
      <c r="AW65" s="94">
        <f t="shared" si="183"/>
        <v>0.80503818131001748</v>
      </c>
      <c r="AX65" s="94">
        <f t="shared" si="183"/>
        <v>0.58839130915393489</v>
      </c>
      <c r="AY65" s="94">
        <f t="shared" si="183"/>
        <v>0.64115586192615559</v>
      </c>
      <c r="AZ65" s="94">
        <f t="shared" si="183"/>
        <v>0</v>
      </c>
      <c r="BA65" s="94">
        <f t="shared" si="183"/>
        <v>1.0052026068049305</v>
      </c>
      <c r="BB65" s="94">
        <f t="shared" si="183"/>
        <v>1.4621819027635856</v>
      </c>
      <c r="BC65" s="94">
        <f t="shared" si="183"/>
        <v>1.342396040927812</v>
      </c>
      <c r="BD65" s="94">
        <f t="shared" si="183"/>
        <v>0.85777317034496059</v>
      </c>
      <c r="BE65" s="94">
        <f t="shared" si="183"/>
        <v>0.73030617229915418</v>
      </c>
      <c r="BF65" s="94">
        <f t="shared" si="183"/>
        <v>1.046708292462474</v>
      </c>
      <c r="BG65" s="94">
        <f t="shared" si="183"/>
        <v>0.9690291105343718</v>
      </c>
      <c r="BH65" s="94">
        <f t="shared" si="183"/>
        <v>1.1067984629367063</v>
      </c>
      <c r="BI65" s="94">
        <f t="shared" si="183"/>
        <v>1.0582597333347852</v>
      </c>
      <c r="BJ65" s="94">
        <f t="shared" si="183"/>
        <v>1.7272765631080125</v>
      </c>
      <c r="BK65" s="94">
        <f t="shared" si="183"/>
        <v>1.622149318479321</v>
      </c>
      <c r="BL65" s="94">
        <f t="shared" si="183"/>
        <v>1.3384884359971065</v>
      </c>
      <c r="BM65" s="94">
        <f t="shared" si="183"/>
        <v>1.3023520171980316</v>
      </c>
      <c r="BN65" s="94">
        <f t="shared" si="183"/>
        <v>0.87869950774251349</v>
      </c>
      <c r="BO65" s="94">
        <f t="shared" si="183"/>
        <v>0.72954249182112818</v>
      </c>
      <c r="BP65" s="94">
        <f t="shared" si="183"/>
        <v>0.83009199553153634</v>
      </c>
      <c r="BQ65" s="94">
        <f t="shared" si="183"/>
        <v>0.73656691671632835</v>
      </c>
      <c r="BR65" s="94">
        <f t="shared" si="183"/>
        <v>1.2408800327951641</v>
      </c>
      <c r="BS65" s="94">
        <f t="shared" si="183"/>
        <v>1.1675724667529506</v>
      </c>
      <c r="BT65" s="94">
        <f t="shared" si="183"/>
        <v>1.1463974914616841</v>
      </c>
      <c r="BU65" s="94">
        <f t="shared" si="183"/>
        <v>0.95420004553762849</v>
      </c>
      <c r="BV65" s="94">
        <f t="shared" si="183"/>
        <v>0.81127979015629859</v>
      </c>
      <c r="BW65" s="94">
        <f t="shared" si="183"/>
        <v>1.1443200904050901</v>
      </c>
      <c r="BX65" s="94">
        <f t="shared" si="183"/>
        <v>1.4487835559029076</v>
      </c>
      <c r="BY65" s="94">
        <f t="shared" si="183"/>
        <v>1.6931463572596268</v>
      </c>
      <c r="BZ65" s="94">
        <f t="shared" si="183"/>
        <v>1.3549903538722612</v>
      </c>
      <c r="CA65" s="94">
        <f t="shared" si="183"/>
        <v>1.0695390967790008</v>
      </c>
      <c r="CB65" s="94">
        <f t="shared" si="183"/>
        <v>1.0634227258800879</v>
      </c>
      <c r="CC65" s="94">
        <f t="shared" si="183"/>
        <v>1.0889506913669447</v>
      </c>
      <c r="CD65" s="94">
        <f t="shared" si="183"/>
        <v>1.1109159110737437</v>
      </c>
      <c r="CE65" s="94">
        <f t="shared" si="183"/>
        <v>1.2626690123357203</v>
      </c>
      <c r="CF65" s="94">
        <f t="shared" si="183"/>
        <v>1.2380763173530505</v>
      </c>
      <c r="CG65" s="94">
        <f t="shared" si="183"/>
        <v>0.69281460102955261</v>
      </c>
      <c r="CH65" s="94">
        <f t="shared" si="183"/>
        <v>0.92283389806460492</v>
      </c>
      <c r="CI65" s="94">
        <f t="shared" si="183"/>
        <v>0.63652812373592427</v>
      </c>
      <c r="CJ65" s="94">
        <f t="shared" si="183"/>
        <v>0</v>
      </c>
      <c r="CK65" s="94">
        <f t="shared" si="183"/>
        <v>0.75779782558687947</v>
      </c>
      <c r="CL65" s="94">
        <f t="shared" si="183"/>
        <v>0</v>
      </c>
      <c r="CM65" s="94">
        <f t="shared" si="183"/>
        <v>0.72321720016660895</v>
      </c>
      <c r="CN65" s="94">
        <f t="shared" si="183"/>
        <v>0</v>
      </c>
      <c r="CO65" s="94">
        <f t="shared" si="183"/>
        <v>0.65306727252310737</v>
      </c>
      <c r="CP65" s="94"/>
      <c r="CQ65" s="94">
        <f t="shared" ref="CQ65:DV65" si="184">CQ37/$EP37</f>
        <v>0.87976303496104646</v>
      </c>
      <c r="CR65" s="94">
        <f t="shared" si="184"/>
        <v>0</v>
      </c>
      <c r="CS65" s="94">
        <f t="shared" si="184"/>
        <v>0.95583047744740313</v>
      </c>
      <c r="CT65" s="94">
        <f t="shared" si="184"/>
        <v>0</v>
      </c>
      <c r="CU65" s="94">
        <f t="shared" si="184"/>
        <v>0</v>
      </c>
      <c r="CV65" s="94">
        <f t="shared" si="184"/>
        <v>0.76536661698883646</v>
      </c>
      <c r="CW65" s="94">
        <f t="shared" si="184"/>
        <v>1.1421224497052016</v>
      </c>
      <c r="CX65" s="94">
        <f t="shared" si="184"/>
        <v>0.95712558293667094</v>
      </c>
      <c r="CY65" s="94">
        <f t="shared" si="184"/>
        <v>0</v>
      </c>
      <c r="CZ65" s="94">
        <f t="shared" si="184"/>
        <v>1.0065469430123877</v>
      </c>
      <c r="DA65" s="94">
        <f t="shared" si="184"/>
        <v>0.91899466682400444</v>
      </c>
      <c r="DB65" s="94">
        <f t="shared" si="184"/>
        <v>0</v>
      </c>
      <c r="DC65" s="94">
        <f t="shared" si="184"/>
        <v>0.87935268206827488</v>
      </c>
      <c r="DD65" s="94">
        <f t="shared" si="184"/>
        <v>0.95390217938499966</v>
      </c>
      <c r="DE65" s="94">
        <f t="shared" si="184"/>
        <v>1.5578915634613375</v>
      </c>
      <c r="DF65" s="94">
        <f t="shared" si="184"/>
        <v>1.5068049921949991</v>
      </c>
      <c r="DG65" s="94">
        <f t="shared" si="184"/>
        <v>0.7914428619126842</v>
      </c>
      <c r="DH65" s="94">
        <f t="shared" si="184"/>
        <v>0</v>
      </c>
      <c r="DI65" s="94">
        <f t="shared" si="184"/>
        <v>0</v>
      </c>
      <c r="DJ65" s="94">
        <f t="shared" si="184"/>
        <v>0</v>
      </c>
      <c r="DK65" s="94">
        <f t="shared" si="184"/>
        <v>0</v>
      </c>
      <c r="DL65" s="94">
        <f t="shared" si="184"/>
        <v>0.85082819007029287</v>
      </c>
      <c r="DM65" s="94">
        <f t="shared" si="184"/>
        <v>1.0367777975474219</v>
      </c>
      <c r="DN65" s="94">
        <f t="shared" si="184"/>
        <v>0</v>
      </c>
      <c r="DO65" s="94">
        <f t="shared" si="184"/>
        <v>1.4656916214305307</v>
      </c>
      <c r="DP65" s="94">
        <f t="shared" si="184"/>
        <v>1.4347780899764024</v>
      </c>
      <c r="DQ65" s="94">
        <f t="shared" si="184"/>
        <v>0.86839533847436112</v>
      </c>
      <c r="DR65" s="94">
        <f t="shared" si="184"/>
        <v>1.3800111856698507</v>
      </c>
      <c r="DS65" s="94">
        <f t="shared" si="184"/>
        <v>0</v>
      </c>
      <c r="DT65" s="94">
        <f t="shared" si="184"/>
        <v>0</v>
      </c>
      <c r="DU65" s="94">
        <f t="shared" si="184"/>
        <v>0</v>
      </c>
      <c r="DV65" s="94">
        <f t="shared" si="184"/>
        <v>0</v>
      </c>
      <c r="DW65" s="94">
        <f t="shared" ref="DW65:EO65" si="185">DW37/$EP37</f>
        <v>0</v>
      </c>
      <c r="DX65" s="94">
        <f t="shared" si="185"/>
        <v>0.83648403362697121</v>
      </c>
      <c r="DY65" s="94">
        <f t="shared" si="185"/>
        <v>0.77068120542951246</v>
      </c>
      <c r="DZ65" s="94">
        <f t="shared" si="185"/>
        <v>0.86779969371688348</v>
      </c>
      <c r="EA65" s="94">
        <f t="shared" si="185"/>
        <v>0</v>
      </c>
      <c r="EB65" s="94">
        <f t="shared" si="185"/>
        <v>0</v>
      </c>
      <c r="EC65" s="94">
        <f t="shared" si="185"/>
        <v>0.87375204686032137</v>
      </c>
      <c r="ED65" s="94">
        <f t="shared" si="185"/>
        <v>0.71635374201867108</v>
      </c>
      <c r="EE65" s="94">
        <f t="shared" si="185"/>
        <v>0</v>
      </c>
      <c r="EF65" s="94">
        <f t="shared" si="185"/>
        <v>0</v>
      </c>
      <c r="EG65" s="94">
        <f t="shared" si="185"/>
        <v>0</v>
      </c>
      <c r="EH65" s="94">
        <f t="shared" si="185"/>
        <v>0</v>
      </c>
      <c r="EI65" s="94">
        <f t="shared" si="185"/>
        <v>0</v>
      </c>
      <c r="EJ65" s="94">
        <f t="shared" si="185"/>
        <v>0</v>
      </c>
      <c r="EK65" s="94">
        <f t="shared" si="185"/>
        <v>0</v>
      </c>
      <c r="EL65" s="94">
        <f t="shared" si="185"/>
        <v>0</v>
      </c>
      <c r="EM65" s="94">
        <f t="shared" si="185"/>
        <v>0</v>
      </c>
      <c r="EN65" s="94">
        <f t="shared" si="185"/>
        <v>0</v>
      </c>
      <c r="EO65" s="94">
        <f t="shared" si="185"/>
        <v>0</v>
      </c>
      <c r="EP65" s="90"/>
      <c r="EQ65" s="94">
        <f>EQ37/$FK37</f>
        <v>0</v>
      </c>
      <c r="ER65" s="94">
        <f t="shared" ref="ER65:FI65" si="186">ER37/$FK37</f>
        <v>1.9516587955011042</v>
      </c>
      <c r="ES65" s="94">
        <f t="shared" si="186"/>
        <v>1.303327372764477</v>
      </c>
      <c r="ET65" s="94">
        <f t="shared" si="186"/>
        <v>0</v>
      </c>
      <c r="EU65" s="94">
        <f t="shared" si="186"/>
        <v>0</v>
      </c>
      <c r="EV65" s="94">
        <f t="shared" si="186"/>
        <v>0</v>
      </c>
      <c r="EW65" s="94">
        <f t="shared" si="186"/>
        <v>0</v>
      </c>
      <c r="EX65" s="94">
        <f t="shared" si="186"/>
        <v>0</v>
      </c>
      <c r="EY65" s="94">
        <f t="shared" si="186"/>
        <v>0</v>
      </c>
      <c r="EZ65" s="94">
        <f t="shared" si="186"/>
        <v>1.189278113696999</v>
      </c>
      <c r="FA65" s="94">
        <f t="shared" si="186"/>
        <v>0</v>
      </c>
      <c r="FB65" s="94">
        <f t="shared" si="186"/>
        <v>1.2561894909915661</v>
      </c>
      <c r="FC65" s="94">
        <f t="shared" si="186"/>
        <v>0</v>
      </c>
      <c r="FD65" s="94">
        <f t="shared" si="186"/>
        <v>0</v>
      </c>
      <c r="FE65" s="94">
        <f t="shared" si="186"/>
        <v>1.4636056398698105</v>
      </c>
      <c r="FF65" s="94">
        <f t="shared" si="186"/>
        <v>1.1025876512254591</v>
      </c>
      <c r="FG65" s="94">
        <f t="shared" si="186"/>
        <v>0</v>
      </c>
      <c r="FH65" s="94">
        <f t="shared" si="186"/>
        <v>0</v>
      </c>
      <c r="FI65" s="94">
        <f t="shared" si="186"/>
        <v>0</v>
      </c>
      <c r="FJ65" s="73"/>
    </row>
    <row r="66" spans="1:166">
      <c r="A66" s="71" t="s">
        <v>204</v>
      </c>
      <c r="B66" s="92" t="s">
        <v>161</v>
      </c>
      <c r="C66" s="94">
        <f t="shared" ref="C66:T66" si="187">C38/$U38</f>
        <v>1.5337336438665325</v>
      </c>
      <c r="D66" s="94">
        <f t="shared" si="187"/>
        <v>1.1233306004120007</v>
      </c>
      <c r="E66" s="94">
        <f t="shared" si="187"/>
        <v>1.717292344622791</v>
      </c>
      <c r="F66" s="94">
        <f t="shared" si="187"/>
        <v>1.5384587747297418</v>
      </c>
      <c r="G66" s="94">
        <f t="shared" si="187"/>
        <v>0.903636318349885</v>
      </c>
      <c r="H66" s="94">
        <f t="shared" si="187"/>
        <v>1.0609191625649654</v>
      </c>
      <c r="I66" s="94">
        <f t="shared" si="187"/>
        <v>0.93908083743503445</v>
      </c>
      <c r="J66" s="94">
        <f t="shared" si="187"/>
        <v>1.7397643206135147</v>
      </c>
      <c r="K66" s="94">
        <f t="shared" si="187"/>
        <v>1.6258167230971268</v>
      </c>
      <c r="L66" s="94">
        <f t="shared" si="187"/>
        <v>1.273198718070484</v>
      </c>
      <c r="M66" s="94">
        <f t="shared" si="187"/>
        <v>0.64680904380806203</v>
      </c>
      <c r="N66" s="94">
        <f t="shared" si="187"/>
        <v>0.88886795320413869</v>
      </c>
      <c r="O66" s="94">
        <f t="shared" si="187"/>
        <v>0.63867376573885648</v>
      </c>
      <c r="P66" s="94">
        <f t="shared" si="187"/>
        <v>0.6649197346164909</v>
      </c>
      <c r="Q66" s="94">
        <f t="shared" si="187"/>
        <v>0.56994368515936455</v>
      </c>
      <c r="R66" s="94">
        <f t="shared" si="187"/>
        <v>0.82006904971935479</v>
      </c>
      <c r="S66" s="94">
        <f t="shared" si="187"/>
        <v>0.84934226759834719</v>
      </c>
      <c r="T66" s="94">
        <f t="shared" si="187"/>
        <v>1.1106577596650342</v>
      </c>
      <c r="U66" s="94"/>
      <c r="V66" s="94">
        <f t="shared" ref="V66:AT66" si="188">V38/$AU38</f>
        <v>1.6012382983670985</v>
      </c>
      <c r="W66" s="94">
        <f t="shared" si="188"/>
        <v>1.6704165753971203</v>
      </c>
      <c r="X66" s="94">
        <f t="shared" si="188"/>
        <v>1.6334595095610247</v>
      </c>
      <c r="Y66" s="94">
        <f t="shared" si="188"/>
        <v>0.66654619143414151</v>
      </c>
      <c r="Z66" s="94">
        <f t="shared" si="188"/>
        <v>0.58403205785791179</v>
      </c>
      <c r="AA66" s="94">
        <f t="shared" si="188"/>
        <v>1.7803004126175601</v>
      </c>
      <c r="AB66" s="94">
        <f t="shared" si="188"/>
        <v>1.5734319021999861</v>
      </c>
      <c r="AC66" s="94">
        <f t="shared" si="188"/>
        <v>1.9167827784396023</v>
      </c>
      <c r="AD66" s="94">
        <f t="shared" si="188"/>
        <v>1</v>
      </c>
      <c r="AE66" s="94">
        <f t="shared" si="188"/>
        <v>1.3015365538631261</v>
      </c>
      <c r="AF66" s="94">
        <f t="shared" si="188"/>
        <v>1.3674779302645861</v>
      </c>
      <c r="AG66" s="94">
        <f t="shared" si="188"/>
        <v>0.97249087472878271</v>
      </c>
      <c r="AH66" s="94">
        <f t="shared" si="188"/>
        <v>1.2192789152626948</v>
      </c>
      <c r="AI66" s="94">
        <f t="shared" si="188"/>
        <v>0.63627415856399028</v>
      </c>
      <c r="AJ66" s="94">
        <f t="shared" si="188"/>
        <v>0.52028733557437523</v>
      </c>
      <c r="AK66" s="94">
        <f t="shared" si="188"/>
        <v>0.98371747610038862</v>
      </c>
      <c r="AL66" s="94">
        <f t="shared" si="188"/>
        <v>0.80415065257122598</v>
      </c>
      <c r="AM66" s="94">
        <f t="shared" si="188"/>
        <v>0.73918386205957409</v>
      </c>
      <c r="AN66" s="94">
        <f t="shared" si="188"/>
        <v>0.52212153484937418</v>
      </c>
      <c r="AO66" s="94">
        <f t="shared" si="188"/>
        <v>0.74435032288996872</v>
      </c>
      <c r="AP66" s="94">
        <f t="shared" si="188"/>
        <v>0.9958248479288011</v>
      </c>
      <c r="AQ66" s="94">
        <f t="shared" si="188"/>
        <v>1.0149083580322718</v>
      </c>
      <c r="AR66" s="94">
        <f t="shared" si="188"/>
        <v>1.112341373427189</v>
      </c>
      <c r="AS66" s="94">
        <f t="shared" si="188"/>
        <v>1.4653913922488027</v>
      </c>
      <c r="AT66" s="94">
        <f t="shared" si="188"/>
        <v>0.63331756989021337</v>
      </c>
      <c r="AU66" s="94"/>
      <c r="AV66" s="94">
        <f t="shared" ref="AV66:CO66" si="189">AV38/$CP38</f>
        <v>0.64338283947048613</v>
      </c>
      <c r="AW66" s="94">
        <f t="shared" si="189"/>
        <v>0.70920668927376551</v>
      </c>
      <c r="AX66" s="94">
        <f t="shared" si="189"/>
        <v>0.79635938538661533</v>
      </c>
      <c r="AY66" s="94">
        <f t="shared" si="189"/>
        <v>0.66680351335771426</v>
      </c>
      <c r="AZ66" s="94">
        <f t="shared" si="189"/>
        <v>0.65294350736813755</v>
      </c>
      <c r="BA66" s="94">
        <f t="shared" si="189"/>
        <v>1.1373942454376149</v>
      </c>
      <c r="BB66" s="94">
        <f t="shared" si="189"/>
        <v>1.5252861086411205</v>
      </c>
      <c r="BC66" s="94">
        <f t="shared" si="189"/>
        <v>1.4765817385381952</v>
      </c>
      <c r="BD66" s="94">
        <f t="shared" si="189"/>
        <v>0.9209967721604807</v>
      </c>
      <c r="BE66" s="94">
        <f t="shared" si="189"/>
        <v>0.84196426104099142</v>
      </c>
      <c r="BF66" s="94">
        <f t="shared" si="189"/>
        <v>1.1355455840660644</v>
      </c>
      <c r="BG66" s="94">
        <f t="shared" si="189"/>
        <v>0.9583717372992655</v>
      </c>
      <c r="BH66" s="94">
        <f t="shared" si="189"/>
        <v>1.1464896881463</v>
      </c>
      <c r="BI66" s="94">
        <f t="shared" si="189"/>
        <v>1.0895139036761843</v>
      </c>
      <c r="BJ66" s="94">
        <f t="shared" si="189"/>
        <v>1.7491192759436078</v>
      </c>
      <c r="BK66" s="94">
        <f t="shared" si="189"/>
        <v>1.6933249104972254</v>
      </c>
      <c r="BL66" s="94">
        <f t="shared" si="189"/>
        <v>1.4640014889625403</v>
      </c>
      <c r="BM66" s="94">
        <f t="shared" si="189"/>
        <v>1.4386829114891773</v>
      </c>
      <c r="BN66" s="94">
        <f t="shared" si="189"/>
        <v>1.0416282627007345</v>
      </c>
      <c r="BO66" s="94">
        <f t="shared" si="189"/>
        <v>0.83335367141904604</v>
      </c>
      <c r="BP66" s="94">
        <f t="shared" si="189"/>
        <v>0.83840604778418348</v>
      </c>
      <c r="BQ66" s="94">
        <f t="shared" si="189"/>
        <v>0.92074850241217343</v>
      </c>
      <c r="BR66" s="94">
        <f t="shared" si="189"/>
        <v>1.1074305924240093</v>
      </c>
      <c r="BS66" s="94">
        <f t="shared" si="189"/>
        <v>1.07253264978563</v>
      </c>
      <c r="BT66" s="94">
        <f t="shared" si="189"/>
        <v>1.1553349776702004</v>
      </c>
      <c r="BU66" s="94">
        <f t="shared" si="189"/>
        <v>0.86815177739249627</v>
      </c>
      <c r="BV66" s="94">
        <f t="shared" si="189"/>
        <v>0.67844273460046622</v>
      </c>
      <c r="BW66" s="94">
        <f t="shared" si="189"/>
        <v>1.1195904209231515</v>
      </c>
      <c r="BX66" s="94">
        <f t="shared" si="189"/>
        <v>1.5220393054560915</v>
      </c>
      <c r="BY66" s="94">
        <f t="shared" si="189"/>
        <v>1.6749533610916139</v>
      </c>
      <c r="BZ66" s="94">
        <f t="shared" si="189"/>
        <v>1.48334881887379</v>
      </c>
      <c r="CA66" s="94">
        <f t="shared" si="189"/>
        <v>1.1686437576252295</v>
      </c>
      <c r="CB66" s="94">
        <f t="shared" si="189"/>
        <v>1.0816802211607397</v>
      </c>
      <c r="CC66" s="94">
        <f t="shared" si="189"/>
        <v>0.94662171323967836</v>
      </c>
      <c r="CD66" s="94">
        <f t="shared" si="189"/>
        <v>1.2826205315168067</v>
      </c>
      <c r="CE66" s="94">
        <f t="shared" si="189"/>
        <v>1.3688983352023723</v>
      </c>
      <c r="CF66" s="94">
        <f t="shared" si="189"/>
        <v>1.2807641337519733</v>
      </c>
      <c r="CG66" s="94">
        <f t="shared" si="189"/>
        <v>0.6237965079662815</v>
      </c>
      <c r="CH66" s="94">
        <f t="shared" si="189"/>
        <v>0.86505774303096949</v>
      </c>
      <c r="CI66" s="94">
        <f t="shared" si="189"/>
        <v>0</v>
      </c>
      <c r="CJ66" s="94">
        <f t="shared" si="189"/>
        <v>0</v>
      </c>
      <c r="CK66" s="94">
        <f t="shared" si="189"/>
        <v>0.6352680098570781</v>
      </c>
      <c r="CL66" s="94">
        <f t="shared" si="189"/>
        <v>0.60615149245610311</v>
      </c>
      <c r="CM66" s="94">
        <f t="shared" si="189"/>
        <v>0.70485249971688158</v>
      </c>
      <c r="CN66" s="94">
        <f t="shared" si="189"/>
        <v>0.58625459658947721</v>
      </c>
      <c r="CO66" s="94">
        <f t="shared" si="189"/>
        <v>0.75249452840666942</v>
      </c>
      <c r="CP66" s="94"/>
      <c r="CQ66" s="94">
        <f t="shared" ref="CQ66:DV66" si="190">CQ38/$EP38</f>
        <v>0</v>
      </c>
      <c r="CR66" s="94">
        <f t="shared" si="190"/>
        <v>0</v>
      </c>
      <c r="CS66" s="94">
        <f t="shared" si="190"/>
        <v>0.71816918784098194</v>
      </c>
      <c r="CT66" s="94">
        <f t="shared" si="190"/>
        <v>0</v>
      </c>
      <c r="CU66" s="94">
        <f t="shared" si="190"/>
        <v>0</v>
      </c>
      <c r="CV66" s="94">
        <f t="shared" si="190"/>
        <v>0</v>
      </c>
      <c r="CW66" s="94">
        <f t="shared" si="190"/>
        <v>0.79107697302484969</v>
      </c>
      <c r="CX66" s="94">
        <f t="shared" si="190"/>
        <v>1.0097735552017324</v>
      </c>
      <c r="CY66" s="94">
        <f t="shared" si="190"/>
        <v>0</v>
      </c>
      <c r="CZ66" s="94">
        <f t="shared" si="190"/>
        <v>0.96660628858144226</v>
      </c>
      <c r="DA66" s="94">
        <f t="shared" si="190"/>
        <v>1.1611289913285985</v>
      </c>
      <c r="DB66" s="94">
        <f t="shared" si="190"/>
        <v>0.90268305383017111</v>
      </c>
      <c r="DC66" s="94">
        <f t="shared" si="190"/>
        <v>0</v>
      </c>
      <c r="DD66" s="94">
        <f t="shared" si="190"/>
        <v>0</v>
      </c>
      <c r="DE66" s="94">
        <f t="shared" si="190"/>
        <v>1.4225625165352345</v>
      </c>
      <c r="DF66" s="94">
        <f t="shared" si="190"/>
        <v>1.5366621913266751</v>
      </c>
      <c r="DG66" s="94">
        <f t="shared" si="190"/>
        <v>0</v>
      </c>
      <c r="DH66" s="94">
        <f t="shared" si="190"/>
        <v>0</v>
      </c>
      <c r="DI66" s="94">
        <f t="shared" si="190"/>
        <v>0</v>
      </c>
      <c r="DJ66" s="94">
        <f t="shared" si="190"/>
        <v>0</v>
      </c>
      <c r="DK66" s="94">
        <f t="shared" si="190"/>
        <v>1.0604309703233428</v>
      </c>
      <c r="DL66" s="94">
        <f t="shared" si="190"/>
        <v>0</v>
      </c>
      <c r="DM66" s="94">
        <f t="shared" si="190"/>
        <v>1.0736938297503302</v>
      </c>
      <c r="DN66" s="94">
        <f t="shared" si="190"/>
        <v>0</v>
      </c>
      <c r="DO66" s="94">
        <f t="shared" si="190"/>
        <v>0.84753792347619505</v>
      </c>
      <c r="DP66" s="94">
        <f t="shared" si="190"/>
        <v>1.3430928818568475</v>
      </c>
      <c r="DQ66" s="94">
        <f t="shared" si="190"/>
        <v>1.229403633334317</v>
      </c>
      <c r="DR66" s="94">
        <f t="shared" si="190"/>
        <v>1.0704840899943069</v>
      </c>
      <c r="DS66" s="94">
        <f t="shared" si="190"/>
        <v>0.79547846511678688</v>
      </c>
      <c r="DT66" s="94">
        <f t="shared" si="190"/>
        <v>0.83935569341062355</v>
      </c>
      <c r="DU66" s="94">
        <f t="shared" si="190"/>
        <v>0</v>
      </c>
      <c r="DV66" s="94">
        <f t="shared" si="190"/>
        <v>0</v>
      </c>
      <c r="DW66" s="94">
        <f t="shared" ref="DW66:EO66" si="191">DW38/$EP38</f>
        <v>0</v>
      </c>
      <c r="DX66" s="94">
        <f t="shared" si="191"/>
        <v>0</v>
      </c>
      <c r="DY66" s="94">
        <f t="shared" si="191"/>
        <v>0</v>
      </c>
      <c r="DZ66" s="94">
        <f t="shared" si="191"/>
        <v>0</v>
      </c>
      <c r="EA66" s="94">
        <f t="shared" si="191"/>
        <v>0</v>
      </c>
      <c r="EB66" s="94">
        <f t="shared" si="191"/>
        <v>0</v>
      </c>
      <c r="EC66" s="94">
        <f t="shared" si="191"/>
        <v>0.72063923995902002</v>
      </c>
      <c r="ED66" s="94">
        <f t="shared" si="191"/>
        <v>0</v>
      </c>
      <c r="EE66" s="94">
        <f t="shared" si="191"/>
        <v>0.96378680067520794</v>
      </c>
      <c r="EF66" s="94">
        <f t="shared" si="191"/>
        <v>0</v>
      </c>
      <c r="EG66" s="94">
        <f t="shared" si="191"/>
        <v>0</v>
      </c>
      <c r="EH66" s="94">
        <f t="shared" si="191"/>
        <v>0</v>
      </c>
      <c r="EI66" s="94">
        <f t="shared" si="191"/>
        <v>0</v>
      </c>
      <c r="EJ66" s="94">
        <f t="shared" si="191"/>
        <v>0</v>
      </c>
      <c r="EK66" s="94">
        <f t="shared" si="191"/>
        <v>0</v>
      </c>
      <c r="EL66" s="94">
        <f t="shared" si="191"/>
        <v>0</v>
      </c>
      <c r="EM66" s="94">
        <f t="shared" si="191"/>
        <v>0</v>
      </c>
      <c r="EN66" s="94">
        <f t="shared" si="191"/>
        <v>0</v>
      </c>
      <c r="EO66" s="94">
        <f t="shared" si="191"/>
        <v>1.0203362695901106</v>
      </c>
      <c r="EP66" s="90"/>
      <c r="EQ66" s="94">
        <f t="shared" ref="EQ66:FI66" si="192">EQ38/$FK38</f>
        <v>0</v>
      </c>
      <c r="ER66" s="94">
        <f t="shared" si="192"/>
        <v>1.6300421222472345</v>
      </c>
      <c r="ES66" s="94">
        <f t="shared" si="192"/>
        <v>0</v>
      </c>
      <c r="ET66" s="94">
        <f t="shared" si="192"/>
        <v>0</v>
      </c>
      <c r="EU66" s="94">
        <f t="shared" si="192"/>
        <v>0</v>
      </c>
      <c r="EV66" s="94">
        <f t="shared" si="192"/>
        <v>0</v>
      </c>
      <c r="EW66" s="94">
        <f t="shared" si="192"/>
        <v>0</v>
      </c>
      <c r="EX66" s="94">
        <f t="shared" si="192"/>
        <v>1.1957200172624567</v>
      </c>
      <c r="EY66" s="94">
        <f t="shared" si="192"/>
        <v>1.9958948296598671</v>
      </c>
      <c r="EZ66" s="94">
        <f t="shared" si="192"/>
        <v>0</v>
      </c>
      <c r="FA66" s="94">
        <f t="shared" si="192"/>
        <v>0</v>
      </c>
      <c r="FB66" s="94">
        <f t="shared" si="192"/>
        <v>1.4512580199946452</v>
      </c>
      <c r="FC66" s="94">
        <f t="shared" si="192"/>
        <v>0</v>
      </c>
      <c r="FD66" s="94">
        <f t="shared" si="192"/>
        <v>0</v>
      </c>
      <c r="FE66" s="94">
        <f t="shared" si="192"/>
        <v>1.5660655845561686</v>
      </c>
      <c r="FF66" s="94">
        <f t="shared" si="192"/>
        <v>0</v>
      </c>
      <c r="FG66" s="94">
        <f t="shared" si="192"/>
        <v>1.2775302718848207</v>
      </c>
      <c r="FH66" s="94">
        <f t="shared" si="192"/>
        <v>0</v>
      </c>
      <c r="FI66" s="94">
        <f t="shared" si="192"/>
        <v>0</v>
      </c>
      <c r="FJ66" s="73"/>
    </row>
    <row r="67" spans="1:166">
      <c r="A67" s="71" t="s">
        <v>229</v>
      </c>
      <c r="B67" s="92" t="s">
        <v>161</v>
      </c>
      <c r="C67" s="94">
        <f t="shared" ref="C67:T67" si="193">C39/$U39</f>
        <v>1.4582057277181228</v>
      </c>
      <c r="D67" s="94">
        <f t="shared" si="193"/>
        <v>1.0704733071831607</v>
      </c>
      <c r="E67" s="94">
        <f t="shared" si="193"/>
        <v>1.7146350932444123</v>
      </c>
      <c r="F67" s="94">
        <f t="shared" si="193"/>
        <v>1.541175740894023</v>
      </c>
      <c r="G67" s="94">
        <f t="shared" si="193"/>
        <v>1.0050472053539459</v>
      </c>
      <c r="H67" s="94">
        <f t="shared" si="193"/>
        <v>1.0388953888661758</v>
      </c>
      <c r="I67" s="94">
        <f t="shared" si="193"/>
        <v>0.99115017820261275</v>
      </c>
      <c r="J67" s="94">
        <f t="shared" si="193"/>
        <v>1.977756109281281</v>
      </c>
      <c r="K67" s="94">
        <f t="shared" si="193"/>
        <v>1.8178157748470292</v>
      </c>
      <c r="L67" s="94">
        <f t="shared" si="193"/>
        <v>1.3659616438230628</v>
      </c>
      <c r="M67" s="94">
        <f t="shared" si="193"/>
        <v>0.92531114640247636</v>
      </c>
      <c r="N67" s="94">
        <f t="shared" si="193"/>
        <v>0.85044804226159221</v>
      </c>
      <c r="O67" s="94">
        <f t="shared" si="193"/>
        <v>0.78073641899280766</v>
      </c>
      <c r="P67" s="94">
        <f t="shared" si="193"/>
        <v>0.69917610750711523</v>
      </c>
      <c r="Q67" s="94">
        <f t="shared" si="193"/>
        <v>0</v>
      </c>
      <c r="R67" s="94">
        <f t="shared" si="193"/>
        <v>0.91752837005248544</v>
      </c>
      <c r="S67" s="94">
        <f t="shared" si="193"/>
        <v>0.86985458475720034</v>
      </c>
      <c r="T67" s="94">
        <f t="shared" si="193"/>
        <v>0.99495279464605413</v>
      </c>
      <c r="U67" s="93"/>
      <c r="V67" s="94">
        <f t="shared" ref="V67:AT67" si="194">V39/$AU39</f>
        <v>1.6738199235400522</v>
      </c>
      <c r="W67" s="94">
        <f t="shared" si="194"/>
        <v>1.7016927021766366</v>
      </c>
      <c r="X67" s="94">
        <f t="shared" si="194"/>
        <v>1.6923943896594185</v>
      </c>
      <c r="Y67" s="94">
        <f t="shared" si="194"/>
        <v>0.68888574383380563</v>
      </c>
      <c r="Z67" s="94">
        <f t="shared" si="194"/>
        <v>0.60234664124326054</v>
      </c>
      <c r="AA67" s="94">
        <f t="shared" si="194"/>
        <v>1.8267533053083791</v>
      </c>
      <c r="AB67" s="94">
        <f t="shared" si="194"/>
        <v>1.5478529912327366</v>
      </c>
      <c r="AC67" s="94">
        <f t="shared" si="194"/>
        <v>1.9074933210666911</v>
      </c>
      <c r="AD67" s="94">
        <f t="shared" si="194"/>
        <v>1</v>
      </c>
      <c r="AE67" s="94">
        <f t="shared" si="194"/>
        <v>1.2746694443641011</v>
      </c>
      <c r="AF67" s="94">
        <f t="shared" si="194"/>
        <v>1.3810531823398726</v>
      </c>
      <c r="AG67" s="94">
        <f t="shared" si="194"/>
        <v>0.83249534765179745</v>
      </c>
      <c r="AH67" s="94">
        <f t="shared" si="194"/>
        <v>1.2501817008803586</v>
      </c>
      <c r="AI67" s="94">
        <f t="shared" si="194"/>
        <v>0.69798642102032726</v>
      </c>
      <c r="AJ67" s="94">
        <f t="shared" si="194"/>
        <v>0.67513466851549198</v>
      </c>
      <c r="AK67" s="94">
        <f t="shared" si="194"/>
        <v>0.87871344869616708</v>
      </c>
      <c r="AL67" s="94">
        <f t="shared" si="194"/>
        <v>0.64913078127626711</v>
      </c>
      <c r="AM67" s="94">
        <f t="shared" si="194"/>
        <v>0.68173335111924527</v>
      </c>
      <c r="AN67" s="94">
        <f t="shared" si="194"/>
        <v>0.59266225623581059</v>
      </c>
      <c r="AO67" s="94">
        <f t="shared" si="194"/>
        <v>0.5962495380069005</v>
      </c>
      <c r="AP67" s="94">
        <f t="shared" si="194"/>
        <v>0.95465637309241835</v>
      </c>
      <c r="AQ67" s="94">
        <f t="shared" si="194"/>
        <v>1.013835644492459</v>
      </c>
      <c r="AR67" s="94">
        <f t="shared" si="194"/>
        <v>1.1594658565996854</v>
      </c>
      <c r="AS67" s="94">
        <f t="shared" si="194"/>
        <v>1.4744279625093384</v>
      </c>
      <c r="AT67" s="94">
        <f t="shared" si="194"/>
        <v>0.69299980935298122</v>
      </c>
      <c r="AU67" s="94"/>
      <c r="AV67" s="94">
        <f t="shared" ref="AV67:CO67" si="195">AV39/$CP39</f>
        <v>0.95553927755382073</v>
      </c>
      <c r="AW67" s="94">
        <f t="shared" si="195"/>
        <v>0</v>
      </c>
      <c r="AX67" s="94">
        <f t="shared" si="195"/>
        <v>0.79462746080199698</v>
      </c>
      <c r="AY67" s="94">
        <f t="shared" si="195"/>
        <v>0.82281093849045528</v>
      </c>
      <c r="AZ67" s="94">
        <f t="shared" si="195"/>
        <v>0</v>
      </c>
      <c r="BA67" s="94">
        <f t="shared" si="195"/>
        <v>1.1503649238452738</v>
      </c>
      <c r="BB67" s="94">
        <f t="shared" si="195"/>
        <v>1.5489319206760286</v>
      </c>
      <c r="BC67" s="94">
        <f t="shared" si="195"/>
        <v>1.4695800820908349</v>
      </c>
      <c r="BD67" s="94">
        <f t="shared" si="195"/>
        <v>0.71384769951488403</v>
      </c>
      <c r="BE67" s="94">
        <f t="shared" si="195"/>
        <v>0.8287274593494055</v>
      </c>
      <c r="BF67" s="94">
        <f t="shared" si="195"/>
        <v>1.0506532476999066</v>
      </c>
      <c r="BG67" s="94">
        <f t="shared" si="195"/>
        <v>0.79038972746811142</v>
      </c>
      <c r="BH67" s="94">
        <f t="shared" si="195"/>
        <v>1.2768470001005792</v>
      </c>
      <c r="BI67" s="94">
        <f t="shared" si="195"/>
        <v>0.90464630328403839</v>
      </c>
      <c r="BJ67" s="94">
        <f t="shared" si="195"/>
        <v>1.7900130271286763</v>
      </c>
      <c r="BK67" s="94">
        <f t="shared" si="195"/>
        <v>1.7736643343804721</v>
      </c>
      <c r="BL67" s="94">
        <f t="shared" si="195"/>
        <v>1.4696865711430105</v>
      </c>
      <c r="BM67" s="94">
        <f t="shared" si="195"/>
        <v>1.383465036605928</v>
      </c>
      <c r="BN67" s="94">
        <f t="shared" si="195"/>
        <v>0.95910668224324036</v>
      </c>
      <c r="BO67" s="94">
        <f t="shared" si="195"/>
        <v>1.0140417655841834</v>
      </c>
      <c r="BP67" s="94">
        <f t="shared" si="195"/>
        <v>0.98595823441581643</v>
      </c>
      <c r="BQ67" s="94">
        <f t="shared" si="195"/>
        <v>0.93510434972637302</v>
      </c>
      <c r="BR67" s="94">
        <f t="shared" si="195"/>
        <v>1.0194009191359072</v>
      </c>
      <c r="BS67" s="94">
        <f t="shared" si="195"/>
        <v>1.2036983302078725</v>
      </c>
      <c r="BT67" s="94">
        <f t="shared" si="195"/>
        <v>1.0841013223242713</v>
      </c>
      <c r="BU67" s="94">
        <f t="shared" si="195"/>
        <v>0.74322175331801577</v>
      </c>
      <c r="BV67" s="94">
        <f t="shared" si="195"/>
        <v>0.93100417472103225</v>
      </c>
      <c r="BW67" s="94">
        <f t="shared" si="195"/>
        <v>0.87425049308833258</v>
      </c>
      <c r="BX67" s="94">
        <f t="shared" si="195"/>
        <v>1.4746953337613358</v>
      </c>
      <c r="BY67" s="94">
        <f t="shared" si="195"/>
        <v>1.7332887984452836</v>
      </c>
      <c r="BZ67" s="94">
        <f t="shared" si="195"/>
        <v>1.373015344994597</v>
      </c>
      <c r="CA67" s="94">
        <f t="shared" si="195"/>
        <v>1.3048479628637633</v>
      </c>
      <c r="CB67" s="94">
        <f t="shared" si="195"/>
        <v>1.08290216105284</v>
      </c>
      <c r="CC67" s="94">
        <f t="shared" si="195"/>
        <v>1.033455246704257</v>
      </c>
      <c r="CD67" s="94">
        <f t="shared" si="195"/>
        <v>1.0869161521744402</v>
      </c>
      <c r="CE67" s="94">
        <f t="shared" si="195"/>
        <v>1.3120622787745018</v>
      </c>
      <c r="CF67" s="94">
        <f t="shared" si="195"/>
        <v>1.3183259344739324</v>
      </c>
      <c r="CG67" s="94">
        <f t="shared" si="195"/>
        <v>0.88473103382049378</v>
      </c>
      <c r="CH67" s="94">
        <f t="shared" si="195"/>
        <v>1.2566718827744432</v>
      </c>
      <c r="CI67" s="94">
        <f t="shared" si="195"/>
        <v>0.79483086742110909</v>
      </c>
      <c r="CJ67" s="94">
        <f t="shared" si="195"/>
        <v>0</v>
      </c>
      <c r="CK67" s="94">
        <f t="shared" si="195"/>
        <v>0.85458051969727833</v>
      </c>
      <c r="CL67" s="94">
        <f t="shared" si="195"/>
        <v>0</v>
      </c>
      <c r="CM67" s="94">
        <f t="shared" si="195"/>
        <v>0.86898718074489756</v>
      </c>
      <c r="CN67" s="94">
        <f t="shared" si="195"/>
        <v>0</v>
      </c>
      <c r="CO67" s="94">
        <f t="shared" si="195"/>
        <v>0.71852590715457754</v>
      </c>
      <c r="CP67" s="94"/>
      <c r="CQ67" s="94">
        <f t="shared" ref="CQ67:DV67" si="196">CQ39/$EP39</f>
        <v>0</v>
      </c>
      <c r="CR67" s="94">
        <f t="shared" si="196"/>
        <v>0</v>
      </c>
      <c r="CS67" s="94">
        <f t="shared" si="196"/>
        <v>0</v>
      </c>
      <c r="CT67" s="94">
        <f t="shared" si="196"/>
        <v>0.81766526557615959</v>
      </c>
      <c r="CU67" s="94">
        <f t="shared" si="196"/>
        <v>0</v>
      </c>
      <c r="CV67" s="94">
        <f t="shared" si="196"/>
        <v>0</v>
      </c>
      <c r="CW67" s="94">
        <f t="shared" si="196"/>
        <v>1.0693782231182798</v>
      </c>
      <c r="CX67" s="94">
        <f t="shared" si="196"/>
        <v>1.3689576658063929</v>
      </c>
      <c r="CY67" s="94">
        <f t="shared" si="196"/>
        <v>0</v>
      </c>
      <c r="CZ67" s="94">
        <f t="shared" si="196"/>
        <v>0.8895259424084293</v>
      </c>
      <c r="DA67" s="94">
        <f t="shared" si="196"/>
        <v>1.1900921281381551</v>
      </c>
      <c r="DB67" s="94">
        <f t="shared" si="196"/>
        <v>1.273519692448507</v>
      </c>
      <c r="DC67" s="94">
        <f t="shared" si="196"/>
        <v>0</v>
      </c>
      <c r="DD67" s="94">
        <f t="shared" si="196"/>
        <v>1.0307160468197745</v>
      </c>
      <c r="DE67" s="94">
        <f t="shared" si="196"/>
        <v>1.7262205398037904</v>
      </c>
      <c r="DF67" s="94">
        <f t="shared" si="196"/>
        <v>1.5732697575545238</v>
      </c>
      <c r="DG67" s="94">
        <f t="shared" si="196"/>
        <v>1.0545650435691847</v>
      </c>
      <c r="DH67" s="94">
        <f t="shared" si="196"/>
        <v>0</v>
      </c>
      <c r="DI67" s="94">
        <f t="shared" si="196"/>
        <v>0</v>
      </c>
      <c r="DJ67" s="94">
        <f t="shared" si="196"/>
        <v>0.73600005693690962</v>
      </c>
      <c r="DK67" s="94">
        <f t="shared" si="196"/>
        <v>0.91172545774818581</v>
      </c>
      <c r="DL67" s="94">
        <f t="shared" si="196"/>
        <v>0.96055214347527007</v>
      </c>
      <c r="DM67" s="94">
        <f t="shared" si="196"/>
        <v>1.0737692536007473</v>
      </c>
      <c r="DN67" s="94">
        <f t="shared" si="196"/>
        <v>0</v>
      </c>
      <c r="DO67" s="94">
        <f t="shared" si="196"/>
        <v>1.4539163688536405</v>
      </c>
      <c r="DP67" s="94">
        <f t="shared" si="196"/>
        <v>1.4923738709734349</v>
      </c>
      <c r="DQ67" s="94">
        <f t="shared" si="196"/>
        <v>1.168806595278342</v>
      </c>
      <c r="DR67" s="94">
        <f t="shared" si="196"/>
        <v>1.2605707967354103</v>
      </c>
      <c r="DS67" s="94">
        <f t="shared" si="196"/>
        <v>0</v>
      </c>
      <c r="DT67" s="94">
        <f t="shared" si="196"/>
        <v>0</v>
      </c>
      <c r="DU67" s="94">
        <f t="shared" si="196"/>
        <v>0.87198795579503219</v>
      </c>
      <c r="DV67" s="94">
        <f t="shared" si="196"/>
        <v>0</v>
      </c>
      <c r="DW67" s="94">
        <f t="shared" ref="DW67:EO67" si="197">DW39/$EP39</f>
        <v>0</v>
      </c>
      <c r="DX67" s="94">
        <f t="shared" si="197"/>
        <v>0.77766547038562939</v>
      </c>
      <c r="DY67" s="94">
        <f t="shared" si="197"/>
        <v>0</v>
      </c>
      <c r="DZ67" s="94">
        <f t="shared" si="197"/>
        <v>0</v>
      </c>
      <c r="EA67" s="94">
        <f t="shared" si="197"/>
        <v>0</v>
      </c>
      <c r="EB67" s="94">
        <f t="shared" si="197"/>
        <v>0</v>
      </c>
      <c r="EC67" s="94">
        <f t="shared" si="197"/>
        <v>0.78966645993389506</v>
      </c>
      <c r="ED67" s="94">
        <f t="shared" si="197"/>
        <v>1.0095087760647192</v>
      </c>
      <c r="EE67" s="94">
        <f t="shared" si="197"/>
        <v>1.0253113516906414</v>
      </c>
      <c r="EF67" s="94">
        <f t="shared" si="197"/>
        <v>0.99927474934424476</v>
      </c>
      <c r="EG67" s="94">
        <f t="shared" si="197"/>
        <v>0.75441694776439583</v>
      </c>
      <c r="EH67" s="94">
        <f t="shared" si="197"/>
        <v>0.85452793083203671</v>
      </c>
      <c r="EI67" s="94">
        <f t="shared" si="197"/>
        <v>0</v>
      </c>
      <c r="EJ67" s="94">
        <f t="shared" si="197"/>
        <v>0</v>
      </c>
      <c r="EK67" s="94">
        <f t="shared" si="197"/>
        <v>0</v>
      </c>
      <c r="EL67" s="94">
        <f t="shared" si="197"/>
        <v>0.92463043384165056</v>
      </c>
      <c r="EM67" s="94">
        <f t="shared" si="197"/>
        <v>0</v>
      </c>
      <c r="EN67" s="94">
        <f t="shared" si="197"/>
        <v>0</v>
      </c>
      <c r="EO67" s="94">
        <f t="shared" si="197"/>
        <v>0.83172552608932748</v>
      </c>
      <c r="EP67" s="90"/>
      <c r="EQ67" s="94">
        <f t="shared" ref="EQ67:FI67" si="198">EQ39/$FK39</f>
        <v>2.0987868283516922</v>
      </c>
      <c r="ER67" s="94">
        <f t="shared" si="198"/>
        <v>2.2792246208593294</v>
      </c>
      <c r="ES67" s="94">
        <f t="shared" si="198"/>
        <v>0</v>
      </c>
      <c r="ET67" s="94">
        <f t="shared" si="198"/>
        <v>0</v>
      </c>
      <c r="EU67" s="94">
        <f t="shared" si="198"/>
        <v>0</v>
      </c>
      <c r="EV67" s="94">
        <f t="shared" si="198"/>
        <v>1.2979725442520329</v>
      </c>
      <c r="EW67" s="94">
        <f t="shared" si="198"/>
        <v>0</v>
      </c>
      <c r="EX67" s="94">
        <f t="shared" si="198"/>
        <v>0</v>
      </c>
      <c r="EY67" s="94">
        <f t="shared" si="198"/>
        <v>1.6609687734175886</v>
      </c>
      <c r="EZ67" s="94">
        <f t="shared" si="198"/>
        <v>0</v>
      </c>
      <c r="FA67" s="94">
        <f t="shared" si="198"/>
        <v>0</v>
      </c>
      <c r="FB67" s="94">
        <f t="shared" si="198"/>
        <v>1.2187899847686121</v>
      </c>
      <c r="FC67" s="94">
        <f t="shared" si="198"/>
        <v>0</v>
      </c>
      <c r="FD67" s="94">
        <f t="shared" si="198"/>
        <v>1.4975379576937806</v>
      </c>
      <c r="FE67" s="94">
        <f t="shared" si="198"/>
        <v>2.2922705413887203</v>
      </c>
      <c r="FF67" s="94">
        <f t="shared" si="198"/>
        <v>1.2921458849501113</v>
      </c>
      <c r="FG67" s="94">
        <f t="shared" si="198"/>
        <v>1.3780378432580112</v>
      </c>
      <c r="FH67" s="94">
        <f t="shared" si="198"/>
        <v>0</v>
      </c>
      <c r="FI67" s="94">
        <f t="shared" si="198"/>
        <v>0</v>
      </c>
      <c r="FJ67" s="73"/>
    </row>
    <row r="68" spans="1:166">
      <c r="A68" s="71" t="s">
        <v>228</v>
      </c>
      <c r="B68" s="92" t="s">
        <v>169</v>
      </c>
      <c r="C68" s="94">
        <f t="shared" ref="C68:T68" si="199">C40/$U40</f>
        <v>1.5586814289864157</v>
      </c>
      <c r="D68" s="94">
        <f t="shared" si="199"/>
        <v>0.91790172931775893</v>
      </c>
      <c r="E68" s="94">
        <f t="shared" si="199"/>
        <v>1.75657595256023</v>
      </c>
      <c r="F68" s="94">
        <f t="shared" si="199"/>
        <v>1.6149089061056228</v>
      </c>
      <c r="G68" s="94">
        <f t="shared" si="199"/>
        <v>1.2177418999570262</v>
      </c>
      <c r="H68" s="94">
        <f t="shared" si="199"/>
        <v>0.98699330627442061</v>
      </c>
      <c r="I68" s="94">
        <f t="shared" si="199"/>
        <v>1.203103857052306</v>
      </c>
      <c r="J68" s="94">
        <f t="shared" si="199"/>
        <v>1.9298887576659964</v>
      </c>
      <c r="K68" s="94">
        <f t="shared" si="199"/>
        <v>1.7950140169036009</v>
      </c>
      <c r="L68" s="94">
        <f t="shared" si="199"/>
        <v>1.0130066937255793</v>
      </c>
      <c r="M68" s="94">
        <f t="shared" si="199"/>
        <v>0.76358365379703552</v>
      </c>
      <c r="N68" s="94">
        <f t="shared" si="199"/>
        <v>0.77567947991892272</v>
      </c>
      <c r="O68" s="94">
        <f t="shared" si="199"/>
        <v>0.74097755994472014</v>
      </c>
      <c r="P68" s="94">
        <f t="shared" si="199"/>
        <v>0.66954624946609431</v>
      </c>
      <c r="Q68" s="94">
        <f t="shared" si="199"/>
        <v>0</v>
      </c>
      <c r="R68" s="94">
        <f t="shared" si="199"/>
        <v>0.72684116845682134</v>
      </c>
      <c r="S68" s="94">
        <f t="shared" si="199"/>
        <v>0.73314956372238371</v>
      </c>
      <c r="T68" s="94">
        <f t="shared" si="199"/>
        <v>1.2729633284342701</v>
      </c>
      <c r="U68" s="93"/>
      <c r="V68" s="94">
        <f t="shared" ref="V68:AT68" si="200">V40/$AU40</f>
        <v>1.5870068830657875</v>
      </c>
      <c r="W68" s="94">
        <f t="shared" si="200"/>
        <v>1.6073175254656651</v>
      </c>
      <c r="X68" s="94">
        <f t="shared" si="200"/>
        <v>1.5366929100962698</v>
      </c>
      <c r="Y68" s="94">
        <f t="shared" si="200"/>
        <v>0.64214607693932901</v>
      </c>
      <c r="Z68" s="94">
        <f t="shared" si="200"/>
        <v>0.65522019707825008</v>
      </c>
      <c r="AA68" s="94">
        <f t="shared" si="200"/>
        <v>1.7393133240292786</v>
      </c>
      <c r="AB68" s="94">
        <f t="shared" si="200"/>
        <v>1.503692389013719</v>
      </c>
      <c r="AC68" s="94">
        <f t="shared" si="200"/>
        <v>1.8190059539216021</v>
      </c>
      <c r="AD68" s="94">
        <f t="shared" si="200"/>
        <v>1</v>
      </c>
      <c r="AE68" s="94">
        <f t="shared" si="200"/>
        <v>1.476099685587527</v>
      </c>
      <c r="AF68" s="94">
        <f t="shared" si="200"/>
        <v>1.4167268765629564</v>
      </c>
      <c r="AG68" s="94">
        <f t="shared" si="200"/>
        <v>1.092233126912421</v>
      </c>
      <c r="AH68" s="94">
        <f t="shared" si="200"/>
        <v>1.1551512259707475</v>
      </c>
      <c r="AI68" s="94">
        <f t="shared" si="200"/>
        <v>0.64617234352364106</v>
      </c>
      <c r="AJ68" s="94">
        <f t="shared" si="200"/>
        <v>0.63635194739075207</v>
      </c>
      <c r="AK68" s="94">
        <f t="shared" si="200"/>
        <v>0.86178153787545475</v>
      </c>
      <c r="AL68" s="94">
        <f t="shared" si="200"/>
        <v>0.77950200638026401</v>
      </c>
      <c r="AM68" s="94">
        <f t="shared" si="200"/>
        <v>0.55999655393512526</v>
      </c>
      <c r="AN68" s="94">
        <f t="shared" si="200"/>
        <v>0.5680716292350293</v>
      </c>
      <c r="AO68" s="94">
        <f t="shared" si="200"/>
        <v>0.47696523382792527</v>
      </c>
      <c r="AP68" s="94">
        <f t="shared" si="200"/>
        <v>0.91933344341913437</v>
      </c>
      <c r="AQ68" s="94">
        <f t="shared" si="200"/>
        <v>0.99586538329792851</v>
      </c>
      <c r="AR68" s="94">
        <f t="shared" si="200"/>
        <v>1.0908379212520338</v>
      </c>
      <c r="AS68" s="94">
        <f t="shared" si="200"/>
        <v>1.3732834510429925</v>
      </c>
      <c r="AT68" s="94">
        <f t="shared" si="200"/>
        <v>0.51058921287899661</v>
      </c>
      <c r="AU68" s="93"/>
      <c r="AV68" s="94">
        <f t="shared" ref="AV68:CO68" si="201">AV40/$CP40</f>
        <v>0.97210848395121574</v>
      </c>
      <c r="AW68" s="94">
        <f t="shared" si="201"/>
        <v>0.70979350025013932</v>
      </c>
      <c r="AX68" s="94">
        <f t="shared" si="201"/>
        <v>0.9384730157457456</v>
      </c>
      <c r="AY68" s="94">
        <f t="shared" si="201"/>
        <v>0.83683619215177873</v>
      </c>
      <c r="AZ68" s="94">
        <f t="shared" si="201"/>
        <v>0.66847963340414518</v>
      </c>
      <c r="BA68" s="94">
        <f t="shared" si="201"/>
        <v>1.0042208796852825</v>
      </c>
      <c r="BB68" s="94">
        <f t="shared" si="201"/>
        <v>1.3995943874420227</v>
      </c>
      <c r="BC68" s="94">
        <f t="shared" si="201"/>
        <v>1.3660696442411966</v>
      </c>
      <c r="BD68" s="94">
        <f t="shared" si="201"/>
        <v>0.85484707281687944</v>
      </c>
      <c r="BE68" s="94">
        <f t="shared" si="201"/>
        <v>0</v>
      </c>
      <c r="BF68" s="94">
        <f t="shared" si="201"/>
        <v>0.9957791203147176</v>
      </c>
      <c r="BG68" s="94">
        <f t="shared" si="201"/>
        <v>1.0249527262895708</v>
      </c>
      <c r="BH68" s="94">
        <f t="shared" si="201"/>
        <v>1.135020223809869</v>
      </c>
      <c r="BI68" s="94">
        <f t="shared" si="201"/>
        <v>1.1312952270905057</v>
      </c>
      <c r="BJ68" s="94">
        <f t="shared" si="201"/>
        <v>1.7118285398753286</v>
      </c>
      <c r="BK68" s="94">
        <f t="shared" si="201"/>
        <v>1.698050271347664</v>
      </c>
      <c r="BL68" s="94">
        <f t="shared" si="201"/>
        <v>1.3465240402711098</v>
      </c>
      <c r="BM68" s="94">
        <f t="shared" si="201"/>
        <v>1.3911501169251943</v>
      </c>
      <c r="BN68" s="94">
        <f t="shared" si="201"/>
        <v>1.0373085765398615</v>
      </c>
      <c r="BO68" s="94">
        <f t="shared" si="201"/>
        <v>0.73050568510828573</v>
      </c>
      <c r="BP68" s="94">
        <f t="shared" si="201"/>
        <v>0.89729028469345729</v>
      </c>
      <c r="BQ68" s="94">
        <f t="shared" si="201"/>
        <v>0.67431031742051406</v>
      </c>
      <c r="BR68" s="94">
        <f t="shared" si="201"/>
        <v>1.0802787458903638</v>
      </c>
      <c r="BS68" s="94">
        <f t="shared" si="201"/>
        <v>1.150759539182409</v>
      </c>
      <c r="BT68" s="94">
        <f t="shared" si="201"/>
        <v>1.1380186344078818</v>
      </c>
      <c r="BU68" s="94">
        <f t="shared" si="201"/>
        <v>0.72563985134657949</v>
      </c>
      <c r="BV68" s="94">
        <f t="shared" si="201"/>
        <v>0.93383866320172915</v>
      </c>
      <c r="BW68" s="94">
        <f t="shared" si="201"/>
        <v>1.1573190304813579</v>
      </c>
      <c r="BX68" s="94">
        <f t="shared" si="201"/>
        <v>1.4733046871783662</v>
      </c>
      <c r="BY68" s="94">
        <f t="shared" si="201"/>
        <v>1.6690298381089701</v>
      </c>
      <c r="BZ68" s="94">
        <f t="shared" si="201"/>
        <v>1.4195778296878878</v>
      </c>
      <c r="CA68" s="94">
        <f t="shared" si="201"/>
        <v>1.1270629736140692</v>
      </c>
      <c r="CB68" s="94">
        <f t="shared" si="201"/>
        <v>0.98307976687996812</v>
      </c>
      <c r="CC68" s="94">
        <f t="shared" si="201"/>
        <v>0.96181093566207121</v>
      </c>
      <c r="CD68" s="94">
        <f t="shared" si="201"/>
        <v>1.1630549880636956</v>
      </c>
      <c r="CE68" s="94">
        <f t="shared" si="201"/>
        <v>1.2874074319635822</v>
      </c>
      <c r="CF68" s="94">
        <f t="shared" si="201"/>
        <v>1.1646212211967546</v>
      </c>
      <c r="CG68" s="94">
        <f t="shared" si="201"/>
        <v>0.7528449533760323</v>
      </c>
      <c r="CH68" s="94">
        <f t="shared" si="201"/>
        <v>1.0417801709811436</v>
      </c>
      <c r="CI68" s="94">
        <f t="shared" si="201"/>
        <v>0.71109875849394133</v>
      </c>
      <c r="CJ68" s="94">
        <f t="shared" si="201"/>
        <v>0</v>
      </c>
      <c r="CK68" s="94">
        <f t="shared" si="201"/>
        <v>0.71667947374351071</v>
      </c>
      <c r="CL68" s="94">
        <f t="shared" si="201"/>
        <v>0</v>
      </c>
      <c r="CM68" s="94">
        <f t="shared" si="201"/>
        <v>0.74884010690181668</v>
      </c>
      <c r="CN68" s="94">
        <f t="shared" si="201"/>
        <v>0.81409836992186535</v>
      </c>
      <c r="CO68" s="94">
        <f t="shared" si="201"/>
        <v>0.63688586725814145</v>
      </c>
      <c r="CP68" s="94"/>
      <c r="CQ68" s="94">
        <f t="shared" ref="CQ68:DV68" si="202">CQ40/$EP40</f>
        <v>0</v>
      </c>
      <c r="CR68" s="94">
        <f t="shared" si="202"/>
        <v>0</v>
      </c>
      <c r="CS68" s="94">
        <f t="shared" si="202"/>
        <v>0</v>
      </c>
      <c r="CT68" s="94">
        <f t="shared" si="202"/>
        <v>0</v>
      </c>
      <c r="CU68" s="94">
        <f t="shared" si="202"/>
        <v>0</v>
      </c>
      <c r="CV68" s="94">
        <f t="shared" si="202"/>
        <v>0</v>
      </c>
      <c r="CW68" s="94">
        <f t="shared" si="202"/>
        <v>0.92612447383137186</v>
      </c>
      <c r="CX68" s="94">
        <f t="shared" si="202"/>
        <v>1.0025039358627381</v>
      </c>
      <c r="CY68" s="94">
        <f t="shared" si="202"/>
        <v>0.76875371727776065</v>
      </c>
      <c r="CZ68" s="94">
        <f t="shared" si="202"/>
        <v>1.0612248364806287</v>
      </c>
      <c r="DA68" s="94">
        <f t="shared" si="202"/>
        <v>0</v>
      </c>
      <c r="DB68" s="94">
        <f t="shared" si="202"/>
        <v>0.9124798721170857</v>
      </c>
      <c r="DC68" s="94">
        <f t="shared" si="202"/>
        <v>0</v>
      </c>
      <c r="DD68" s="94">
        <f t="shared" si="202"/>
        <v>1.235344343095629</v>
      </c>
      <c r="DE68" s="94">
        <f t="shared" si="202"/>
        <v>1.2554274601006497</v>
      </c>
      <c r="DF68" s="94">
        <f t="shared" si="202"/>
        <v>1.3372986319969151</v>
      </c>
      <c r="DG68" s="94">
        <f t="shared" si="202"/>
        <v>0</v>
      </c>
      <c r="DH68" s="94">
        <f t="shared" si="202"/>
        <v>0</v>
      </c>
      <c r="DI68" s="94">
        <f t="shared" si="202"/>
        <v>0</v>
      </c>
      <c r="DJ68" s="94">
        <f t="shared" si="202"/>
        <v>0</v>
      </c>
      <c r="DK68" s="94">
        <f t="shared" si="202"/>
        <v>0</v>
      </c>
      <c r="DL68" s="94">
        <f t="shared" si="202"/>
        <v>0.91644942048231981</v>
      </c>
      <c r="DM68" s="94">
        <f t="shared" si="202"/>
        <v>0.90402234682401827</v>
      </c>
      <c r="DN68" s="94">
        <f t="shared" si="202"/>
        <v>1.0969105937361618</v>
      </c>
      <c r="DO68" s="94">
        <f t="shared" si="202"/>
        <v>1.1815703839805873</v>
      </c>
      <c r="DP68" s="94">
        <f t="shared" si="202"/>
        <v>1.3073802160932886</v>
      </c>
      <c r="DQ68" s="94">
        <f t="shared" si="202"/>
        <v>0</v>
      </c>
      <c r="DR68" s="94">
        <f t="shared" si="202"/>
        <v>0.92952863893561755</v>
      </c>
      <c r="DS68" s="94">
        <f t="shared" si="202"/>
        <v>0</v>
      </c>
      <c r="DT68" s="94">
        <f t="shared" si="202"/>
        <v>0</v>
      </c>
      <c r="DU68" s="94">
        <f t="shared" si="202"/>
        <v>0</v>
      </c>
      <c r="DV68" s="94">
        <f t="shared" si="202"/>
        <v>0</v>
      </c>
      <c r="DW68" s="94">
        <f t="shared" ref="DW68:EO68" si="203">DW40/$EP40</f>
        <v>0</v>
      </c>
      <c r="DX68" s="94">
        <f t="shared" si="203"/>
        <v>0</v>
      </c>
      <c r="DY68" s="94">
        <f t="shared" si="203"/>
        <v>0</v>
      </c>
      <c r="DZ68" s="94">
        <f t="shared" si="203"/>
        <v>0</v>
      </c>
      <c r="EA68" s="94">
        <f t="shared" si="203"/>
        <v>0</v>
      </c>
      <c r="EB68" s="94">
        <f t="shared" si="203"/>
        <v>0</v>
      </c>
      <c r="EC68" s="94">
        <f t="shared" si="203"/>
        <v>0.9063941241022202</v>
      </c>
      <c r="ED68" s="94">
        <f t="shared" si="203"/>
        <v>0</v>
      </c>
      <c r="EE68" s="94">
        <f t="shared" si="203"/>
        <v>0.79364782482170471</v>
      </c>
      <c r="EF68" s="94">
        <f t="shared" si="203"/>
        <v>1.1046245730854307</v>
      </c>
      <c r="EG68" s="94">
        <f t="shared" si="203"/>
        <v>0</v>
      </c>
      <c r="EH68" s="94">
        <f t="shared" si="203"/>
        <v>0.84548736537401403</v>
      </c>
      <c r="EI68" s="94">
        <f t="shared" si="203"/>
        <v>0</v>
      </c>
      <c r="EJ68" s="94">
        <f t="shared" si="203"/>
        <v>0.85118939710441766</v>
      </c>
      <c r="EK68" s="94">
        <f t="shared" si="203"/>
        <v>0</v>
      </c>
      <c r="EL68" s="94">
        <f t="shared" si="203"/>
        <v>0.78270149313368509</v>
      </c>
      <c r="EM68" s="94">
        <f t="shared" si="203"/>
        <v>0</v>
      </c>
      <c r="EN68" s="94">
        <f t="shared" si="203"/>
        <v>0</v>
      </c>
      <c r="EO68" s="94">
        <f t="shared" si="203"/>
        <v>0.91298411738469054</v>
      </c>
      <c r="EP68" s="90"/>
      <c r="EQ68" s="94">
        <f t="shared" ref="EQ68:FI68" si="204">EQ40/$FK40</f>
        <v>1.1370488944737827</v>
      </c>
      <c r="ER68" s="94">
        <f t="shared" si="204"/>
        <v>1.710273641970274</v>
      </c>
      <c r="ES68" s="94">
        <f t="shared" si="204"/>
        <v>0</v>
      </c>
      <c r="ET68" s="94">
        <f t="shared" si="204"/>
        <v>0</v>
      </c>
      <c r="EU68" s="94">
        <f t="shared" si="204"/>
        <v>0</v>
      </c>
      <c r="EV68" s="94">
        <f t="shared" si="204"/>
        <v>0</v>
      </c>
      <c r="EW68" s="94">
        <f t="shared" si="204"/>
        <v>0</v>
      </c>
      <c r="EX68" s="94">
        <f t="shared" si="204"/>
        <v>1.1947982386606646</v>
      </c>
      <c r="EY68" s="94">
        <f t="shared" si="204"/>
        <v>0</v>
      </c>
      <c r="EZ68" s="94">
        <f t="shared" si="204"/>
        <v>1.4021287367905346</v>
      </c>
      <c r="FA68" s="94">
        <f t="shared" si="204"/>
        <v>0</v>
      </c>
      <c r="FB68" s="94">
        <f t="shared" si="204"/>
        <v>0</v>
      </c>
      <c r="FC68" s="94">
        <f t="shared" si="204"/>
        <v>0</v>
      </c>
      <c r="FD68" s="94">
        <f t="shared" si="204"/>
        <v>0</v>
      </c>
      <c r="FE68" s="94">
        <f t="shared" si="204"/>
        <v>1.5725629290994765</v>
      </c>
      <c r="FF68" s="94">
        <f t="shared" si="204"/>
        <v>0</v>
      </c>
      <c r="FG68" s="94">
        <f t="shared" si="204"/>
        <v>0</v>
      </c>
      <c r="FH68" s="94">
        <f t="shared" si="204"/>
        <v>0</v>
      </c>
      <c r="FI68" s="94">
        <f t="shared" si="204"/>
        <v>0</v>
      </c>
      <c r="FJ68" s="73"/>
    </row>
    <row r="69" spans="1:166">
      <c r="A69" s="71" t="s">
        <v>227</v>
      </c>
      <c r="B69" s="92" t="s">
        <v>169</v>
      </c>
      <c r="C69" s="94">
        <f t="shared" ref="C69:T69" si="205">C41/$U41</f>
        <v>1.4490161760379678</v>
      </c>
      <c r="D69" s="94">
        <f t="shared" si="205"/>
        <v>0.87816226787102214</v>
      </c>
      <c r="E69" s="94">
        <f t="shared" si="205"/>
        <v>1.6404285826746181</v>
      </c>
      <c r="F69" s="94">
        <f t="shared" si="205"/>
        <v>1.4708443293061757</v>
      </c>
      <c r="G69" s="94">
        <f t="shared" si="205"/>
        <v>1.0480211495724865</v>
      </c>
      <c r="H69" s="94">
        <f t="shared" si="205"/>
        <v>1.1711158476014376</v>
      </c>
      <c r="I69" s="94">
        <f t="shared" si="205"/>
        <v>0.9519788504275134</v>
      </c>
      <c r="J69" s="94">
        <f t="shared" si="205"/>
        <v>1.8455827058747145</v>
      </c>
      <c r="K69" s="94">
        <f t="shared" si="205"/>
        <v>1.7295889508166731</v>
      </c>
      <c r="L69" s="94">
        <f t="shared" si="205"/>
        <v>1.2455544120381272</v>
      </c>
      <c r="M69" s="94">
        <f t="shared" si="205"/>
        <v>0.88554393894139172</v>
      </c>
      <c r="N69" s="94">
        <f t="shared" si="205"/>
        <v>0.83469693559566516</v>
      </c>
      <c r="O69" s="94">
        <f t="shared" si="205"/>
        <v>0.67756221615354839</v>
      </c>
      <c r="P69" s="94">
        <f t="shared" si="205"/>
        <v>0.80694454041190611</v>
      </c>
      <c r="Q69" s="94">
        <f t="shared" si="205"/>
        <v>0</v>
      </c>
      <c r="R69" s="94">
        <f t="shared" si="205"/>
        <v>0.66461932277428148</v>
      </c>
      <c r="S69" s="94">
        <f t="shared" si="205"/>
        <v>0.65070201200583666</v>
      </c>
      <c r="T69" s="94">
        <f t="shared" si="205"/>
        <v>1.2011989112896055</v>
      </c>
      <c r="U69" s="93"/>
      <c r="V69" s="94">
        <f t="shared" ref="V69:AT69" si="206">V41/$AU41</f>
        <v>1.6236501276858897</v>
      </c>
      <c r="W69" s="94">
        <f t="shared" si="206"/>
        <v>1.6481837783840816</v>
      </c>
      <c r="X69" s="94">
        <f t="shared" si="206"/>
        <v>1.5700046478257266</v>
      </c>
      <c r="Y69" s="94">
        <f t="shared" si="206"/>
        <v>0.52915919573154013</v>
      </c>
      <c r="Z69" s="94">
        <f t="shared" si="206"/>
        <v>0.54503910487599827</v>
      </c>
      <c r="AA69" s="94">
        <f t="shared" si="206"/>
        <v>1.7901178960631152</v>
      </c>
      <c r="AB69" s="94">
        <f t="shared" si="206"/>
        <v>1.528022498216836</v>
      </c>
      <c r="AC69" s="94">
        <f t="shared" si="206"/>
        <v>1.8528237740299667</v>
      </c>
      <c r="AD69" s="94">
        <f t="shared" si="206"/>
        <v>0.80931160217972975</v>
      </c>
      <c r="AE69" s="94">
        <f t="shared" si="206"/>
        <v>1.3406939924341086</v>
      </c>
      <c r="AF69" s="94">
        <f t="shared" si="206"/>
        <v>1.4022309313010999</v>
      </c>
      <c r="AG69" s="94">
        <f t="shared" si="206"/>
        <v>1.0177632950618578</v>
      </c>
      <c r="AH69" s="94">
        <f t="shared" si="206"/>
        <v>1.1182185755204812</v>
      </c>
      <c r="AI69" s="94">
        <f t="shared" si="206"/>
        <v>0.5642173313613158</v>
      </c>
      <c r="AJ69" s="94">
        <f t="shared" si="206"/>
        <v>0.52669001108043356</v>
      </c>
      <c r="AK69" s="94">
        <f t="shared" si="206"/>
        <v>0.83310570689610797</v>
      </c>
      <c r="AL69" s="94">
        <f t="shared" si="206"/>
        <v>0.61494960310696101</v>
      </c>
      <c r="AM69" s="94">
        <f t="shared" si="206"/>
        <v>0.52209994325454978</v>
      </c>
      <c r="AN69" s="94">
        <f t="shared" si="206"/>
        <v>0.60914808162453427</v>
      </c>
      <c r="AO69" s="94">
        <f t="shared" si="206"/>
        <v>0.78335026081298265</v>
      </c>
      <c r="AP69" s="94">
        <f t="shared" si="206"/>
        <v>1</v>
      </c>
      <c r="AQ69" s="94">
        <f t="shared" si="206"/>
        <v>0.96202630198244676</v>
      </c>
      <c r="AR69" s="94">
        <f t="shared" si="206"/>
        <v>1.0988782519894058</v>
      </c>
      <c r="AS69" s="94">
        <f t="shared" si="206"/>
        <v>1.3795268185774698</v>
      </c>
      <c r="AT69" s="94">
        <f t="shared" si="206"/>
        <v>0.54380607570944994</v>
      </c>
      <c r="AU69" s="93"/>
      <c r="AV69" s="94">
        <f>(AV41/CP41)+0.0001</f>
        <v>1.0000296919560152</v>
      </c>
      <c r="AW69" s="94">
        <f t="shared" ref="AW69:CM69" si="207">AW41/$CP41</f>
        <v>1.0061132399296626</v>
      </c>
      <c r="AX69" s="94">
        <f t="shared" si="207"/>
        <v>0.84599603733947093</v>
      </c>
      <c r="AY69" s="94">
        <f t="shared" si="207"/>
        <v>1.0658488309584029</v>
      </c>
      <c r="AZ69" s="94">
        <f t="shared" si="207"/>
        <v>0.95729256803663432</v>
      </c>
      <c r="BA69" s="94">
        <f t="shared" si="207"/>
        <v>0.99659643726201175</v>
      </c>
      <c r="BB69" s="94">
        <f t="shared" si="207"/>
        <v>1.6943981916655322</v>
      </c>
      <c r="BC69" s="94">
        <f t="shared" si="207"/>
        <v>1.594263698250449</v>
      </c>
      <c r="BD69" s="94">
        <f t="shared" si="207"/>
        <v>0.82774938518538843</v>
      </c>
      <c r="BE69" s="94">
        <f t="shared" si="207"/>
        <v>0.78105734097621304</v>
      </c>
      <c r="BF69" s="94">
        <f t="shared" si="207"/>
        <v>0.88985054811521314</v>
      </c>
      <c r="BG69" s="94">
        <f t="shared" si="207"/>
        <v>1.0000703080439848</v>
      </c>
      <c r="BH69" s="94">
        <f t="shared" si="207"/>
        <v>1.1985049305430198</v>
      </c>
      <c r="BI69" s="94">
        <f t="shared" si="207"/>
        <v>0.82172942018911577</v>
      </c>
      <c r="BJ69" s="94">
        <f t="shared" si="207"/>
        <v>2.0228168366206902</v>
      </c>
      <c r="BK69" s="94">
        <f t="shared" si="207"/>
        <v>1.8982656958594031</v>
      </c>
      <c r="BL69" s="94">
        <f t="shared" si="207"/>
        <v>1.5979356323079195</v>
      </c>
      <c r="BM69" s="94">
        <f t="shared" si="207"/>
        <v>1.4085884022910582</v>
      </c>
      <c r="BN69" s="94">
        <f t="shared" si="207"/>
        <v>0.98110694271590237</v>
      </c>
      <c r="BO69" s="94">
        <f t="shared" si="207"/>
        <v>0</v>
      </c>
      <c r="BP69" s="94">
        <f t="shared" si="207"/>
        <v>1.1107153233784686</v>
      </c>
      <c r="BQ69" s="94">
        <f t="shared" si="207"/>
        <v>1.0996673586587411</v>
      </c>
      <c r="BR69" s="94">
        <f t="shared" si="207"/>
        <v>1.3081148180244846</v>
      </c>
      <c r="BS69" s="94">
        <f t="shared" si="207"/>
        <v>0.97854855382392847</v>
      </c>
      <c r="BT69" s="94">
        <f t="shared" si="207"/>
        <v>1.1367669787692254</v>
      </c>
      <c r="BU69" s="94">
        <f t="shared" si="207"/>
        <v>0.8141330282056406</v>
      </c>
      <c r="BV69" s="94">
        <f t="shared" si="207"/>
        <v>0.79469373710150093</v>
      </c>
      <c r="BW69" s="94">
        <f t="shared" si="207"/>
        <v>1.3117566458813881</v>
      </c>
      <c r="BX69" s="94">
        <f t="shared" si="207"/>
        <v>1.7028180378099949</v>
      </c>
      <c r="BY69" s="94">
        <f t="shared" si="207"/>
        <v>1.8995734544293355</v>
      </c>
      <c r="BZ69" s="94">
        <f t="shared" si="207"/>
        <v>1.5834668860293482</v>
      </c>
      <c r="CA69" s="94">
        <f t="shared" si="207"/>
        <v>1.2746355415947039</v>
      </c>
      <c r="CB69" s="94">
        <f t="shared" si="207"/>
        <v>1.0729650515575444</v>
      </c>
      <c r="CC69" s="94">
        <f t="shared" si="207"/>
        <v>0.74577472202056594</v>
      </c>
      <c r="CD69" s="94">
        <f t="shared" si="207"/>
        <v>1.3222987278494285</v>
      </c>
      <c r="CE69" s="94">
        <f t="shared" si="207"/>
        <v>1.3797506656747673</v>
      </c>
      <c r="CF69" s="94">
        <f t="shared" si="207"/>
        <v>1.3956632676989646</v>
      </c>
      <c r="CG69" s="94">
        <f t="shared" si="207"/>
        <v>0.90933520789858646</v>
      </c>
      <c r="CH69" s="94">
        <f t="shared" si="207"/>
        <v>0.92102661234695193</v>
      </c>
      <c r="CI69" s="94">
        <f t="shared" si="207"/>
        <v>0</v>
      </c>
      <c r="CJ69" s="94">
        <f t="shared" si="207"/>
        <v>0</v>
      </c>
      <c r="CK69" s="94">
        <f t="shared" si="207"/>
        <v>0</v>
      </c>
      <c r="CL69" s="94">
        <f t="shared" si="207"/>
        <v>0</v>
      </c>
      <c r="CM69" s="94">
        <f t="shared" si="207"/>
        <v>0.73530966205615145</v>
      </c>
      <c r="CN69" s="94">
        <v>0</v>
      </c>
      <c r="CO69" s="94">
        <v>0</v>
      </c>
      <c r="CP69" s="93"/>
      <c r="CQ69" s="94">
        <f t="shared" ref="CQ69:DV69" si="208">CQ41/$EP41</f>
        <v>0</v>
      </c>
      <c r="CR69" s="94">
        <f t="shared" si="208"/>
        <v>0</v>
      </c>
      <c r="CS69" s="94">
        <f t="shared" si="208"/>
        <v>0.71215720011535089</v>
      </c>
      <c r="CT69" s="94">
        <f t="shared" si="208"/>
        <v>0</v>
      </c>
      <c r="CU69" s="94">
        <f t="shared" si="208"/>
        <v>0.83918987700210668</v>
      </c>
      <c r="CV69" s="94">
        <f t="shared" si="208"/>
        <v>0</v>
      </c>
      <c r="CW69" s="94">
        <f t="shared" si="208"/>
        <v>0.98609618966985346</v>
      </c>
      <c r="CX69" s="94">
        <f t="shared" si="208"/>
        <v>1.2766260656765798</v>
      </c>
      <c r="CY69" s="94">
        <f t="shared" si="208"/>
        <v>0</v>
      </c>
      <c r="CZ69" s="94">
        <f t="shared" si="208"/>
        <v>0.82188860437898181</v>
      </c>
      <c r="DA69" s="94">
        <f t="shared" si="208"/>
        <v>0.99561585187298174</v>
      </c>
      <c r="DB69" s="94">
        <f t="shared" si="208"/>
        <v>1.245778720512343</v>
      </c>
      <c r="DC69" s="94">
        <f t="shared" si="208"/>
        <v>0</v>
      </c>
      <c r="DD69" s="94">
        <f t="shared" si="208"/>
        <v>1.0043841481270184</v>
      </c>
      <c r="DE69" s="94">
        <f t="shared" si="208"/>
        <v>1.619839834117766</v>
      </c>
      <c r="DF69" s="94">
        <f t="shared" si="208"/>
        <v>1.5376522717971812</v>
      </c>
      <c r="DG69" s="94">
        <f t="shared" si="208"/>
        <v>0</v>
      </c>
      <c r="DH69" s="94">
        <f t="shared" si="208"/>
        <v>0</v>
      </c>
      <c r="DI69" s="94">
        <f t="shared" si="208"/>
        <v>0</v>
      </c>
      <c r="DJ69" s="94">
        <f t="shared" si="208"/>
        <v>0.84316255112558469</v>
      </c>
      <c r="DK69" s="94">
        <f t="shared" si="208"/>
        <v>0.85309604760027125</v>
      </c>
      <c r="DL69" s="94">
        <f t="shared" si="208"/>
        <v>0.95078224565422353</v>
      </c>
      <c r="DM69" s="94">
        <f t="shared" si="208"/>
        <v>1.0367191426459768</v>
      </c>
      <c r="DN69" s="94">
        <f t="shared" si="208"/>
        <v>0.77470528957418472</v>
      </c>
      <c r="DO69" s="94">
        <f t="shared" si="208"/>
        <v>1.3744919605583641</v>
      </c>
      <c r="DP69" s="94">
        <f t="shared" si="208"/>
        <v>1.603874016461676</v>
      </c>
      <c r="DQ69" s="94">
        <f t="shared" si="208"/>
        <v>1.1779896764228781</v>
      </c>
      <c r="DR69" s="94">
        <f t="shared" si="208"/>
        <v>1.2613123388652772</v>
      </c>
      <c r="DS69" s="94">
        <f t="shared" si="208"/>
        <v>0.7608414685924374</v>
      </c>
      <c r="DT69" s="94">
        <f t="shared" si="208"/>
        <v>0</v>
      </c>
      <c r="DU69" s="94">
        <f t="shared" si="208"/>
        <v>0.89029573068608481</v>
      </c>
      <c r="DV69" s="94">
        <f t="shared" si="208"/>
        <v>0.89231429341160096</v>
      </c>
      <c r="DW69" s="94">
        <f t="shared" ref="DW69:EO69" si="209">DW41/$EP41</f>
        <v>0</v>
      </c>
      <c r="DX69" s="94">
        <f t="shared" si="209"/>
        <v>0.79511288569187244</v>
      </c>
      <c r="DY69" s="94">
        <f t="shared" si="209"/>
        <v>1.0353775056872989</v>
      </c>
      <c r="DZ69" s="94">
        <f t="shared" si="209"/>
        <v>0</v>
      </c>
      <c r="EA69" s="94">
        <f t="shared" si="209"/>
        <v>0</v>
      </c>
      <c r="EB69" s="94">
        <f t="shared" si="209"/>
        <v>0</v>
      </c>
      <c r="EC69" s="94">
        <f t="shared" si="209"/>
        <v>0</v>
      </c>
      <c r="ED69" s="94">
        <f t="shared" si="209"/>
        <v>0</v>
      </c>
      <c r="EE69" s="94">
        <f t="shared" si="209"/>
        <v>1.1301740325116361</v>
      </c>
      <c r="EF69" s="94">
        <f t="shared" si="209"/>
        <v>0.84244004803317452</v>
      </c>
      <c r="EG69" s="94">
        <f t="shared" si="209"/>
        <v>0.81918069679431271</v>
      </c>
      <c r="EH69" s="94">
        <f t="shared" si="209"/>
        <v>0</v>
      </c>
      <c r="EI69" s="94">
        <f t="shared" si="209"/>
        <v>1.0258240716900431</v>
      </c>
      <c r="EJ69" s="94">
        <f t="shared" si="209"/>
        <v>0</v>
      </c>
      <c r="EK69" s="94">
        <f t="shared" si="209"/>
        <v>0</v>
      </c>
      <c r="EL69" s="94">
        <f t="shared" si="209"/>
        <v>0.89157037846720044</v>
      </c>
      <c r="EM69" s="94">
        <f t="shared" si="209"/>
        <v>0.84093577453142643</v>
      </c>
      <c r="EN69" s="94">
        <f t="shared" si="209"/>
        <v>0</v>
      </c>
      <c r="EO69" s="94">
        <f t="shared" si="209"/>
        <v>0</v>
      </c>
      <c r="EP69" s="91"/>
      <c r="EQ69" s="94">
        <f t="shared" ref="EQ69:FI69" si="210">EQ41/$FK41</f>
        <v>1.2984879170017809</v>
      </c>
      <c r="ER69" s="94">
        <f t="shared" si="210"/>
        <v>2.011339034873052</v>
      </c>
      <c r="ES69" s="94">
        <f t="shared" si="210"/>
        <v>1.6847426829951517</v>
      </c>
      <c r="ET69" s="94">
        <f t="shared" si="210"/>
        <v>0</v>
      </c>
      <c r="EU69" s="94">
        <f t="shared" si="210"/>
        <v>0</v>
      </c>
      <c r="EV69" s="94">
        <f t="shared" si="210"/>
        <v>0</v>
      </c>
      <c r="EW69" s="94">
        <f t="shared" si="210"/>
        <v>0</v>
      </c>
      <c r="EX69" s="94">
        <f t="shared" si="210"/>
        <v>1.7242059837627413</v>
      </c>
      <c r="EY69" s="94">
        <f t="shared" si="210"/>
        <v>1.5190064713380333</v>
      </c>
      <c r="EZ69" s="94">
        <f t="shared" si="210"/>
        <v>1.200265345434457</v>
      </c>
      <c r="FA69" s="94">
        <f t="shared" si="210"/>
        <v>0</v>
      </c>
      <c r="FB69" s="94">
        <f t="shared" si="210"/>
        <v>0</v>
      </c>
      <c r="FC69" s="94">
        <f t="shared" si="210"/>
        <v>0</v>
      </c>
      <c r="FD69" s="94">
        <f t="shared" si="210"/>
        <v>0</v>
      </c>
      <c r="FE69" s="94">
        <f t="shared" si="210"/>
        <v>1.955361451733771</v>
      </c>
      <c r="FF69" s="94">
        <f t="shared" si="210"/>
        <v>0</v>
      </c>
      <c r="FG69" s="94">
        <f t="shared" si="210"/>
        <v>0</v>
      </c>
      <c r="FH69" s="94">
        <f t="shared" si="210"/>
        <v>0</v>
      </c>
      <c r="FI69" s="94">
        <f t="shared" si="210"/>
        <v>0</v>
      </c>
      <c r="FJ69" s="73"/>
    </row>
    <row r="70" spans="1:166">
      <c r="A70" s="71" t="s">
        <v>205</v>
      </c>
      <c r="B70" s="92" t="s">
        <v>169</v>
      </c>
      <c r="C70" s="94">
        <f t="shared" ref="C70:T70" si="211">C42/$U42</f>
        <v>1.5093563418357667</v>
      </c>
      <c r="D70" s="94">
        <f t="shared" si="211"/>
        <v>0.96830559156318263</v>
      </c>
      <c r="E70" s="94">
        <f t="shared" si="211"/>
        <v>1.7127754779465518</v>
      </c>
      <c r="F70" s="94">
        <f t="shared" si="211"/>
        <v>1.565517230691428</v>
      </c>
      <c r="G70" s="94">
        <f t="shared" si="211"/>
        <v>1.1149443577726674</v>
      </c>
      <c r="H70" s="94">
        <f t="shared" si="211"/>
        <v>1.0316944084368174</v>
      </c>
      <c r="I70" s="94">
        <f t="shared" si="211"/>
        <v>0.86335193706318603</v>
      </c>
      <c r="J70" s="94">
        <f t="shared" si="211"/>
        <v>1.7209035341237902</v>
      </c>
      <c r="K70" s="94">
        <f t="shared" si="211"/>
        <v>1.6378748099428084</v>
      </c>
      <c r="L70" s="94">
        <f t="shared" si="211"/>
        <v>1.3110714453363292</v>
      </c>
      <c r="M70" s="94">
        <f t="shared" si="211"/>
        <v>0.70375101397403128</v>
      </c>
      <c r="N70" s="94">
        <f t="shared" si="211"/>
        <v>0.79608379306210586</v>
      </c>
      <c r="O70" s="94">
        <f t="shared" si="211"/>
        <v>0</v>
      </c>
      <c r="P70" s="94">
        <f t="shared" si="211"/>
        <v>0.72659766459566977</v>
      </c>
      <c r="Q70" s="94">
        <f t="shared" si="211"/>
        <v>0.69446265218577907</v>
      </c>
      <c r="R70" s="94">
        <f t="shared" si="211"/>
        <v>0.79051201821739758</v>
      </c>
      <c r="S70" s="94">
        <f t="shared" si="211"/>
        <v>0.96457512918048094</v>
      </c>
      <c r="T70" s="94">
        <f t="shared" si="211"/>
        <v>1.0953396243018656</v>
      </c>
      <c r="U70" s="93"/>
      <c r="V70" s="94">
        <f t="shared" ref="V70:AT70" si="212">V42/$AU42</f>
        <v>1.6185264704584459</v>
      </c>
      <c r="W70" s="94">
        <f t="shared" si="212"/>
        <v>1.676089557308448</v>
      </c>
      <c r="X70" s="94">
        <f t="shared" si="212"/>
        <v>1.6453284482760868</v>
      </c>
      <c r="Y70" s="94">
        <f t="shared" si="212"/>
        <v>0.5280017864488078</v>
      </c>
      <c r="Z70" s="94">
        <f t="shared" si="212"/>
        <v>0.73557179623067503</v>
      </c>
      <c r="AA70" s="94">
        <f t="shared" si="212"/>
        <v>1.8007978148640342</v>
      </c>
      <c r="AB70" s="94">
        <f t="shared" si="212"/>
        <v>1.581700555858069</v>
      </c>
      <c r="AC70" s="94">
        <f t="shared" si="212"/>
        <v>1.9276820029436585</v>
      </c>
      <c r="AD70" s="94">
        <f t="shared" si="212"/>
        <v>1.0146523365859399</v>
      </c>
      <c r="AE70" s="94">
        <f t="shared" si="212"/>
        <v>1.2699632533515126</v>
      </c>
      <c r="AF70" s="94">
        <f t="shared" si="212"/>
        <v>1.3814438977811321</v>
      </c>
      <c r="AG70" s="94">
        <f t="shared" si="212"/>
        <v>0.98331114861734215</v>
      </c>
      <c r="AH70" s="94">
        <f t="shared" si="212"/>
        <v>1.222060954865112</v>
      </c>
      <c r="AI70" s="94">
        <f t="shared" si="212"/>
        <v>0.8521220490112269</v>
      </c>
      <c r="AJ70" s="94">
        <f t="shared" si="212"/>
        <v>0.69369013242907873</v>
      </c>
      <c r="AK70" s="94">
        <f t="shared" si="212"/>
        <v>0.80646734706509982</v>
      </c>
      <c r="AL70" s="94">
        <f t="shared" si="212"/>
        <v>0.72804565136883481</v>
      </c>
      <c r="AM70" s="94">
        <f t="shared" si="212"/>
        <v>0.73155779441189706</v>
      </c>
      <c r="AN70" s="94">
        <f t="shared" si="212"/>
        <v>0.78820616782484565</v>
      </c>
      <c r="AO70" s="94">
        <f t="shared" si="212"/>
        <v>0.58001444788424306</v>
      </c>
      <c r="AP70" s="94">
        <f t="shared" si="212"/>
        <v>0.95864589480778906</v>
      </c>
      <c r="AQ70" s="94">
        <f t="shared" si="212"/>
        <v>1</v>
      </c>
      <c r="AR70" s="94">
        <f t="shared" si="212"/>
        <v>1.0634287350131433</v>
      </c>
      <c r="AS70" s="94">
        <f t="shared" si="212"/>
        <v>1.4640395309812675</v>
      </c>
      <c r="AT70" s="94">
        <f t="shared" si="212"/>
        <v>0.54932546190707165</v>
      </c>
      <c r="AU70" s="93"/>
      <c r="AV70" s="94">
        <f>AV42/$CP42</f>
        <v>0.76258895344193622</v>
      </c>
      <c r="AW70" s="94">
        <f t="shared" ref="AW70:CM70" si="213">AW42/$CP42</f>
        <v>0.67949166329578436</v>
      </c>
      <c r="AX70" s="94">
        <f t="shared" si="213"/>
        <v>0.88760599362025694</v>
      </c>
      <c r="AY70" s="94">
        <f t="shared" si="213"/>
        <v>0.54080286199065664</v>
      </c>
      <c r="AZ70" s="94">
        <f t="shared" si="213"/>
        <v>0.59669748428506242</v>
      </c>
      <c r="BA70" s="94">
        <f t="shared" si="213"/>
        <v>1.1467092006074242</v>
      </c>
      <c r="BB70" s="94">
        <f t="shared" si="213"/>
        <v>1.4603468394349874</v>
      </c>
      <c r="BC70" s="94">
        <f t="shared" si="213"/>
        <v>1.3848787850595694</v>
      </c>
      <c r="BD70" s="94">
        <f t="shared" si="213"/>
        <v>0.91689152206389068</v>
      </c>
      <c r="BE70" s="94">
        <f t="shared" si="213"/>
        <v>0.77317776447421449</v>
      </c>
      <c r="BF70" s="94">
        <f t="shared" si="213"/>
        <v>1.0673786382792241</v>
      </c>
      <c r="BG70" s="94">
        <f t="shared" si="213"/>
        <v>1.038763939689257</v>
      </c>
      <c r="BH70" s="94">
        <f t="shared" si="213"/>
        <v>1.1489110914441574</v>
      </c>
      <c r="BI70" s="94">
        <f t="shared" si="213"/>
        <v>1.1463435937981958</v>
      </c>
      <c r="BJ70" s="94">
        <f t="shared" si="213"/>
        <v>1.6572175855917695</v>
      </c>
      <c r="BK70" s="94">
        <f t="shared" si="213"/>
        <v>1.582035908731062</v>
      </c>
      <c r="BL70" s="94">
        <f t="shared" si="213"/>
        <v>1.4033884215896753</v>
      </c>
      <c r="BM70" s="94">
        <f t="shared" si="213"/>
        <v>1.335040287185727</v>
      </c>
      <c r="BN70" s="94">
        <f t="shared" si="213"/>
        <v>1.0496487698198171</v>
      </c>
      <c r="BO70" s="94">
        <f t="shared" si="213"/>
        <v>0.80652419760143435</v>
      </c>
      <c r="BP70" s="94">
        <f t="shared" si="213"/>
        <v>0.92244926435065167</v>
      </c>
      <c r="BQ70" s="94">
        <f t="shared" si="213"/>
        <v>0.92889760404678223</v>
      </c>
      <c r="BR70" s="94">
        <f t="shared" si="213"/>
        <v>1.015727965306721</v>
      </c>
      <c r="BS70" s="94">
        <f t="shared" si="213"/>
        <v>0.98427203469327884</v>
      </c>
      <c r="BT70" s="94">
        <f t="shared" si="213"/>
        <v>1.0813236296073718</v>
      </c>
      <c r="BU70" s="94">
        <f t="shared" si="213"/>
        <v>0.80335706685119934</v>
      </c>
      <c r="BV70" s="94">
        <f t="shared" si="213"/>
        <v>0.85240136093668539</v>
      </c>
      <c r="BW70" s="94">
        <f t="shared" si="213"/>
        <v>1.1553230373101437</v>
      </c>
      <c r="BX70" s="94">
        <f t="shared" si="213"/>
        <v>1.4084932293885124</v>
      </c>
      <c r="BY70" s="94">
        <f t="shared" si="213"/>
        <v>1.5491201900753306</v>
      </c>
      <c r="BZ70" s="94">
        <f t="shared" si="213"/>
        <v>1.3842158992442795</v>
      </c>
      <c r="CA70" s="94">
        <f t="shared" si="213"/>
        <v>1.1606855038791732</v>
      </c>
      <c r="CB70" s="94">
        <f t="shared" si="213"/>
        <v>0.96896507897810025</v>
      </c>
      <c r="CC70" s="94">
        <f t="shared" si="213"/>
        <v>1.0435965447631013</v>
      </c>
      <c r="CD70" s="94">
        <f t="shared" si="213"/>
        <v>1.2256652209903067</v>
      </c>
      <c r="CE70" s="94">
        <f t="shared" si="213"/>
        <v>1.3023664895515263</v>
      </c>
      <c r="CF70" s="94">
        <f t="shared" si="213"/>
        <v>1.1908372979710773</v>
      </c>
      <c r="CG70" s="94">
        <f t="shared" si="213"/>
        <v>0.57012531706268588</v>
      </c>
      <c r="CH70" s="94">
        <f t="shared" si="213"/>
        <v>0.74195706704250963</v>
      </c>
      <c r="CI70" s="94">
        <f t="shared" si="213"/>
        <v>0.55782495351880967</v>
      </c>
      <c r="CJ70" s="94">
        <f t="shared" si="213"/>
        <v>0</v>
      </c>
      <c r="CK70" s="94">
        <f t="shared" si="213"/>
        <v>0</v>
      </c>
      <c r="CL70" s="94">
        <f t="shared" si="213"/>
        <v>0</v>
      </c>
      <c r="CM70" s="94">
        <f t="shared" si="213"/>
        <v>0.85856649650140715</v>
      </c>
      <c r="CN70" s="94">
        <f>CN42/$CP42</f>
        <v>0</v>
      </c>
      <c r="CO70" s="94">
        <f>CO42/$CP42</f>
        <v>0.55491452736003788</v>
      </c>
      <c r="CP70" s="93"/>
      <c r="CQ70" s="94">
        <f t="shared" ref="CQ70:DV70" si="214">CQ42/$EP42</f>
        <v>0</v>
      </c>
      <c r="CR70" s="94">
        <f t="shared" si="214"/>
        <v>0</v>
      </c>
      <c r="CS70" s="94">
        <f t="shared" si="214"/>
        <v>0.75412730145842255</v>
      </c>
      <c r="CT70" s="94">
        <f t="shared" si="214"/>
        <v>0.57729623138817854</v>
      </c>
      <c r="CU70" s="94">
        <f t="shared" si="214"/>
        <v>0</v>
      </c>
      <c r="CV70" s="94">
        <f t="shared" si="214"/>
        <v>0.60600739379808066</v>
      </c>
      <c r="CW70" s="94">
        <f t="shared" si="214"/>
        <v>1.2805552444383508</v>
      </c>
      <c r="CX70" s="94">
        <f t="shared" si="214"/>
        <v>1.1816054225431443</v>
      </c>
      <c r="CY70" s="94">
        <f t="shared" si="214"/>
        <v>0.55629557512719607</v>
      </c>
      <c r="CZ70" s="94">
        <f t="shared" si="214"/>
        <v>0.7802771422675665</v>
      </c>
      <c r="DA70" s="94">
        <f t="shared" si="214"/>
        <v>0.92011889391812085</v>
      </c>
      <c r="DB70" s="94">
        <f t="shared" si="214"/>
        <v>0.995369512908303</v>
      </c>
      <c r="DC70" s="94">
        <f t="shared" si="214"/>
        <v>0</v>
      </c>
      <c r="DD70" s="94">
        <f t="shared" si="214"/>
        <v>1.1346752313372603</v>
      </c>
      <c r="DE70" s="94">
        <f t="shared" si="214"/>
        <v>1.5248111523676688</v>
      </c>
      <c r="DF70" s="94">
        <f t="shared" si="214"/>
        <v>1.409678542182752</v>
      </c>
      <c r="DG70" s="94">
        <f t="shared" si="214"/>
        <v>0.89599748688155356</v>
      </c>
      <c r="DH70" s="94">
        <f t="shared" si="214"/>
        <v>0</v>
      </c>
      <c r="DI70" s="94">
        <f t="shared" si="214"/>
        <v>0</v>
      </c>
      <c r="DJ70" s="94">
        <f t="shared" si="214"/>
        <v>0.58233015213247485</v>
      </c>
      <c r="DK70" s="94">
        <f t="shared" si="214"/>
        <v>0.82053366152434093</v>
      </c>
      <c r="DL70" s="94">
        <f t="shared" si="214"/>
        <v>0.67022734227892522</v>
      </c>
      <c r="DM70" s="94">
        <f t="shared" si="214"/>
        <v>0.99778348159826669</v>
      </c>
      <c r="DN70" s="94">
        <f t="shared" si="214"/>
        <v>1.0022165184017333</v>
      </c>
      <c r="DO70" s="94">
        <f t="shared" si="214"/>
        <v>1.195999290525837</v>
      </c>
      <c r="DP70" s="94">
        <f t="shared" si="214"/>
        <v>1.4383390905876594</v>
      </c>
      <c r="DQ70" s="94">
        <f t="shared" si="214"/>
        <v>1.320286255566312</v>
      </c>
      <c r="DR70" s="94">
        <f t="shared" si="214"/>
        <v>1.2859494937346956</v>
      </c>
      <c r="DS70" s="94">
        <f t="shared" si="214"/>
        <v>0.62865883578046111</v>
      </c>
      <c r="DT70" s="94">
        <f t="shared" si="214"/>
        <v>0</v>
      </c>
      <c r="DU70" s="94">
        <f t="shared" si="214"/>
        <v>0.64898856113294023</v>
      </c>
      <c r="DV70" s="94">
        <f t="shared" si="214"/>
        <v>0</v>
      </c>
      <c r="DW70" s="94">
        <f t="shared" ref="DW70:EO70" si="215">DW42/$EP42</f>
        <v>0</v>
      </c>
      <c r="DX70" s="94">
        <f t="shared" si="215"/>
        <v>0</v>
      </c>
      <c r="DY70" s="94">
        <f t="shared" si="215"/>
        <v>0.99309153782214687</v>
      </c>
      <c r="DZ70" s="94">
        <f t="shared" si="215"/>
        <v>0.84150703198358068</v>
      </c>
      <c r="EA70" s="94">
        <f t="shared" si="215"/>
        <v>0.76326095360542678</v>
      </c>
      <c r="EB70" s="94">
        <f t="shared" si="215"/>
        <v>0</v>
      </c>
      <c r="EC70" s="94">
        <f t="shared" si="215"/>
        <v>0.69793063550921308</v>
      </c>
      <c r="ED70" s="94">
        <f t="shared" si="215"/>
        <v>0.9652175236080005</v>
      </c>
      <c r="EE70" s="94">
        <f t="shared" si="215"/>
        <v>0.76576233515785597</v>
      </c>
      <c r="EF70" s="94">
        <f t="shared" si="215"/>
        <v>1.1516436450413094</v>
      </c>
      <c r="EG70" s="94">
        <f t="shared" si="215"/>
        <v>1.1229997294976881</v>
      </c>
      <c r="EH70" s="94">
        <f t="shared" si="215"/>
        <v>0.76438307341045708</v>
      </c>
      <c r="EI70" s="94">
        <f t="shared" si="215"/>
        <v>0</v>
      </c>
      <c r="EJ70" s="94">
        <f t="shared" si="215"/>
        <v>0</v>
      </c>
      <c r="EK70" s="94">
        <f t="shared" si="215"/>
        <v>0</v>
      </c>
      <c r="EL70" s="94">
        <f t="shared" si="215"/>
        <v>0</v>
      </c>
      <c r="EM70" s="94">
        <f t="shared" si="215"/>
        <v>0</v>
      </c>
      <c r="EN70" s="94">
        <f t="shared" si="215"/>
        <v>0</v>
      </c>
      <c r="EO70" s="94">
        <f t="shared" si="215"/>
        <v>0</v>
      </c>
      <c r="EP70" s="91"/>
      <c r="EQ70" s="94">
        <f t="shared" ref="EQ70:FI70" si="216">EQ42/$FK42</f>
        <v>1.7275972907793797</v>
      </c>
      <c r="ER70" s="94">
        <f t="shared" si="216"/>
        <v>2.2057134684946575</v>
      </c>
      <c r="ES70" s="94">
        <f t="shared" si="216"/>
        <v>1.5195668851493043</v>
      </c>
      <c r="ET70" s="94">
        <f t="shared" si="216"/>
        <v>1.2135459536543314</v>
      </c>
      <c r="EU70" s="94">
        <f t="shared" si="216"/>
        <v>1.197780872271436</v>
      </c>
      <c r="EV70" s="94">
        <f t="shared" si="216"/>
        <v>0</v>
      </c>
      <c r="EW70" s="94">
        <f t="shared" si="216"/>
        <v>0</v>
      </c>
      <c r="EX70" s="94">
        <f t="shared" si="216"/>
        <v>0</v>
      </c>
      <c r="EY70" s="94">
        <f t="shared" si="216"/>
        <v>2.0652058669476583</v>
      </c>
      <c r="EZ70" s="94">
        <f t="shared" si="216"/>
        <v>1.8490807677724397</v>
      </c>
      <c r="FA70" s="94">
        <f t="shared" si="216"/>
        <v>0</v>
      </c>
      <c r="FB70" s="94">
        <f t="shared" si="216"/>
        <v>0</v>
      </c>
      <c r="FC70" s="94">
        <f t="shared" si="216"/>
        <v>0</v>
      </c>
      <c r="FD70" s="94">
        <f t="shared" si="216"/>
        <v>0</v>
      </c>
      <c r="FE70" s="94">
        <f t="shared" si="216"/>
        <v>1.9731468302552841</v>
      </c>
      <c r="FF70" s="94">
        <f t="shared" si="216"/>
        <v>0.99999396754127279</v>
      </c>
      <c r="FG70" s="94">
        <f t="shared" si="216"/>
        <v>0</v>
      </c>
      <c r="FH70" s="94">
        <f t="shared" si="216"/>
        <v>0</v>
      </c>
      <c r="FI70" s="94">
        <f t="shared" si="216"/>
        <v>1.2910280127721114</v>
      </c>
      <c r="FJ70" s="73"/>
    </row>
    <row r="71" spans="1:166">
      <c r="A71" s="73"/>
      <c r="B71" s="74" t="s">
        <v>172</v>
      </c>
      <c r="C71" s="82">
        <f>AVERAGE(C65:C70)</f>
        <v>1.5195433629494206</v>
      </c>
      <c r="D71" s="82">
        <f t="shared" ref="D71:T71" si="217">AVERAGE(D65:D70)</f>
        <v>1.018974197528326</v>
      </c>
      <c r="E71" s="82">
        <f t="shared" si="217"/>
        <v>1.7457533117759902</v>
      </c>
      <c r="F71" s="82">
        <f t="shared" si="217"/>
        <v>1.5675475144916395</v>
      </c>
      <c r="G71" s="82">
        <f t="shared" si="217"/>
        <v>1.028286582698219</v>
      </c>
      <c r="H71" s="82">
        <f t="shared" si="217"/>
        <v>1.0854096700922631</v>
      </c>
      <c r="I71" s="82">
        <f t="shared" si="217"/>
        <v>0.99184693103562138</v>
      </c>
      <c r="J71" s="82">
        <f t="shared" si="217"/>
        <v>1.8810887295052383</v>
      </c>
      <c r="K71" s="82">
        <f t="shared" si="217"/>
        <v>1.7516109649068836</v>
      </c>
      <c r="L71" s="82">
        <f t="shared" si="217"/>
        <v>1.1835550797003584</v>
      </c>
      <c r="M71" s="82">
        <f t="shared" si="217"/>
        <v>0.82363129311099004</v>
      </c>
      <c r="N71" s="82">
        <f t="shared" si="217"/>
        <v>0.83333898954457519</v>
      </c>
      <c r="O71" s="82">
        <f t="shared" si="217"/>
        <v>0.60802475410439139</v>
      </c>
      <c r="P71" s="82">
        <f t="shared" si="217"/>
        <v>0.70858803457459374</v>
      </c>
      <c r="Q71" s="82">
        <f t="shared" si="217"/>
        <v>0.3263085047431506</v>
      </c>
      <c r="R71" s="82">
        <f t="shared" si="217"/>
        <v>0.79677513563748292</v>
      </c>
      <c r="S71" s="82">
        <f t="shared" si="217"/>
        <v>0.84420127187186222</v>
      </c>
      <c r="T71" s="82">
        <f t="shared" si="217"/>
        <v>1.0875095847306135</v>
      </c>
      <c r="U71" s="53"/>
      <c r="V71" s="82">
        <f t="shared" ref="V71" si="218">AVERAGE(V65:V70)</f>
        <v>1.6184268814913469</v>
      </c>
      <c r="W71" s="82">
        <f t="shared" ref="W71" si="219">AVERAGE(W65:W70)</f>
        <v>1.65976470394794</v>
      </c>
      <c r="X71" s="82">
        <f t="shared" ref="X71" si="220">AVERAGE(X65:X70)</f>
        <v>1.6232353651192861</v>
      </c>
      <c r="Y71" s="82">
        <f t="shared" ref="Y71" si="221">AVERAGE(Y65:Y70)</f>
        <v>0.61476636942734464</v>
      </c>
      <c r="Z71" s="82">
        <f t="shared" ref="Z71" si="222">AVERAGE(Z65:Z70)</f>
        <v>0.61455971332784187</v>
      </c>
      <c r="AA71" s="82">
        <f t="shared" ref="AA71" si="223">AVERAGE(AA65:AA70)</f>
        <v>1.8036645025102847</v>
      </c>
      <c r="AB71" s="82">
        <f t="shared" ref="AB71" si="224">AVERAGE(AB65:AB70)</f>
        <v>1.5552838102061817</v>
      </c>
      <c r="AC71" s="82">
        <f t="shared" ref="AC71" si="225">AVERAGE(AC65:AC70)</f>
        <v>1.8959457973013152</v>
      </c>
      <c r="AD71" s="82">
        <f t="shared" ref="AD71" si="226">AVERAGE(AD65:AD70)</f>
        <v>0.97066065646094479</v>
      </c>
      <c r="AE71" s="82">
        <f t="shared" ref="AE71" si="227">AVERAGE(AE65:AE70)</f>
        <v>1.3373488096953654</v>
      </c>
      <c r="AF71" s="82">
        <f t="shared" ref="AF71" si="228">AVERAGE(AF65:AF70)</f>
        <v>1.39571291745721</v>
      </c>
      <c r="AG71" s="82">
        <f t="shared" ref="AG71" si="229">AVERAGE(AG65:AG70)</f>
        <v>0.97823559876427024</v>
      </c>
      <c r="AH71" s="82">
        <f t="shared" ref="AH71" si="230">AVERAGE(AH65:AH70)</f>
        <v>1.1921882247196314</v>
      </c>
      <c r="AI71" s="82">
        <f t="shared" ref="AI71" si="231">AVERAGE(AI65:AI70)</f>
        <v>0.67944775453745587</v>
      </c>
      <c r="AJ71" s="82">
        <f t="shared" ref="AJ71" si="232">AVERAGE(AJ65:AJ70)</f>
        <v>0.61100239051379857</v>
      </c>
      <c r="AK71" s="82">
        <f t="shared" ref="AK71" si="233">AVERAGE(AK65:AK70)</f>
        <v>0.87891250958320422</v>
      </c>
      <c r="AL71" s="82">
        <f t="shared" ref="AL71:AM71" si="234">AVERAGE(AL65:AL70)</f>
        <v>0.70741304128887716</v>
      </c>
      <c r="AM71" s="82">
        <f t="shared" si="234"/>
        <v>0.6739349579260262</v>
      </c>
      <c r="AN71" s="82">
        <f t="shared" ref="AN71" si="235">AVERAGE(AN65:AN70)</f>
        <v>0.6310438050667907</v>
      </c>
      <c r="AO71" s="82">
        <f t="shared" ref="AO71" si="236">AVERAGE(AO65:AO70)</f>
        <v>0.62133622028872226</v>
      </c>
      <c r="AP71" s="82">
        <f t="shared" ref="AP71" si="237">AVERAGE(AP65:AP70)</f>
        <v>0.97036696894049201</v>
      </c>
      <c r="AQ71" s="82">
        <f t="shared" ref="AQ71" si="238">AVERAGE(AQ65:AQ70)</f>
        <v>1.0079100009309898</v>
      </c>
      <c r="AR71" s="82">
        <f t="shared" ref="AR71" si="239">AVERAGE(AR65:AR70)</f>
        <v>1.1255361632697649</v>
      </c>
      <c r="AS71" s="82">
        <f t="shared" ref="AS71" si="240">AVERAGE(AS65:AS70)</f>
        <v>1.434460506919456</v>
      </c>
      <c r="AT71" s="82">
        <f t="shared" ref="AT71" si="241">AVERAGE(AT65:AT70)</f>
        <v>0.60582832749201943</v>
      </c>
      <c r="AU71" s="53"/>
      <c r="AV71" s="82"/>
      <c r="AW71" s="82">
        <f t="shared" ref="AW71" si="242">AVERAGE(AW65:AW70)</f>
        <v>0.65160721234322816</v>
      </c>
      <c r="AX71" s="82">
        <f t="shared" ref="AX71" si="243">AVERAGE(AX65:AX70)</f>
        <v>0.80857553367467017</v>
      </c>
      <c r="AY71" s="82">
        <f t="shared" ref="AY71" si="244">AVERAGE(AY65:AY70)</f>
        <v>0.76237636647919393</v>
      </c>
      <c r="AZ71" s="82">
        <f t="shared" ref="AZ71" si="245">AVERAGE(AZ65:AZ70)</f>
        <v>0.47923553218232989</v>
      </c>
      <c r="BA71" s="82">
        <f t="shared" ref="BA71" si="246">AVERAGE(BA65:BA70)</f>
        <v>1.0734147156070895</v>
      </c>
      <c r="BB71" s="82">
        <f t="shared" ref="BB71" si="247">AVERAGE(BB65:BB70)</f>
        <v>1.5151232251038795</v>
      </c>
      <c r="BC71" s="82">
        <f t="shared" ref="BC71" si="248">AVERAGE(BC65:BC70)</f>
        <v>1.4389616648513428</v>
      </c>
      <c r="BD71" s="82">
        <f t="shared" ref="BD71:BE71" si="249">AVERAGE(BD65:BD70)</f>
        <v>0.84868427034774729</v>
      </c>
      <c r="BE71" s="82">
        <f t="shared" si="249"/>
        <v>0.65920549968999642</v>
      </c>
      <c r="BF71" s="82">
        <f t="shared" ref="BF71" si="250">AVERAGE(BF65:BF70)</f>
        <v>1.0309859051562666</v>
      </c>
      <c r="BG71" s="82">
        <f t="shared" ref="BG71" si="251">AVERAGE(BG65:BG70)</f>
        <v>0.96359625822076023</v>
      </c>
      <c r="BH71" s="82">
        <f t="shared" ref="BH71" si="252">AVERAGE(BH65:BH70)</f>
        <v>1.1687618994967719</v>
      </c>
      <c r="BI71" s="82">
        <f t="shared" ref="BI71" si="253">AVERAGE(BI65:BI70)</f>
        <v>1.0252980302288039</v>
      </c>
      <c r="BJ71" s="82">
        <f t="shared" ref="BJ71" si="254">AVERAGE(BJ65:BJ70)</f>
        <v>1.7763786380446807</v>
      </c>
      <c r="BK71" s="82">
        <f t="shared" ref="BK71" si="255">AVERAGE(BK65:BK70)</f>
        <v>1.7112484065491911</v>
      </c>
      <c r="BL71" s="82">
        <f t="shared" ref="BL71" si="256">AVERAGE(BL65:BL70)</f>
        <v>1.4366707650452268</v>
      </c>
      <c r="BM71" s="82">
        <f t="shared" ref="BM71" si="257">AVERAGE(BM65:BM70)</f>
        <v>1.3765464619491861</v>
      </c>
      <c r="BN71" s="82">
        <f t="shared" ref="BN71" si="258">AVERAGE(BN65:BN70)</f>
        <v>0.99124979029367821</v>
      </c>
      <c r="BO71" s="82">
        <f t="shared" ref="BO71" si="259">AVERAGE(BO65:BO70)</f>
        <v>0.68566130192234631</v>
      </c>
      <c r="BP71" s="82">
        <f t="shared" ref="BP71" si="260">AVERAGE(BP65:BP70)</f>
        <v>0.93081852502568563</v>
      </c>
      <c r="BQ71" s="82">
        <f t="shared" ref="BQ71" si="261">AVERAGE(BQ65:BQ70)</f>
        <v>0.88254917483015205</v>
      </c>
      <c r="BR71" s="82">
        <f t="shared" ref="BR71" si="262">AVERAGE(BR65:BR70)</f>
        <v>1.1286388455961083</v>
      </c>
      <c r="BS71" s="82">
        <f t="shared" ref="BS71" si="263">AVERAGE(BS65:BS70)</f>
        <v>1.0928972624076783</v>
      </c>
      <c r="BT71" s="82">
        <f t="shared" ref="BT71" si="264">AVERAGE(BT65:BT70)</f>
        <v>1.1236571723734392</v>
      </c>
      <c r="BU71" s="82">
        <f t="shared" ref="BU71" si="265">AVERAGE(BU65:BU70)</f>
        <v>0.81811725377526001</v>
      </c>
      <c r="BV71" s="82">
        <f t="shared" ref="BV71:BW71" si="266">AVERAGE(BV65:BV70)</f>
        <v>0.8336100767862854</v>
      </c>
      <c r="BW71" s="82">
        <f t="shared" si="266"/>
        <v>1.1270932863482439</v>
      </c>
      <c r="BX71" s="82">
        <f t="shared" ref="BX71" si="267">AVERAGE(BX65:BX70)</f>
        <v>1.5050223582495346</v>
      </c>
      <c r="BY71" s="82">
        <f t="shared" ref="BY71" si="268">AVERAGE(BY65:BY70)</f>
        <v>1.7031853332350266</v>
      </c>
      <c r="BZ71" s="82">
        <f t="shared" ref="BZ71" si="269">AVERAGE(BZ65:BZ70)</f>
        <v>1.4331025221170275</v>
      </c>
      <c r="CA71" s="82">
        <f t="shared" ref="CA71" si="270">AVERAGE(CA65:CA70)</f>
        <v>1.1842358060593232</v>
      </c>
      <c r="CB71" s="82">
        <f t="shared" ref="CB71" si="271">AVERAGE(CB65:CB70)</f>
        <v>1.0421691675848801</v>
      </c>
      <c r="CC71" s="82">
        <f t="shared" ref="CC71" si="272">AVERAGE(CC65:CC70)</f>
        <v>0.97003497562610308</v>
      </c>
      <c r="CD71" s="82">
        <f t="shared" ref="CD71" si="273">AVERAGE(CD65:CD70)</f>
        <v>1.1985785886114035</v>
      </c>
      <c r="CE71" s="82">
        <f t="shared" ref="CE71" si="274">AVERAGE(CE65:CE70)</f>
        <v>1.3188590355837451</v>
      </c>
      <c r="CF71" s="82">
        <f t="shared" ref="CF71" si="275">AVERAGE(CF65:CF70)</f>
        <v>1.2647146954076254</v>
      </c>
      <c r="CG71" s="82">
        <f t="shared" ref="CG71" si="276">AVERAGE(CG65:CG70)</f>
        <v>0.73894127019227207</v>
      </c>
      <c r="CH71" s="82">
        <f t="shared" ref="CH71" si="277">AVERAGE(CH65:CH70)</f>
        <v>0.95822122904010376</v>
      </c>
      <c r="CI71" s="82">
        <f t="shared" ref="CI71" si="278">AVERAGE(CI65:CI70)</f>
        <v>0.45004711719496404</v>
      </c>
      <c r="CJ71" s="82">
        <f t="shared" ref="CJ71" si="279">AVERAGE(CJ65:CJ70)</f>
        <v>0</v>
      </c>
      <c r="CK71" s="82">
        <f t="shared" ref="CK71" si="280">AVERAGE(CK65:CK70)</f>
        <v>0.49405430481412443</v>
      </c>
      <c r="CL71" s="82">
        <f t="shared" ref="CL71" si="281">AVERAGE(CL65:CL70)</f>
        <v>0.10102524874268386</v>
      </c>
      <c r="CM71" s="82">
        <f t="shared" ref="CM71" si="282">AVERAGE(CM65:CM70)</f>
        <v>0.77329552434796056</v>
      </c>
      <c r="CN71" s="82">
        <f t="shared" ref="CN71:CO71" si="283">AVERAGE(CN65:CN70)</f>
        <v>0.23339216108522376</v>
      </c>
      <c r="CO71" s="82">
        <f t="shared" si="283"/>
        <v>0.55264801711708889</v>
      </c>
      <c r="CP71" s="53"/>
      <c r="CQ71" s="82">
        <f t="shared" ref="CQ71" si="284">AVERAGE(CQ65:CQ70)</f>
        <v>0.14662717249350773</v>
      </c>
      <c r="CR71" s="82">
        <f t="shared" ref="CR71" si="285">AVERAGE(CR65:CR70)</f>
        <v>0</v>
      </c>
      <c r="CS71" s="82">
        <f t="shared" ref="CS71" si="286">AVERAGE(CS65:CS70)</f>
        <v>0.5233806944770264</v>
      </c>
      <c r="CT71" s="82">
        <f t="shared" ref="CT71" si="287">AVERAGE(CT65:CT70)</f>
        <v>0.23249358282738966</v>
      </c>
      <c r="CU71" s="82">
        <f t="shared" ref="CU71" si="288">AVERAGE(CU65:CU70)</f>
        <v>0.13986497950035112</v>
      </c>
      <c r="CV71" s="82">
        <f t="shared" ref="CV71" si="289">AVERAGE(CV65:CV70)</f>
        <v>0.22856233513115284</v>
      </c>
      <c r="CW71" s="82">
        <f t="shared" ref="CW71" si="290">AVERAGE(CW65:CW70)</f>
        <v>1.0325589256313179</v>
      </c>
      <c r="CX71" s="82">
        <f t="shared" ref="CX71" si="291">AVERAGE(CX65:CX70)</f>
        <v>1.1327653713378762</v>
      </c>
      <c r="CY71" s="82">
        <f t="shared" ref="CY71" si="292">AVERAGE(CY65:CY70)</f>
        <v>0.22084154873415943</v>
      </c>
      <c r="CZ71" s="82">
        <f t="shared" ref="CZ71" si="293">AVERAGE(CZ65:CZ70)</f>
        <v>0.9210116261882394</v>
      </c>
      <c r="DA71" s="82">
        <f t="shared" ref="DA71" si="294">AVERAGE(DA65:DA70)</f>
        <v>0.86432508868031022</v>
      </c>
      <c r="DB71" s="82">
        <f t="shared" ref="DB71" si="295">AVERAGE(DB65:DB70)</f>
        <v>0.88830514196940147</v>
      </c>
      <c r="DC71" s="82">
        <f t="shared" ref="DC71" si="296">AVERAGE(DC65:DC70)</f>
        <v>0.14655878034471248</v>
      </c>
      <c r="DD71" s="82">
        <f t="shared" ref="DD71" si="297">AVERAGE(DD65:DD70)</f>
        <v>0.89317032479411351</v>
      </c>
      <c r="DE71" s="82">
        <f t="shared" ref="DE71" si="298">AVERAGE(DE65:DE70)</f>
        <v>1.5177921777310743</v>
      </c>
      <c r="DF71" s="82">
        <f t="shared" ref="DF71:DG71" si="299">AVERAGE(DF65:DF70)</f>
        <v>1.4835610645088408</v>
      </c>
      <c r="DG71" s="82">
        <f t="shared" si="299"/>
        <v>0.45700089872723709</v>
      </c>
      <c r="DH71" s="82">
        <f t="shared" ref="DH71" si="300">AVERAGE(DH65:DH70)</f>
        <v>0</v>
      </c>
      <c r="DI71" s="82">
        <f t="shared" ref="DI71" si="301">AVERAGE(DI65:DI70)</f>
        <v>0</v>
      </c>
      <c r="DJ71" s="82">
        <f t="shared" ref="DJ71" si="302">AVERAGE(DJ65:DJ70)</f>
        <v>0.36024879336582821</v>
      </c>
      <c r="DK71" s="82">
        <f t="shared" ref="DK71" si="303">AVERAGE(DK65:DK70)</f>
        <v>0.60763102286602344</v>
      </c>
      <c r="DL71" s="82">
        <f t="shared" ref="DL71" si="304">AVERAGE(DL65:DL70)</f>
        <v>0.72480655699350516</v>
      </c>
      <c r="DM71" s="82">
        <f t="shared" ref="DM71" si="305">AVERAGE(DM65:DM70)</f>
        <v>1.0204609753277936</v>
      </c>
      <c r="DN71" s="82">
        <f t="shared" ref="DN71" si="306">AVERAGE(DN65:DN70)</f>
        <v>0.47897206695201328</v>
      </c>
      <c r="DO71" s="82">
        <f t="shared" ref="DO71" si="307">AVERAGE(DO65:DO70)</f>
        <v>1.2532012581375258</v>
      </c>
      <c r="DP71" s="82">
        <f t="shared" ref="DP71" si="308">AVERAGE(DP65:DP70)</f>
        <v>1.4366396943248849</v>
      </c>
      <c r="DQ71" s="82">
        <f t="shared" ref="DQ71" si="309">AVERAGE(DQ65:DQ70)</f>
        <v>0.96081358317936838</v>
      </c>
      <c r="DR71" s="82">
        <f t="shared" ref="DR71" si="310">AVERAGE(DR65:DR70)</f>
        <v>1.1979760906558596</v>
      </c>
      <c r="DS71" s="82">
        <f t="shared" ref="DS71" si="311">AVERAGE(DS65:DS70)</f>
        <v>0.3641631282482809</v>
      </c>
      <c r="DT71" s="82">
        <f t="shared" ref="DT71" si="312">AVERAGE(DT65:DT70)</f>
        <v>0.13989261556843727</v>
      </c>
      <c r="DU71" s="82">
        <f t="shared" ref="DU71" si="313">AVERAGE(DU65:DU70)</f>
        <v>0.4018787079356762</v>
      </c>
      <c r="DV71" s="82">
        <f t="shared" ref="DV71" si="314">AVERAGE(DV65:DV70)</f>
        <v>0.14871904890193349</v>
      </c>
      <c r="DW71" s="82">
        <f t="shared" ref="DW71" si="315">AVERAGE(DW65:DW70)</f>
        <v>0</v>
      </c>
      <c r="DX71" s="82">
        <f t="shared" ref="DX71:DY71" si="316">AVERAGE(DX65:DX70)</f>
        <v>0.40154373161741219</v>
      </c>
      <c r="DY71" s="82">
        <f t="shared" si="316"/>
        <v>0.46652504148982638</v>
      </c>
      <c r="DZ71" s="82">
        <f t="shared" ref="DZ71" si="317">AVERAGE(DZ65:DZ70)</f>
        <v>0.28488445428341069</v>
      </c>
      <c r="EA71" s="82">
        <f t="shared" ref="EA71" si="318">AVERAGE(EA65:EA70)</f>
        <v>0.12721015893423779</v>
      </c>
      <c r="EB71" s="82">
        <f t="shared" ref="EB71" si="319">AVERAGE(EB65:EB70)</f>
        <v>0</v>
      </c>
      <c r="EC71" s="82">
        <f t="shared" ref="EC71" si="320">AVERAGE(EC65:EC70)</f>
        <v>0.66473041772744501</v>
      </c>
      <c r="ED71" s="82">
        <f t="shared" ref="ED71" si="321">AVERAGE(ED65:ED70)</f>
        <v>0.44851334028189843</v>
      </c>
      <c r="EE71" s="82">
        <f t="shared" ref="EE71" si="322">AVERAGE(EE65:EE70)</f>
        <v>0.77978039080950767</v>
      </c>
      <c r="EF71" s="82">
        <f t="shared" ref="EF71" si="323">AVERAGE(EF65:EF70)</f>
        <v>0.68299716925069331</v>
      </c>
      <c r="EG71" s="82">
        <f t="shared" ref="EG71" si="324">AVERAGE(EG65:EG70)</f>
        <v>0.44943289567606609</v>
      </c>
      <c r="EH71" s="82">
        <f t="shared" ref="EH71" si="325">AVERAGE(EH65:EH70)</f>
        <v>0.41073306160275136</v>
      </c>
      <c r="EI71" s="82">
        <f t="shared" ref="EI71" si="326">AVERAGE(EI65:EI70)</f>
        <v>0.17097067861500717</v>
      </c>
      <c r="EJ71" s="82">
        <f t="shared" ref="EJ71" si="327">AVERAGE(EJ65:EJ70)</f>
        <v>0.14186489951740294</v>
      </c>
      <c r="EK71" s="82">
        <f t="shared" ref="EK71" si="328">AVERAGE(EK65:EK70)</f>
        <v>0</v>
      </c>
      <c r="EL71" s="82">
        <f t="shared" ref="EL71" si="329">AVERAGE(EL65:EL70)</f>
        <v>0.43315038424042268</v>
      </c>
      <c r="EM71" s="82">
        <f t="shared" ref="EM71" si="330">AVERAGE(EM65:EM70)</f>
        <v>0.1401559624219044</v>
      </c>
      <c r="EN71" s="82">
        <f t="shared" ref="EN71" si="331">AVERAGE(EN65:EN70)</f>
        <v>0</v>
      </c>
      <c r="EO71" s="82">
        <f t="shared" ref="EO71" si="332">AVERAGE(EO65:EO70)</f>
        <v>0.46084098551068808</v>
      </c>
      <c r="EP71" s="53"/>
      <c r="EQ71" s="82">
        <f t="shared" ref="EQ71" si="333">AVERAGE(EQ65:EQ70)</f>
        <v>1.0436534884344393</v>
      </c>
      <c r="ER71" s="82">
        <f t="shared" ref="ER71" si="334">AVERAGE(ER65:ER70)</f>
        <v>1.9647086139909422</v>
      </c>
      <c r="ES71" s="82">
        <f t="shared" ref="ES71" si="335">AVERAGE(ES65:ES70)</f>
        <v>0.75127282348482216</v>
      </c>
      <c r="ET71" s="82">
        <f t="shared" ref="ET71" si="336">AVERAGE(ET65:ET70)</f>
        <v>0.20225765894238856</v>
      </c>
      <c r="EU71" s="82">
        <f t="shared" ref="EU71" si="337">AVERAGE(EU65:EU70)</f>
        <v>0.19963014537857268</v>
      </c>
      <c r="EV71" s="82">
        <f t="shared" ref="EV71" si="338">AVERAGE(EV65:EV70)</f>
        <v>0.21632875737533883</v>
      </c>
      <c r="EW71" s="82">
        <f t="shared" ref="EW71" si="339">AVERAGE(EW65:EW70)</f>
        <v>0</v>
      </c>
      <c r="EX71" s="82">
        <f t="shared" ref="EX71" si="340">AVERAGE(EX65:EX70)</f>
        <v>0.68578737328097705</v>
      </c>
      <c r="EY71" s="82">
        <f t="shared" ref="EY71" si="341">AVERAGE(EY65:EY70)</f>
        <v>1.2068459902271913</v>
      </c>
      <c r="EZ71" s="82">
        <f t="shared" ref="EZ71" si="342">AVERAGE(EZ65:EZ70)</f>
        <v>0.94012549394907163</v>
      </c>
      <c r="FA71" s="82">
        <f t="shared" ref="FA71" si="343">AVERAGE(FA65:FA70)</f>
        <v>0</v>
      </c>
      <c r="FB71" s="82">
        <f t="shared" ref="FB71" si="344">AVERAGE(FB65:FB70)</f>
        <v>0.65437291595913727</v>
      </c>
      <c r="FC71" s="82">
        <f t="shared" ref="FC71" si="345">AVERAGE(FC65:FC70)</f>
        <v>0</v>
      </c>
      <c r="FD71" s="82">
        <f t="shared" ref="FD71" si="346">AVERAGE(FD65:FD70)</f>
        <v>0.24958965961563009</v>
      </c>
      <c r="FE71" s="82">
        <f t="shared" ref="FE71" si="347">AVERAGE(FE65:FE70)</f>
        <v>1.8038354961505385</v>
      </c>
      <c r="FF71" s="82">
        <f t="shared" ref="FF71" si="348">AVERAGE(FF65:FF70)</f>
        <v>0.56578791728614053</v>
      </c>
      <c r="FG71" s="82">
        <f t="shared" ref="FG71" si="349">AVERAGE(FG65:FG70)</f>
        <v>0.44259468585713863</v>
      </c>
      <c r="FH71" s="82">
        <f t="shared" ref="FH71:FI71" si="350">AVERAGE(FH65:FH70)</f>
        <v>0</v>
      </c>
      <c r="FI71" s="82">
        <f t="shared" si="350"/>
        <v>0.21517133546201858</v>
      </c>
      <c r="FJ71" s="82"/>
    </row>
    <row r="72" spans="1:166">
      <c r="A72" s="73"/>
      <c r="B72" s="74" t="s">
        <v>165</v>
      </c>
      <c r="C72" s="79">
        <f>_xlfn.STDEV.S(C66:C70)</f>
        <v>4.7431386009115187E-2</v>
      </c>
      <c r="D72" s="79">
        <f t="shared" ref="D72:T72" si="351">_xlfn.STDEV.S(D66:D70)</f>
        <v>0.10297587980597546</v>
      </c>
      <c r="E72" s="79">
        <f t="shared" si="351"/>
        <v>4.2065763541289505E-2</v>
      </c>
      <c r="F72" s="79">
        <f t="shared" si="351"/>
        <v>5.2100178090117071E-2</v>
      </c>
      <c r="G72" s="79">
        <f t="shared" si="351"/>
        <v>0.11778346915025271</v>
      </c>
      <c r="H72" s="79">
        <f t="shared" si="351"/>
        <v>6.8743378206834738E-2</v>
      </c>
      <c r="I72" s="79">
        <f t="shared" si="351"/>
        <v>0.12795733809037169</v>
      </c>
      <c r="J72" s="79">
        <f t="shared" si="351"/>
        <v>0.11322592904100896</v>
      </c>
      <c r="K72" s="79">
        <f t="shared" si="351"/>
        <v>8.7884222012823268E-2</v>
      </c>
      <c r="L72" s="79">
        <f t="shared" si="351"/>
        <v>0.13561064713088183</v>
      </c>
      <c r="M72" s="79">
        <f t="shared" si="351"/>
        <v>0.11827203753478058</v>
      </c>
      <c r="N72" s="79">
        <f t="shared" si="351"/>
        <v>4.4729966060910675E-2</v>
      </c>
      <c r="O72" s="79">
        <f t="shared" si="351"/>
        <v>0.32202478167463294</v>
      </c>
      <c r="P72" s="79">
        <f t="shared" si="351"/>
        <v>5.7880392370391776E-2</v>
      </c>
      <c r="Q72" s="79">
        <f t="shared" si="351"/>
        <v>0.34905927231282335</v>
      </c>
      <c r="R72" s="79">
        <f t="shared" si="351"/>
        <v>9.5775844376168331E-2</v>
      </c>
      <c r="S72" s="79">
        <f t="shared" si="351"/>
        <v>0.12272283454834088</v>
      </c>
      <c r="T72" s="79">
        <f t="shared" si="351"/>
        <v>0.10629544100466813</v>
      </c>
      <c r="U72" s="21"/>
      <c r="V72" s="79">
        <f t="shared" ref="V72:CG72" si="352">_xlfn.STDEV.S(V66:V70)</f>
        <v>3.2973579178714463E-2</v>
      </c>
      <c r="W72" s="79">
        <f t="shared" si="352"/>
        <v>3.5418880287163404E-2</v>
      </c>
      <c r="X72" s="79">
        <f t="shared" si="352"/>
        <v>6.2059211834860933E-2</v>
      </c>
      <c r="Y72" s="79">
        <f t="shared" si="352"/>
        <v>7.6987423738079055E-2</v>
      </c>
      <c r="Z72" s="79">
        <f t="shared" si="352"/>
        <v>7.3693821115205851E-2</v>
      </c>
      <c r="AA72" s="79">
        <f t="shared" si="352"/>
        <v>3.2008934682018417E-2</v>
      </c>
      <c r="AB72" s="79">
        <f t="shared" si="352"/>
        <v>3.2168223483900499E-2</v>
      </c>
      <c r="AC72" s="79">
        <f t="shared" si="352"/>
        <v>4.6712090612810911E-2</v>
      </c>
      <c r="AD72" s="79">
        <f t="shared" si="352"/>
        <v>8.714788732337396E-2</v>
      </c>
      <c r="AE72" s="79">
        <f t="shared" si="352"/>
        <v>8.500282524023664E-2</v>
      </c>
      <c r="AF72" s="79">
        <f t="shared" si="352"/>
        <v>1.9520437319103568E-2</v>
      </c>
      <c r="AG72" s="79">
        <f t="shared" si="352"/>
        <v>9.466616625523247E-2</v>
      </c>
      <c r="AH72" s="79">
        <f t="shared" si="352"/>
        <v>5.4382111450695339E-2</v>
      </c>
      <c r="AI72" s="79">
        <f t="shared" si="352"/>
        <v>0.10771410469507275</v>
      </c>
      <c r="AJ72" s="79">
        <f t="shared" si="352"/>
        <v>8.2050254154060004E-2</v>
      </c>
      <c r="AK72" s="79">
        <f t="shared" si="352"/>
        <v>6.7887241874540039E-2</v>
      </c>
      <c r="AL72" s="79">
        <f t="shared" si="352"/>
        <v>8.158929360098903E-2</v>
      </c>
      <c r="AM72" s="79">
        <f t="shared" si="352"/>
        <v>0.10002984277272674</v>
      </c>
      <c r="AN72" s="79">
        <f t="shared" si="352"/>
        <v>0.10168191758774682</v>
      </c>
      <c r="AO72" s="79">
        <f t="shared" si="352"/>
        <v>0.12595461191527588</v>
      </c>
      <c r="AP72" s="79">
        <f t="shared" si="352"/>
        <v>3.318725589786712E-2</v>
      </c>
      <c r="AQ72" s="79">
        <f t="shared" si="352"/>
        <v>2.1430469115566331E-2</v>
      </c>
      <c r="AR72" s="79">
        <f t="shared" si="352"/>
        <v>3.5308055690459562E-2</v>
      </c>
      <c r="AS72" s="79">
        <f t="shared" si="352"/>
        <v>5.0350018891073677E-2</v>
      </c>
      <c r="AT72" s="79">
        <f t="shared" si="352"/>
        <v>7.5000078561108602E-2</v>
      </c>
      <c r="AU72" s="21"/>
      <c r="AV72" s="79">
        <f t="shared" si="352"/>
        <v>0.15611680901631722</v>
      </c>
      <c r="AW72" s="79">
        <f t="shared" si="352"/>
        <v>0.37183301251139333</v>
      </c>
      <c r="AX72" s="79">
        <f t="shared" si="352"/>
        <v>6.1577244198732603E-2</v>
      </c>
      <c r="AY72" s="79">
        <f t="shared" si="352"/>
        <v>0.19785237288869753</v>
      </c>
      <c r="AZ72" s="79">
        <f t="shared" si="352"/>
        <v>0.35073386864432515</v>
      </c>
      <c r="BA72" s="79">
        <f t="shared" si="352"/>
        <v>7.928595836705192E-2</v>
      </c>
      <c r="BB72" s="79">
        <f t="shared" si="352"/>
        <v>0.1108745166505615</v>
      </c>
      <c r="BC72" s="79">
        <f t="shared" si="352"/>
        <v>9.0615533445991131E-2</v>
      </c>
      <c r="BD72" s="79">
        <f t="shared" si="352"/>
        <v>8.4442222657646948E-2</v>
      </c>
      <c r="BE72" s="79">
        <f t="shared" si="352"/>
        <v>0.36177231711210456</v>
      </c>
      <c r="BF72" s="79">
        <f t="shared" si="352"/>
        <v>9.1860260523894635E-2</v>
      </c>
      <c r="BG72" s="79">
        <f t="shared" si="352"/>
        <v>0.10095425642229075</v>
      </c>
      <c r="BH72" s="79">
        <f t="shared" si="352"/>
        <v>5.8795726951940373E-2</v>
      </c>
      <c r="BI72" s="79">
        <f t="shared" si="352"/>
        <v>0.14645036363807376</v>
      </c>
      <c r="BJ72" s="79">
        <f t="shared" si="352"/>
        <v>0.14101828245654985</v>
      </c>
      <c r="BK72" s="79">
        <f t="shared" si="352"/>
        <v>0.11669918286445423</v>
      </c>
      <c r="BL72" s="79">
        <f t="shared" si="352"/>
        <v>9.3741081924249889E-2</v>
      </c>
      <c r="BM72" s="79">
        <f t="shared" si="352"/>
        <v>3.7982091613533983E-2</v>
      </c>
      <c r="BN72" s="79">
        <f t="shared" si="352"/>
        <v>4.0842338981421103E-2</v>
      </c>
      <c r="BO72" s="79">
        <f t="shared" si="352"/>
        <v>0.39243213819908879</v>
      </c>
      <c r="BP72" s="79">
        <f t="shared" si="352"/>
        <v>0.10381273071540439</v>
      </c>
      <c r="BQ72" s="79">
        <f t="shared" si="352"/>
        <v>0.15216025719158255</v>
      </c>
      <c r="BR72" s="79">
        <f t="shared" si="352"/>
        <v>0.11954318107858623</v>
      </c>
      <c r="BS72" s="79">
        <f t="shared" si="352"/>
        <v>9.9748968877427124E-2</v>
      </c>
      <c r="BT72" s="79">
        <f t="shared" si="352"/>
        <v>3.404031307770581E-2</v>
      </c>
      <c r="BU72" s="79">
        <f t="shared" si="352"/>
        <v>5.7434509293097818E-2</v>
      </c>
      <c r="BV72" s="79">
        <f t="shared" si="352"/>
        <v>0.1065083910340632</v>
      </c>
      <c r="BW72" s="79">
        <f t="shared" si="352"/>
        <v>0.1579062137308862</v>
      </c>
      <c r="BX72" s="79">
        <f t="shared" si="352"/>
        <v>0.11182995859595594</v>
      </c>
      <c r="BY72" s="79">
        <f t="shared" si="352"/>
        <v>0.12762647353840706</v>
      </c>
      <c r="BZ72" s="79">
        <f t="shared" si="352"/>
        <v>8.674260510656398E-2</v>
      </c>
      <c r="CA72" s="79">
        <f t="shared" si="352"/>
        <v>7.7709071231901905E-2</v>
      </c>
      <c r="CB72" s="79">
        <f t="shared" si="352"/>
        <v>5.6852307995292679E-2</v>
      </c>
      <c r="CC72" s="79">
        <f t="shared" si="352"/>
        <v>0.11991009422023026</v>
      </c>
      <c r="CD72" s="79">
        <f t="shared" si="352"/>
        <v>9.393732428369303E-2</v>
      </c>
      <c r="CE72" s="79">
        <f t="shared" si="352"/>
        <v>4.1495968861356321E-2</v>
      </c>
      <c r="CF72" s="79">
        <f t="shared" si="352"/>
        <v>9.4358267794955444E-2</v>
      </c>
      <c r="CG72" s="79">
        <f t="shared" si="352"/>
        <v>0.15150385306109515</v>
      </c>
      <c r="CH72" s="79">
        <f t="shared" ref="CH72:ES72" si="353">_xlfn.STDEV.S(CH66:CH70)</f>
        <v>0.19534424694298838</v>
      </c>
      <c r="CI72" s="79">
        <f t="shared" si="353"/>
        <v>0.38625433268716669</v>
      </c>
      <c r="CJ72" s="79">
        <f t="shared" si="353"/>
        <v>0</v>
      </c>
      <c r="CK72" s="79">
        <f t="shared" si="353"/>
        <v>0.41041126057029187</v>
      </c>
      <c r="CL72" s="79">
        <f t="shared" si="353"/>
        <v>0.2710791883589595</v>
      </c>
      <c r="CM72" s="79">
        <f t="shared" si="353"/>
        <v>7.5252748924190038E-2</v>
      </c>
      <c r="CN72" s="79">
        <f t="shared" si="353"/>
        <v>0.39187144632146448</v>
      </c>
      <c r="CO72" s="79">
        <f t="shared" si="353"/>
        <v>0.30739155827509479</v>
      </c>
      <c r="CP72" s="21"/>
      <c r="CQ72" s="79">
        <f t="shared" si="353"/>
        <v>0</v>
      </c>
      <c r="CR72" s="79">
        <f t="shared" si="353"/>
        <v>0</v>
      </c>
      <c r="CS72" s="79">
        <f t="shared" si="353"/>
        <v>0.39914761135628968</v>
      </c>
      <c r="CT72" s="79">
        <f t="shared" si="353"/>
        <v>0.39136425159374472</v>
      </c>
      <c r="CU72" s="79">
        <f t="shared" si="353"/>
        <v>0.37529712220127959</v>
      </c>
      <c r="CV72" s="79">
        <f t="shared" si="353"/>
        <v>0.27101474547999854</v>
      </c>
      <c r="CW72" s="79">
        <f t="shared" si="353"/>
        <v>0.1818361992600675</v>
      </c>
      <c r="CX72" s="79">
        <f t="shared" si="353"/>
        <v>0.16185889788503866</v>
      </c>
      <c r="CY72" s="79">
        <f t="shared" si="353"/>
        <v>0.37057250278248444</v>
      </c>
      <c r="CZ72" s="79">
        <f t="shared" si="353"/>
        <v>0.11280323155223071</v>
      </c>
      <c r="DA72" s="79">
        <f t="shared" si="353"/>
        <v>0.49015993313263512</v>
      </c>
      <c r="DB72" s="79">
        <f t="shared" si="353"/>
        <v>0.18070301993809729</v>
      </c>
      <c r="DC72" s="79">
        <f t="shared" si="353"/>
        <v>0</v>
      </c>
      <c r="DD72" s="79">
        <f t="shared" si="353"/>
        <v>0.50092678514262856</v>
      </c>
      <c r="DE72" s="79">
        <f t="shared" si="353"/>
        <v>0.18130617307255531</v>
      </c>
      <c r="DF72" s="79">
        <f t="shared" si="353"/>
        <v>0.10066840146976766</v>
      </c>
      <c r="DG72" s="79">
        <f t="shared" si="353"/>
        <v>0.5371173267025694</v>
      </c>
      <c r="DH72" s="79">
        <f t="shared" si="353"/>
        <v>0</v>
      </c>
      <c r="DI72" s="79">
        <f t="shared" si="353"/>
        <v>0</v>
      </c>
      <c r="DJ72" s="79">
        <f t="shared" si="353"/>
        <v>0.40537556260809443</v>
      </c>
      <c r="DK72" s="79">
        <f t="shared" si="353"/>
        <v>0.41786786117697544</v>
      </c>
      <c r="DL72" s="79">
        <f t="shared" si="353"/>
        <v>0.40881387142453979</v>
      </c>
      <c r="DM72" s="79">
        <f t="shared" si="353"/>
        <v>7.063783072682657E-2</v>
      </c>
      <c r="DN72" s="79">
        <f t="shared" si="353"/>
        <v>0.53759570112587585</v>
      </c>
      <c r="DO72" s="79">
        <f t="shared" si="353"/>
        <v>0.23395156955272314</v>
      </c>
      <c r="DP72" s="79">
        <f t="shared" si="353"/>
        <v>0.11888527097204511</v>
      </c>
      <c r="DQ72" s="79">
        <f t="shared" si="353"/>
        <v>0.55073638907940137</v>
      </c>
      <c r="DR72" s="79">
        <f t="shared" si="353"/>
        <v>0.15601264902254569</v>
      </c>
      <c r="DS72" s="79">
        <f t="shared" si="353"/>
        <v>0.40374844147537237</v>
      </c>
      <c r="DT72" s="79">
        <f t="shared" si="353"/>
        <v>0.37537127755352528</v>
      </c>
      <c r="DU72" s="79">
        <f t="shared" si="353"/>
        <v>0.45036897794700609</v>
      </c>
      <c r="DV72" s="79">
        <f t="shared" si="353"/>
        <v>0.39905508347260649</v>
      </c>
      <c r="DW72" s="79">
        <f t="shared" si="353"/>
        <v>0</v>
      </c>
      <c r="DX72" s="79">
        <f t="shared" si="353"/>
        <v>0.43076726121949804</v>
      </c>
      <c r="DY72" s="79">
        <f t="shared" si="353"/>
        <v>0.5557202645400795</v>
      </c>
      <c r="DZ72" s="79">
        <f t="shared" si="353"/>
        <v>0.37633338541187522</v>
      </c>
      <c r="EA72" s="79">
        <f t="shared" si="353"/>
        <v>0.3413406753666095</v>
      </c>
      <c r="EB72" s="79">
        <f t="shared" si="353"/>
        <v>0</v>
      </c>
      <c r="EC72" s="79">
        <f t="shared" si="353"/>
        <v>0.35754962328609563</v>
      </c>
      <c r="ED72" s="79">
        <f t="shared" si="353"/>
        <v>0.5410277361438659</v>
      </c>
      <c r="EE72" s="79">
        <f t="shared" si="353"/>
        <v>0.15467452586017938</v>
      </c>
      <c r="EF72" s="79">
        <f t="shared" si="353"/>
        <v>0.4732971668949727</v>
      </c>
      <c r="EG72" s="79">
        <f t="shared" si="353"/>
        <v>0.51161578796321183</v>
      </c>
      <c r="EH72" s="79">
        <f t="shared" si="353"/>
        <v>0.45130269433659737</v>
      </c>
      <c r="EI72" s="79">
        <f t="shared" si="353"/>
        <v>0.45876247145091076</v>
      </c>
      <c r="EJ72" s="79">
        <f t="shared" si="353"/>
        <v>0.3806634707305081</v>
      </c>
      <c r="EK72" s="79">
        <f t="shared" si="353"/>
        <v>0</v>
      </c>
      <c r="EL72" s="79">
        <f t="shared" si="353"/>
        <v>0.4773892980715897</v>
      </c>
      <c r="EM72" s="79">
        <f t="shared" si="353"/>
        <v>0.37607791131274115</v>
      </c>
      <c r="EN72" s="79">
        <f t="shared" si="353"/>
        <v>0</v>
      </c>
      <c r="EO72" s="79">
        <f t="shared" si="353"/>
        <v>0.50923905783919532</v>
      </c>
      <c r="EP72" s="21"/>
      <c r="EQ72" s="79">
        <f t="shared" si="353"/>
        <v>0.79468843906914066</v>
      </c>
      <c r="ER72" s="79">
        <f t="shared" si="353"/>
        <v>0.28977698785148076</v>
      </c>
      <c r="ES72" s="79">
        <f t="shared" si="353"/>
        <v>0.87947732555302971</v>
      </c>
      <c r="ET72" s="79">
        <f t="shared" ref="ET72:FI72" si="354">_xlfn.STDEV.S(ET66:ET70)</f>
        <v>0.5427142492381789</v>
      </c>
      <c r="EU72" s="79">
        <f t="shared" si="354"/>
        <v>0.53566389050958474</v>
      </c>
      <c r="EV72" s="79">
        <f t="shared" si="354"/>
        <v>0.58047096837517986</v>
      </c>
      <c r="EW72" s="79">
        <f t="shared" si="354"/>
        <v>0</v>
      </c>
      <c r="EX72" s="79">
        <f t="shared" si="354"/>
        <v>0.78166238739949612</v>
      </c>
      <c r="EY72" s="79">
        <f t="shared" si="354"/>
        <v>0.84086758952517804</v>
      </c>
      <c r="EZ72" s="79">
        <f t="shared" si="354"/>
        <v>0.84595743269072077</v>
      </c>
      <c r="FA72" s="79">
        <f t="shared" si="354"/>
        <v>0</v>
      </c>
      <c r="FB72" s="79">
        <f t="shared" si="354"/>
        <v>0.73582735713328196</v>
      </c>
      <c r="FC72" s="79">
        <f t="shared" si="354"/>
        <v>0</v>
      </c>
      <c r="FD72" s="79">
        <f t="shared" si="354"/>
        <v>0.66971933445789944</v>
      </c>
      <c r="FE72" s="79">
        <f t="shared" si="354"/>
        <v>0.30702829535630116</v>
      </c>
      <c r="FF72" s="79">
        <f t="shared" si="354"/>
        <v>0.63616976948700532</v>
      </c>
      <c r="FG72" s="79">
        <f t="shared" si="354"/>
        <v>0.72812490175117695</v>
      </c>
      <c r="FH72" s="79">
        <f t="shared" si="354"/>
        <v>0</v>
      </c>
      <c r="FI72" s="79">
        <f t="shared" si="354"/>
        <v>0.57736527948298155</v>
      </c>
      <c r="FJ72" s="79"/>
    </row>
    <row r="73" spans="1:166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7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  <c r="CB73" s="73"/>
      <c r="CC73" s="73"/>
      <c r="CD73" s="73"/>
      <c r="CE73" s="73"/>
      <c r="CF73" s="73"/>
      <c r="CG73" s="73"/>
      <c r="CH73" s="73"/>
      <c r="CI73" s="73"/>
      <c r="CJ73" s="73"/>
      <c r="CK73" s="73"/>
      <c r="CL73" s="73"/>
      <c r="CM73" s="73"/>
      <c r="CN73" s="73"/>
      <c r="CO73" s="73"/>
      <c r="CQ73" s="73"/>
      <c r="CR73" s="73"/>
      <c r="CS73" s="73"/>
      <c r="CT73" s="73"/>
      <c r="CU73" s="73"/>
      <c r="CV73" s="73"/>
      <c r="CW73" s="73"/>
      <c r="CX73" s="73"/>
      <c r="CY73" s="73"/>
      <c r="CZ73" s="73"/>
      <c r="DA73" s="73"/>
      <c r="DB73" s="73"/>
      <c r="DC73" s="73"/>
      <c r="DD73" s="73"/>
      <c r="DE73" s="73"/>
      <c r="DF73" s="73"/>
      <c r="DG73" s="73"/>
      <c r="DH73" s="73"/>
      <c r="DI73" s="73"/>
      <c r="DJ73" s="73"/>
      <c r="DK73" s="73"/>
      <c r="DL73" s="73"/>
      <c r="DM73" s="73"/>
      <c r="DN73" s="73"/>
      <c r="DO73" s="73"/>
      <c r="DP73" s="73"/>
      <c r="DQ73" s="73"/>
      <c r="DR73" s="73"/>
      <c r="DS73" s="73"/>
      <c r="DT73" s="73"/>
      <c r="DU73" s="73"/>
      <c r="DV73" s="73"/>
      <c r="DW73" s="73"/>
      <c r="DX73" s="73"/>
      <c r="DY73" s="73"/>
      <c r="DZ73" s="73"/>
      <c r="EA73" s="73"/>
      <c r="EB73" s="73"/>
      <c r="EC73" s="73"/>
      <c r="ED73" s="73"/>
      <c r="EE73" s="73"/>
      <c r="EF73" s="73"/>
      <c r="EG73" s="73"/>
      <c r="EH73" s="73"/>
      <c r="EI73" s="73"/>
      <c r="EJ73" s="73"/>
      <c r="EK73" s="73"/>
      <c r="EL73" s="73"/>
      <c r="EM73" s="73"/>
      <c r="EN73" s="73"/>
      <c r="EO73" s="73"/>
      <c r="EQ73" s="73"/>
      <c r="ER73" s="73"/>
      <c r="ES73" s="73"/>
      <c r="ET73" s="73"/>
      <c r="EU73" s="73"/>
      <c r="EV73" s="73"/>
      <c r="EW73" s="73"/>
      <c r="EX73" s="73"/>
      <c r="EY73" s="73"/>
      <c r="EZ73" s="73"/>
      <c r="FA73" s="73"/>
      <c r="FB73" s="73"/>
      <c r="FC73" s="73"/>
      <c r="FD73" s="73"/>
      <c r="FE73" s="73"/>
      <c r="FF73" s="73"/>
      <c r="FG73" s="73"/>
      <c r="FH73" s="73"/>
      <c r="FI73" s="73"/>
      <c r="FJ73" s="73"/>
    </row>
    <row r="74" spans="1:166">
      <c r="A74" s="75" t="s">
        <v>174</v>
      </c>
      <c r="B74" s="76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73"/>
      <c r="BZ74" s="73"/>
      <c r="CA74" s="73"/>
      <c r="CB74" s="73"/>
      <c r="CC74" s="73"/>
      <c r="CD74" s="73"/>
      <c r="CE74" s="73"/>
      <c r="CF74" s="73"/>
      <c r="CG74" s="73"/>
      <c r="CH74" s="73"/>
      <c r="CI74" s="73"/>
      <c r="CJ74" s="73"/>
      <c r="CK74" s="73"/>
      <c r="CL74" s="73"/>
      <c r="CM74" s="73"/>
      <c r="CN74" s="73"/>
      <c r="CO74" s="73"/>
      <c r="CQ74" s="73"/>
      <c r="CR74" s="73"/>
      <c r="CS74" s="73"/>
      <c r="CT74" s="73"/>
      <c r="CU74" s="73"/>
      <c r="CV74" s="73"/>
      <c r="CW74" s="73"/>
      <c r="CX74" s="73"/>
      <c r="CY74" s="73"/>
      <c r="CZ74" s="73"/>
      <c r="DA74" s="73"/>
      <c r="DB74" s="73"/>
      <c r="DC74" s="73"/>
      <c r="DD74" s="73"/>
      <c r="DE74" s="73"/>
      <c r="DF74" s="73"/>
      <c r="DG74" s="73"/>
      <c r="DH74" s="73"/>
      <c r="DI74" s="73"/>
      <c r="DJ74" s="73"/>
      <c r="DK74" s="73"/>
      <c r="DL74" s="73"/>
      <c r="DM74" s="73"/>
      <c r="DN74" s="73"/>
      <c r="DO74" s="73"/>
      <c r="DP74" s="73"/>
      <c r="DQ74" s="73"/>
      <c r="DR74" s="73"/>
      <c r="DS74" s="73"/>
      <c r="DT74" s="73"/>
      <c r="DU74" s="73"/>
      <c r="DV74" s="73"/>
      <c r="DW74" s="73"/>
      <c r="DX74" s="73"/>
      <c r="DY74" s="73"/>
      <c r="DZ74" s="73"/>
      <c r="EA74" s="73"/>
      <c r="EB74" s="73"/>
      <c r="EC74" s="73"/>
      <c r="ED74" s="73"/>
      <c r="EE74" s="73"/>
      <c r="EF74" s="73"/>
      <c r="EG74" s="73"/>
      <c r="EH74" s="73"/>
      <c r="EI74" s="73"/>
      <c r="EJ74" s="73"/>
      <c r="EK74" s="73"/>
      <c r="EL74" s="73"/>
      <c r="EM74" s="73"/>
      <c r="EN74" s="73"/>
      <c r="EO74" s="73"/>
      <c r="EQ74" s="73"/>
      <c r="ER74" s="73"/>
      <c r="ES74" s="73"/>
      <c r="ET74" s="73"/>
      <c r="EU74" s="73"/>
      <c r="EV74" s="73"/>
      <c r="EW74" s="73"/>
      <c r="EX74" s="73"/>
      <c r="EY74" s="73"/>
      <c r="EZ74" s="73"/>
      <c r="FA74" s="73"/>
      <c r="FB74" s="73"/>
      <c r="FC74" s="73"/>
      <c r="FD74" s="73"/>
      <c r="FE74" s="73"/>
      <c r="FF74" s="73"/>
      <c r="FG74" s="73"/>
      <c r="FH74" s="73"/>
      <c r="FI74" s="73"/>
      <c r="FJ74" s="73"/>
    </row>
    <row r="75" spans="1:166">
      <c r="A75" s="71" t="s">
        <v>226</v>
      </c>
      <c r="B75" s="96" t="s">
        <v>163</v>
      </c>
      <c r="C75" s="99">
        <f t="shared" ref="C75:T75" si="355">C47/$U47</f>
        <v>1.2653392148712295</v>
      </c>
      <c r="D75" s="99">
        <f t="shared" si="355"/>
        <v>0.86465260966342961</v>
      </c>
      <c r="E75" s="99">
        <f t="shared" si="355"/>
        <v>1.6170376989288464</v>
      </c>
      <c r="F75" s="99">
        <f t="shared" si="355"/>
        <v>1.4862253756374539</v>
      </c>
      <c r="G75" s="99">
        <f t="shared" si="355"/>
        <v>1.0389426371814656</v>
      </c>
      <c r="H75" s="99">
        <f t="shared" si="355"/>
        <v>0.87272976141071446</v>
      </c>
      <c r="I75" s="99">
        <f t="shared" si="355"/>
        <v>1.0658111692668761</v>
      </c>
      <c r="J75" s="99">
        <f t="shared" si="355"/>
        <v>1.7206133917884465</v>
      </c>
      <c r="K75" s="99">
        <f t="shared" si="355"/>
        <v>1.5708267751445462</v>
      </c>
      <c r="L75" s="99">
        <f t="shared" si="355"/>
        <v>0.96850244143483932</v>
      </c>
      <c r="M75" s="99">
        <f t="shared" si="355"/>
        <v>0.97757821350730689</v>
      </c>
      <c r="N75" s="99">
        <f t="shared" si="355"/>
        <v>0.9912670602977719</v>
      </c>
      <c r="O75" s="99">
        <f t="shared" si="355"/>
        <v>0.68614141189952782</v>
      </c>
      <c r="P75" s="99">
        <f t="shared" si="355"/>
        <v>0.69206877513867804</v>
      </c>
      <c r="Q75" s="99">
        <f t="shared" si="355"/>
        <v>0.7810508243676203</v>
      </c>
      <c r="R75" s="99">
        <f t="shared" si="355"/>
        <v>0.75110549087831646</v>
      </c>
      <c r="S75" s="99">
        <f t="shared" si="355"/>
        <v>1.008732939702228</v>
      </c>
      <c r="T75" s="99">
        <f t="shared" si="355"/>
        <v>1.179378646003866</v>
      </c>
      <c r="U75" s="100"/>
      <c r="V75" s="99">
        <f t="shared" ref="V75:AT75" si="356">V47/$AU47</f>
        <v>1.4477902378590495</v>
      </c>
      <c r="W75" s="99">
        <f t="shared" si="356"/>
        <v>1.4982716410716554</v>
      </c>
      <c r="X75" s="99">
        <f t="shared" si="356"/>
        <v>1.5238249153343006</v>
      </c>
      <c r="Y75" s="99">
        <f t="shared" si="356"/>
        <v>0.56251797704895445</v>
      </c>
      <c r="Z75" s="185">
        <f t="shared" si="356"/>
        <v>0.87876864965321566</v>
      </c>
      <c r="AA75" s="99">
        <f t="shared" si="356"/>
        <v>1.6351377067149286</v>
      </c>
      <c r="AB75" s="99">
        <f t="shared" si="356"/>
        <v>1.2756710158773952</v>
      </c>
      <c r="AC75" s="99">
        <f t="shared" si="356"/>
        <v>1.5731006505758836</v>
      </c>
      <c r="AD75" s="99">
        <f t="shared" si="356"/>
        <v>1.0305385412693682</v>
      </c>
      <c r="AE75" s="99">
        <f t="shared" si="356"/>
        <v>1.3383438628594908</v>
      </c>
      <c r="AF75" s="99">
        <f t="shared" si="356"/>
        <v>1.3525878752141831</v>
      </c>
      <c r="AG75" s="99">
        <f t="shared" si="356"/>
        <v>1</v>
      </c>
      <c r="AH75" s="99">
        <f t="shared" si="356"/>
        <v>1.0868481772623915</v>
      </c>
      <c r="AI75" s="99">
        <f t="shared" si="356"/>
        <v>0.78192739615770068</v>
      </c>
      <c r="AJ75" s="185">
        <f t="shared" si="356"/>
        <v>0.82035803737828283</v>
      </c>
      <c r="AK75" s="99">
        <f t="shared" si="356"/>
        <v>0.78669174324080637</v>
      </c>
      <c r="AL75" s="99">
        <f t="shared" si="356"/>
        <v>0.45062612718334155</v>
      </c>
      <c r="AM75" s="99">
        <f t="shared" si="356"/>
        <v>0.84817993499385402</v>
      </c>
      <c r="AN75" s="99">
        <f t="shared" si="356"/>
        <v>0.81162147961164144</v>
      </c>
      <c r="AO75" s="99">
        <f t="shared" si="356"/>
        <v>0.45137011182938369</v>
      </c>
      <c r="AP75" s="99">
        <f t="shared" si="356"/>
        <v>0.92789782251260211</v>
      </c>
      <c r="AQ75" s="99">
        <f t="shared" si="356"/>
        <v>0.93182853924905296</v>
      </c>
      <c r="AR75" s="99">
        <f t="shared" si="356"/>
        <v>1.0564816667548931</v>
      </c>
      <c r="AS75" s="99">
        <f t="shared" si="356"/>
        <v>1.3069555328359455</v>
      </c>
      <c r="AT75" s="99">
        <f t="shared" si="356"/>
        <v>0.57052528350494114</v>
      </c>
      <c r="AU75" s="100"/>
      <c r="AV75" s="99">
        <f t="shared" ref="AV75:CF75" si="357">AV47/$CP47</f>
        <v>0</v>
      </c>
      <c r="AW75" s="99">
        <f t="shared" si="357"/>
        <v>1.1560103369470163</v>
      </c>
      <c r="AX75" s="99">
        <f t="shared" si="357"/>
        <v>1.0071230074604909</v>
      </c>
      <c r="AY75" s="99">
        <f t="shared" si="357"/>
        <v>0</v>
      </c>
      <c r="AZ75" s="99">
        <f t="shared" si="357"/>
        <v>0.74094253317398739</v>
      </c>
      <c r="BA75" s="99">
        <f t="shared" si="357"/>
        <v>0</v>
      </c>
      <c r="BB75" s="99">
        <f t="shared" si="357"/>
        <v>1.3843390777432969</v>
      </c>
      <c r="BC75" s="99">
        <f t="shared" si="357"/>
        <v>1.1310861318682468</v>
      </c>
      <c r="BD75" s="99">
        <f t="shared" si="357"/>
        <v>0</v>
      </c>
      <c r="BE75" s="99">
        <f t="shared" si="357"/>
        <v>0</v>
      </c>
      <c r="BF75" s="99">
        <f t="shared" si="357"/>
        <v>1.4967231827713054</v>
      </c>
      <c r="BG75" s="99">
        <f t="shared" si="357"/>
        <v>1.1656849770189883</v>
      </c>
      <c r="BH75" s="99">
        <f t="shared" si="357"/>
        <v>1.0238828637155937</v>
      </c>
      <c r="BI75" s="99">
        <f t="shared" si="357"/>
        <v>1.0789371435580442</v>
      </c>
      <c r="BJ75" s="99">
        <f t="shared" si="357"/>
        <v>2.1029060165550821</v>
      </c>
      <c r="BK75" s="99">
        <f t="shared" si="357"/>
        <v>1.6036458293326943</v>
      </c>
      <c r="BL75" s="99">
        <f t="shared" si="357"/>
        <v>0.99287699253950934</v>
      </c>
      <c r="BM75" s="99">
        <f t="shared" si="357"/>
        <v>1.2716191753414698</v>
      </c>
      <c r="BN75" s="99">
        <f t="shared" si="357"/>
        <v>0.91282846931240447</v>
      </c>
      <c r="BO75" s="99">
        <f t="shared" si="357"/>
        <v>1.4200271779937612</v>
      </c>
      <c r="BP75" s="99">
        <f t="shared" si="357"/>
        <v>0</v>
      </c>
      <c r="BQ75" s="99">
        <f t="shared" si="357"/>
        <v>2.2347628611622952</v>
      </c>
      <c r="BR75" s="99">
        <f t="shared" si="357"/>
        <v>0</v>
      </c>
      <c r="BS75" s="99">
        <f t="shared" si="357"/>
        <v>0</v>
      </c>
      <c r="BT75" s="99">
        <f t="shared" si="357"/>
        <v>0</v>
      </c>
      <c r="BU75" s="99">
        <f t="shared" si="357"/>
        <v>0</v>
      </c>
      <c r="BV75" s="99">
        <f t="shared" si="357"/>
        <v>1.5772808226718007</v>
      </c>
      <c r="BW75" s="99">
        <f t="shared" si="357"/>
        <v>1.2806616624802007</v>
      </c>
      <c r="BX75" s="99">
        <f t="shared" si="357"/>
        <v>1.4543203933938929</v>
      </c>
      <c r="BY75" s="99">
        <f t="shared" si="357"/>
        <v>1.7789435159034002</v>
      </c>
      <c r="BZ75" s="99">
        <f t="shared" si="357"/>
        <v>0.97119567494839665</v>
      </c>
      <c r="CA75" s="99">
        <f t="shared" si="357"/>
        <v>0.97371804020212638</v>
      </c>
      <c r="CB75" s="99">
        <f t="shared" si="357"/>
        <v>0.81940566540017534</v>
      </c>
      <c r="CC75" s="99">
        <f t="shared" si="357"/>
        <v>0</v>
      </c>
      <c r="CD75" s="99">
        <f t="shared" si="357"/>
        <v>1.4304571951890945</v>
      </c>
      <c r="CE75" s="99">
        <f t="shared" si="357"/>
        <v>1.1761784276475857</v>
      </c>
      <c r="CF75" s="103">
        <f t="shared" si="357"/>
        <v>1.3051653093626177</v>
      </c>
      <c r="CG75" s="99">
        <f t="shared" ref="CG75:CO75" si="358">CG47/$U47</f>
        <v>0.80731017637543845</v>
      </c>
      <c r="CH75" s="99">
        <f t="shared" si="358"/>
        <v>1.0052202304724374</v>
      </c>
      <c r="CI75" s="99">
        <f t="shared" si="358"/>
        <v>0</v>
      </c>
      <c r="CJ75" s="99">
        <f t="shared" si="358"/>
        <v>0</v>
      </c>
      <c r="CK75" s="99">
        <f t="shared" si="358"/>
        <v>0</v>
      </c>
      <c r="CL75" s="99">
        <f t="shared" si="358"/>
        <v>0</v>
      </c>
      <c r="CM75" s="99">
        <f t="shared" si="358"/>
        <v>0</v>
      </c>
      <c r="CN75" s="99">
        <f t="shared" si="358"/>
        <v>0</v>
      </c>
      <c r="CO75" s="99">
        <f t="shared" si="358"/>
        <v>0.75200642032234377</v>
      </c>
      <c r="CP75" s="99"/>
      <c r="CQ75" s="99">
        <f t="shared" ref="CQ75:CX80" si="359">CQ47/$U47</f>
        <v>0</v>
      </c>
      <c r="CR75" s="99">
        <f t="shared" si="359"/>
        <v>0</v>
      </c>
      <c r="CS75" s="99">
        <f t="shared" si="359"/>
        <v>0</v>
      </c>
      <c r="CT75" s="99">
        <f t="shared" si="359"/>
        <v>0.52753671732034058</v>
      </c>
      <c r="CU75" s="99">
        <f t="shared" si="359"/>
        <v>0</v>
      </c>
      <c r="CV75" s="99">
        <f t="shared" si="359"/>
        <v>0</v>
      </c>
      <c r="CW75" s="99">
        <f t="shared" si="359"/>
        <v>0</v>
      </c>
      <c r="CX75" s="99">
        <f t="shared" si="359"/>
        <v>0.74463295398791574</v>
      </c>
      <c r="CY75" s="100">
        <v>0</v>
      </c>
      <c r="CZ75" s="99">
        <f t="shared" ref="CZ75:DX75" si="360">CZ47/$AU47</f>
        <v>0</v>
      </c>
      <c r="DA75" s="99">
        <f t="shared" si="360"/>
        <v>0.42177471587588433</v>
      </c>
      <c r="DB75" s="99">
        <f t="shared" si="360"/>
        <v>0.63483627816781685</v>
      </c>
      <c r="DC75" s="99">
        <f t="shared" si="360"/>
        <v>0.37302341590836458</v>
      </c>
      <c r="DD75" s="99">
        <f t="shared" si="360"/>
        <v>0.51081960569976892</v>
      </c>
      <c r="DE75" s="99">
        <f t="shared" si="360"/>
        <v>0.70779037526061661</v>
      </c>
      <c r="DF75" s="99">
        <f t="shared" si="360"/>
        <v>0.71683172917088878</v>
      </c>
      <c r="DG75" s="99">
        <f t="shared" si="360"/>
        <v>0</v>
      </c>
      <c r="DH75" s="99">
        <f t="shared" si="360"/>
        <v>0</v>
      </c>
      <c r="DI75" s="99">
        <f t="shared" si="360"/>
        <v>0</v>
      </c>
      <c r="DJ75" s="99">
        <f t="shared" si="360"/>
        <v>0.36994865081207434</v>
      </c>
      <c r="DK75" s="99">
        <f t="shared" si="360"/>
        <v>0.50399483825604685</v>
      </c>
      <c r="DL75" s="99">
        <f t="shared" si="360"/>
        <v>0.59867453146758443</v>
      </c>
      <c r="DM75" s="99">
        <f t="shared" si="360"/>
        <v>0.51004406421753934</v>
      </c>
      <c r="DN75" s="99">
        <f t="shared" si="360"/>
        <v>0.43300070242409966</v>
      </c>
      <c r="DO75" s="99">
        <f t="shared" si="360"/>
        <v>0.69754182751895977</v>
      </c>
      <c r="DP75" s="99">
        <f t="shared" si="360"/>
        <v>0.7400246254339069</v>
      </c>
      <c r="DQ75" s="99">
        <f t="shared" si="360"/>
        <v>0.67230984261051419</v>
      </c>
      <c r="DR75" s="99">
        <f t="shared" si="360"/>
        <v>0.52168573866682577</v>
      </c>
      <c r="DS75" s="99">
        <f t="shared" si="360"/>
        <v>0</v>
      </c>
      <c r="DT75" s="99">
        <f t="shared" si="360"/>
        <v>0</v>
      </c>
      <c r="DU75" s="99">
        <f t="shared" si="360"/>
        <v>0</v>
      </c>
      <c r="DV75" s="99">
        <f t="shared" si="360"/>
        <v>0</v>
      </c>
      <c r="DW75" s="99">
        <f t="shared" si="360"/>
        <v>0</v>
      </c>
      <c r="DX75" s="99">
        <f t="shared" si="360"/>
        <v>0.40023855869432234</v>
      </c>
      <c r="DY75" s="100">
        <v>0</v>
      </c>
      <c r="DZ75" s="99">
        <f t="shared" ref="DZ75:EO75" si="361">DZ47/$CP47</f>
        <v>0.78952988140799352</v>
      </c>
      <c r="EA75" s="99">
        <f t="shared" si="361"/>
        <v>0</v>
      </c>
      <c r="EB75" s="99">
        <f t="shared" si="361"/>
        <v>0</v>
      </c>
      <c r="EC75" s="99">
        <f t="shared" si="361"/>
        <v>0</v>
      </c>
      <c r="ED75" s="99">
        <f t="shared" si="361"/>
        <v>1.0083431909044025</v>
      </c>
      <c r="EE75" s="99">
        <f t="shared" si="361"/>
        <v>0.95069596062813377</v>
      </c>
      <c r="EF75" s="99">
        <f t="shared" si="361"/>
        <v>1.2707058961420148</v>
      </c>
      <c r="EG75" s="99">
        <f t="shared" si="361"/>
        <v>0</v>
      </c>
      <c r="EH75" s="99">
        <f t="shared" si="361"/>
        <v>0</v>
      </c>
      <c r="EI75" s="99">
        <f t="shared" si="361"/>
        <v>0.82425033830630212</v>
      </c>
      <c r="EJ75" s="99">
        <f t="shared" si="361"/>
        <v>0</v>
      </c>
      <c r="EK75" s="99">
        <f t="shared" si="361"/>
        <v>0</v>
      </c>
      <c r="EL75" s="99">
        <f t="shared" si="361"/>
        <v>0</v>
      </c>
      <c r="EM75" s="99">
        <f t="shared" si="361"/>
        <v>0</v>
      </c>
      <c r="EN75" s="99">
        <f t="shared" si="361"/>
        <v>0.86198484184660773</v>
      </c>
      <c r="EO75" s="99">
        <f t="shared" si="361"/>
        <v>0.9390084531085523</v>
      </c>
      <c r="EP75" s="99"/>
      <c r="EQ75" s="103">
        <f>EQ47/$FK47</f>
        <v>0</v>
      </c>
      <c r="ER75" s="103">
        <f t="shared" ref="ER75:FI75" si="362">ER47/$FK47</f>
        <v>2.0404424753404959</v>
      </c>
      <c r="ES75" s="103">
        <f t="shared" si="362"/>
        <v>0</v>
      </c>
      <c r="ET75" s="103">
        <f t="shared" si="362"/>
        <v>0</v>
      </c>
      <c r="EU75" s="103">
        <f t="shared" si="362"/>
        <v>0</v>
      </c>
      <c r="EV75" s="103">
        <f t="shared" si="362"/>
        <v>0</v>
      </c>
      <c r="EW75" s="103">
        <f t="shared" si="362"/>
        <v>0</v>
      </c>
      <c r="EX75" s="103">
        <f t="shared" si="362"/>
        <v>1.2059981400493871</v>
      </c>
      <c r="EY75" s="103">
        <f t="shared" si="362"/>
        <v>1.4992770418089554</v>
      </c>
      <c r="EZ75" s="103">
        <f t="shared" si="362"/>
        <v>0</v>
      </c>
      <c r="FA75" s="103">
        <f t="shared" si="362"/>
        <v>0</v>
      </c>
      <c r="FB75" s="103">
        <f t="shared" si="362"/>
        <v>0</v>
      </c>
      <c r="FC75" s="103">
        <f t="shared" si="362"/>
        <v>0</v>
      </c>
      <c r="FD75" s="103">
        <f t="shared" si="362"/>
        <v>0</v>
      </c>
      <c r="FE75" s="103">
        <f t="shared" si="362"/>
        <v>1.6980958095973726</v>
      </c>
      <c r="FF75" s="103">
        <f t="shared" si="362"/>
        <v>0</v>
      </c>
      <c r="FG75" s="103">
        <f t="shared" si="362"/>
        <v>0</v>
      </c>
      <c r="FH75" s="103">
        <f t="shared" si="362"/>
        <v>0</v>
      </c>
      <c r="FI75" s="103">
        <f t="shared" si="362"/>
        <v>0</v>
      </c>
      <c r="FJ75" s="73"/>
    </row>
    <row r="76" spans="1:166">
      <c r="A76" s="71" t="s">
        <v>225</v>
      </c>
      <c r="B76" s="96" t="s">
        <v>163</v>
      </c>
      <c r="C76" s="99">
        <f t="shared" ref="C76:T76" si="363">C48/$U48</f>
        <v>1.0274112285878314</v>
      </c>
      <c r="D76" s="99">
        <f t="shared" si="363"/>
        <v>0.74099840308168685</v>
      </c>
      <c r="E76" s="99">
        <f t="shared" si="363"/>
        <v>1.6750804285676073</v>
      </c>
      <c r="F76" s="99">
        <f t="shared" si="363"/>
        <v>1.453630533954315</v>
      </c>
      <c r="G76" s="99">
        <f t="shared" si="363"/>
        <v>0.7570963927436456</v>
      </c>
      <c r="H76" s="99">
        <f t="shared" si="363"/>
        <v>1.1000037904963225</v>
      </c>
      <c r="I76" s="99">
        <f t="shared" si="363"/>
        <v>1.1979987341435865</v>
      </c>
      <c r="J76" s="99">
        <f t="shared" si="363"/>
        <v>1.8013300630048448</v>
      </c>
      <c r="K76" s="99">
        <f t="shared" si="363"/>
        <v>1.6478821811804127</v>
      </c>
      <c r="L76" s="99">
        <f t="shared" si="363"/>
        <v>1.1277869394858655</v>
      </c>
      <c r="M76" s="99">
        <f t="shared" si="363"/>
        <v>0.90173038865740163</v>
      </c>
      <c r="N76" s="99">
        <f t="shared" si="363"/>
        <v>0.66810905832877532</v>
      </c>
      <c r="O76" s="99">
        <f t="shared" si="363"/>
        <v>0</v>
      </c>
      <c r="P76" s="99">
        <f t="shared" si="363"/>
        <v>0.74850188167043608</v>
      </c>
      <c r="Q76" s="99">
        <f t="shared" si="363"/>
        <v>0</v>
      </c>
      <c r="R76" s="99">
        <f t="shared" si="363"/>
        <v>0.75128321301452239</v>
      </c>
      <c r="S76" s="99">
        <f t="shared" si="363"/>
        <v>0.9725887714121686</v>
      </c>
      <c r="T76" s="99">
        <f t="shared" si="363"/>
        <v>1.0903955992093948</v>
      </c>
      <c r="U76" s="100"/>
      <c r="V76" s="99">
        <f t="shared" ref="V76:AT76" si="364">V48/$AU48</f>
        <v>1.4421634342094818</v>
      </c>
      <c r="W76" s="99">
        <f t="shared" si="364"/>
        <v>1.5052552136701831</v>
      </c>
      <c r="X76" s="99">
        <f t="shared" si="364"/>
        <v>1.5199532005348748</v>
      </c>
      <c r="Y76" s="99">
        <f t="shared" si="364"/>
        <v>0.58718701172856114</v>
      </c>
      <c r="Z76" s="186">
        <f t="shared" si="364"/>
        <v>0.85255734860893151</v>
      </c>
      <c r="AA76" s="99">
        <f t="shared" si="364"/>
        <v>1.6808256771799317</v>
      </c>
      <c r="AB76" s="99">
        <f t="shared" si="364"/>
        <v>1.4157173316154359</v>
      </c>
      <c r="AC76" s="99">
        <f t="shared" si="364"/>
        <v>1.7264012684648049</v>
      </c>
      <c r="AD76" s="99">
        <f t="shared" si="364"/>
        <v>0.98239324726567623</v>
      </c>
      <c r="AE76" s="99">
        <f t="shared" si="364"/>
        <v>1.3367031791423916</v>
      </c>
      <c r="AF76" s="99">
        <f t="shared" si="364"/>
        <v>1.3376494537782635</v>
      </c>
      <c r="AG76" s="99">
        <f t="shared" si="364"/>
        <v>0.91264918947827289</v>
      </c>
      <c r="AH76" s="99">
        <f t="shared" si="364"/>
        <v>1.1049860213914564</v>
      </c>
      <c r="AI76" s="99">
        <f t="shared" si="364"/>
        <v>0.67903563795555144</v>
      </c>
      <c r="AJ76" s="186">
        <f t="shared" si="364"/>
        <v>1</v>
      </c>
      <c r="AK76" s="99">
        <f t="shared" si="364"/>
        <v>0.82419306006912363</v>
      </c>
      <c r="AL76" s="99">
        <f t="shared" si="364"/>
        <v>0.72007348483294475</v>
      </c>
      <c r="AM76" s="99">
        <f t="shared" si="364"/>
        <v>0.7076176678841628</v>
      </c>
      <c r="AN76" s="99">
        <f t="shared" si="364"/>
        <v>0.78641145729275563</v>
      </c>
      <c r="AO76" s="99">
        <f t="shared" si="364"/>
        <v>0.74290644801699135</v>
      </c>
      <c r="AP76" s="99">
        <f t="shared" si="364"/>
        <v>1.0065363969965144</v>
      </c>
      <c r="AQ76" s="99">
        <f t="shared" si="364"/>
        <v>0.97395729617475657</v>
      </c>
      <c r="AR76" s="99">
        <f t="shared" si="364"/>
        <v>1.046533991837594</v>
      </c>
      <c r="AS76" s="99">
        <f t="shared" si="364"/>
        <v>1.2853352501353188</v>
      </c>
      <c r="AT76" s="99">
        <f t="shared" si="364"/>
        <v>0.59934369589273662</v>
      </c>
      <c r="AU76" s="100"/>
      <c r="AV76" s="99">
        <f t="shared" ref="AV76:CF76" si="365">AV48/$CP48</f>
        <v>1.1622498316327843</v>
      </c>
      <c r="AW76" s="99">
        <f t="shared" si="365"/>
        <v>0.98016612158367267</v>
      </c>
      <c r="AX76" s="99">
        <f t="shared" si="365"/>
        <v>0.97842043337960971</v>
      </c>
      <c r="AY76" s="99">
        <f t="shared" si="365"/>
        <v>0.8857000134870312</v>
      </c>
      <c r="AZ76" s="99">
        <f t="shared" si="365"/>
        <v>0</v>
      </c>
      <c r="BA76" s="99">
        <f t="shared" si="365"/>
        <v>0</v>
      </c>
      <c r="BB76" s="99">
        <f t="shared" si="365"/>
        <v>1.604799152183676</v>
      </c>
      <c r="BC76" s="99">
        <f t="shared" si="365"/>
        <v>1.5742699831689688</v>
      </c>
      <c r="BD76" s="99">
        <f t="shared" si="365"/>
        <v>0</v>
      </c>
      <c r="BE76" s="99">
        <f t="shared" si="365"/>
        <v>0</v>
      </c>
      <c r="BF76" s="99">
        <f t="shared" si="365"/>
        <v>0.9791933514687341</v>
      </c>
      <c r="BG76" s="99">
        <f t="shared" si="365"/>
        <v>0</v>
      </c>
      <c r="BH76" s="99">
        <f t="shared" si="365"/>
        <v>1.2045792285388333</v>
      </c>
      <c r="BI76" s="99">
        <f t="shared" si="365"/>
        <v>0</v>
      </c>
      <c r="BJ76" s="99">
        <f t="shared" si="365"/>
        <v>1.8882960227628953</v>
      </c>
      <c r="BK76" s="99">
        <f t="shared" si="365"/>
        <v>1.8855098429460209</v>
      </c>
      <c r="BL76" s="99">
        <f t="shared" si="365"/>
        <v>1.5010549612585624</v>
      </c>
      <c r="BM76" s="99">
        <f t="shared" si="365"/>
        <v>1.1413441040886108</v>
      </c>
      <c r="BN76" s="99">
        <f t="shared" si="365"/>
        <v>0.95699779089350723</v>
      </c>
      <c r="BO76" s="99">
        <f t="shared" si="365"/>
        <v>0</v>
      </c>
      <c r="BP76" s="99">
        <f t="shared" si="365"/>
        <v>1.0198338784163272</v>
      </c>
      <c r="BQ76" s="99">
        <f t="shared" si="365"/>
        <v>0</v>
      </c>
      <c r="BR76" s="99">
        <f t="shared" si="365"/>
        <v>1.0434578781571051</v>
      </c>
      <c r="BS76" s="99">
        <f t="shared" si="365"/>
        <v>0.84090665631606631</v>
      </c>
      <c r="BT76" s="99">
        <f t="shared" si="365"/>
        <v>1.0233457408623081</v>
      </c>
      <c r="BU76" s="99">
        <f t="shared" si="365"/>
        <v>0</v>
      </c>
      <c r="BV76" s="99">
        <f t="shared" si="365"/>
        <v>1.0745677368842081</v>
      </c>
      <c r="BW76" s="99">
        <f t="shared" si="365"/>
        <v>1.3476313874448995</v>
      </c>
      <c r="BX76" s="99">
        <f t="shared" si="365"/>
        <v>1.5858827014657875</v>
      </c>
      <c r="BY76" s="99">
        <f t="shared" si="365"/>
        <v>1.8878941340843576</v>
      </c>
      <c r="BZ76" s="99">
        <f t="shared" si="365"/>
        <v>1.3436326977625337</v>
      </c>
      <c r="CA76" s="99">
        <f t="shared" si="365"/>
        <v>1.1629074617435142</v>
      </c>
      <c r="CB76" s="99">
        <f t="shared" si="365"/>
        <v>0.92831378884032667</v>
      </c>
      <c r="CC76" s="99">
        <f t="shared" si="365"/>
        <v>0.9722787714221609</v>
      </c>
      <c r="CD76" s="99">
        <f t="shared" si="365"/>
        <v>1.3038288466206294</v>
      </c>
      <c r="CE76" s="99">
        <f t="shared" si="365"/>
        <v>1.4385691018026678</v>
      </c>
      <c r="CF76" s="103">
        <f t="shared" si="365"/>
        <v>1.1642913529316714</v>
      </c>
      <c r="CG76" s="99">
        <f t="shared" ref="CG76:CO76" si="366">CG48/$U48</f>
        <v>0.79067298779086403</v>
      </c>
      <c r="CH76" s="99">
        <f t="shared" si="366"/>
        <v>1.09306661633469</v>
      </c>
      <c r="CI76" s="99">
        <f t="shared" si="366"/>
        <v>0</v>
      </c>
      <c r="CJ76" s="99">
        <f t="shared" si="366"/>
        <v>0</v>
      </c>
      <c r="CK76" s="99">
        <f t="shared" si="366"/>
        <v>0.78335862733568595</v>
      </c>
      <c r="CL76" s="99">
        <f t="shared" si="366"/>
        <v>0</v>
      </c>
      <c r="CM76" s="99">
        <f t="shared" si="366"/>
        <v>0.70116394098849766</v>
      </c>
      <c r="CN76" s="99">
        <f t="shared" si="366"/>
        <v>0.66906158945497995</v>
      </c>
      <c r="CO76" s="99">
        <f t="shared" si="366"/>
        <v>0.69691753625237562</v>
      </c>
      <c r="CP76" s="99"/>
      <c r="CQ76" s="99">
        <f t="shared" si="359"/>
        <v>0</v>
      </c>
      <c r="CR76" s="99">
        <f t="shared" si="359"/>
        <v>0</v>
      </c>
      <c r="CS76" s="99">
        <f t="shared" si="359"/>
        <v>0.55758743754462925</v>
      </c>
      <c r="CT76" s="99">
        <f t="shared" si="359"/>
        <v>0.71001108691323411</v>
      </c>
      <c r="CU76" s="99">
        <f t="shared" si="359"/>
        <v>0</v>
      </c>
      <c r="CV76" s="99">
        <f t="shared" si="359"/>
        <v>0</v>
      </c>
      <c r="CW76" s="99">
        <f t="shared" si="359"/>
        <v>0.70619666692646021</v>
      </c>
      <c r="CX76" s="99">
        <f t="shared" si="359"/>
        <v>0.96536730006033145</v>
      </c>
      <c r="CY76" s="100">
        <v>0</v>
      </c>
      <c r="CZ76" s="99">
        <f t="shared" ref="CZ76:DX76" si="367">CZ48/$AU48</f>
        <v>0.50159858401928203</v>
      </c>
      <c r="DA76" s="99">
        <f t="shared" si="367"/>
        <v>0.68314274440174416</v>
      </c>
      <c r="DB76" s="99">
        <f t="shared" si="367"/>
        <v>0.43921143826514802</v>
      </c>
      <c r="DC76" s="99">
        <f t="shared" si="367"/>
        <v>0</v>
      </c>
      <c r="DD76" s="99">
        <f t="shared" si="367"/>
        <v>0.37231183836893311</v>
      </c>
      <c r="DE76" s="99">
        <f t="shared" si="367"/>
        <v>0.90604443901309506</v>
      </c>
      <c r="DF76" s="99">
        <f t="shared" si="367"/>
        <v>0.89018622719870077</v>
      </c>
      <c r="DG76" s="99">
        <f t="shared" si="367"/>
        <v>0.4432383363181242</v>
      </c>
      <c r="DH76" s="99">
        <f t="shared" si="367"/>
        <v>0</v>
      </c>
      <c r="DI76" s="99">
        <f t="shared" si="367"/>
        <v>0</v>
      </c>
      <c r="DJ76" s="99">
        <f t="shared" si="367"/>
        <v>0</v>
      </c>
      <c r="DK76" s="99">
        <f t="shared" si="367"/>
        <v>0</v>
      </c>
      <c r="DL76" s="99">
        <f t="shared" si="367"/>
        <v>0.47543781139270253</v>
      </c>
      <c r="DM76" s="99">
        <f t="shared" si="367"/>
        <v>0.41591329833269947</v>
      </c>
      <c r="DN76" s="99">
        <f t="shared" si="367"/>
        <v>0.59101930707305017</v>
      </c>
      <c r="DO76" s="99">
        <f t="shared" si="367"/>
        <v>0.76318388272569604</v>
      </c>
      <c r="DP76" s="99">
        <f t="shared" si="367"/>
        <v>0.84946577771056575</v>
      </c>
      <c r="DQ76" s="99">
        <f t="shared" si="367"/>
        <v>0.66327498099111104</v>
      </c>
      <c r="DR76" s="99">
        <f t="shared" si="367"/>
        <v>0.45529807169872305</v>
      </c>
      <c r="DS76" s="99">
        <f t="shared" si="367"/>
        <v>0</v>
      </c>
      <c r="DT76" s="99">
        <f t="shared" si="367"/>
        <v>0</v>
      </c>
      <c r="DU76" s="99">
        <f t="shared" si="367"/>
        <v>0.53400422801731917</v>
      </c>
      <c r="DV76" s="99">
        <f t="shared" si="367"/>
        <v>0</v>
      </c>
      <c r="DW76" s="99">
        <f t="shared" si="367"/>
        <v>0</v>
      </c>
      <c r="DX76" s="99">
        <f t="shared" si="367"/>
        <v>0.44986415725551065</v>
      </c>
      <c r="DY76" s="100">
        <v>0</v>
      </c>
      <c r="DZ76" s="99">
        <f t="shared" ref="DZ76:EO76" si="368">DZ48/$CP48</f>
        <v>0.87139674510138643</v>
      </c>
      <c r="EA76" s="99">
        <f t="shared" si="368"/>
        <v>0</v>
      </c>
      <c r="EB76" s="99">
        <f t="shared" si="368"/>
        <v>0</v>
      </c>
      <c r="EC76" s="99">
        <f t="shared" si="368"/>
        <v>0.8281056170098775</v>
      </c>
      <c r="ED76" s="99">
        <f t="shared" si="368"/>
        <v>0.83017501336373134</v>
      </c>
      <c r="EE76" s="99">
        <f t="shared" si="368"/>
        <v>1.061864400390174</v>
      </c>
      <c r="EF76" s="99">
        <f t="shared" si="368"/>
        <v>1.082960699365402</v>
      </c>
      <c r="EG76" s="99">
        <f t="shared" si="368"/>
        <v>0.76516738760977188</v>
      </c>
      <c r="EH76" s="99">
        <f t="shared" si="368"/>
        <v>0</v>
      </c>
      <c r="EI76" s="99">
        <f t="shared" si="368"/>
        <v>0</v>
      </c>
      <c r="EJ76" s="99">
        <f t="shared" si="368"/>
        <v>0</v>
      </c>
      <c r="EK76" s="99">
        <f t="shared" si="368"/>
        <v>0</v>
      </c>
      <c r="EL76" s="99">
        <f t="shared" si="368"/>
        <v>0.71234019510846736</v>
      </c>
      <c r="EM76" s="99">
        <f t="shared" si="368"/>
        <v>0</v>
      </c>
      <c r="EN76" s="99">
        <f t="shared" si="368"/>
        <v>0</v>
      </c>
      <c r="EO76" s="99">
        <f t="shared" si="368"/>
        <v>0.77852714145002111</v>
      </c>
      <c r="EP76" s="99"/>
      <c r="EQ76" s="103">
        <f t="shared" ref="EQ76:FI76" si="369">EQ48/$FK48</f>
        <v>1.0000000346230262</v>
      </c>
      <c r="ER76" s="103">
        <f t="shared" si="369"/>
        <v>1.7010366087412785</v>
      </c>
      <c r="ES76" s="103">
        <f t="shared" si="369"/>
        <v>1.1044497019054638</v>
      </c>
      <c r="ET76" s="103">
        <f t="shared" si="369"/>
        <v>0</v>
      </c>
      <c r="EU76" s="103">
        <f t="shared" si="369"/>
        <v>1.1567103407456834</v>
      </c>
      <c r="EV76" s="103">
        <f t="shared" si="369"/>
        <v>1.0424936353276282</v>
      </c>
      <c r="EW76" s="103">
        <f t="shared" si="369"/>
        <v>0</v>
      </c>
      <c r="EX76" s="103">
        <f t="shared" si="369"/>
        <v>1.6377573413776301</v>
      </c>
      <c r="EY76" s="103">
        <f t="shared" si="369"/>
        <v>1.9029636288129952</v>
      </c>
      <c r="EZ76" s="103">
        <f t="shared" si="369"/>
        <v>0.95883590425852028</v>
      </c>
      <c r="FA76" s="103">
        <f t="shared" si="369"/>
        <v>1.0398697643188763</v>
      </c>
      <c r="FB76" s="103">
        <f t="shared" si="369"/>
        <v>1.022639981526313</v>
      </c>
      <c r="FC76" s="103">
        <f t="shared" si="369"/>
        <v>0</v>
      </c>
      <c r="FD76" s="103">
        <f t="shared" si="369"/>
        <v>0</v>
      </c>
      <c r="FE76" s="103">
        <f t="shared" si="369"/>
        <v>1.6304182849995279</v>
      </c>
      <c r="FF76" s="103">
        <f t="shared" si="369"/>
        <v>0</v>
      </c>
      <c r="FG76" s="103">
        <f t="shared" si="369"/>
        <v>0</v>
      </c>
      <c r="FH76" s="103">
        <f t="shared" si="369"/>
        <v>0.97817867956326265</v>
      </c>
      <c r="FI76" s="103">
        <f t="shared" si="369"/>
        <v>0</v>
      </c>
      <c r="FJ76" s="73"/>
    </row>
    <row r="77" spans="1:166">
      <c r="A77" s="71" t="s">
        <v>206</v>
      </c>
      <c r="B77" s="96" t="s">
        <v>163</v>
      </c>
      <c r="C77" s="99">
        <f t="shared" ref="C77:T77" si="370">C49/$U49</f>
        <v>1.4497710512258646</v>
      </c>
      <c r="D77" s="99">
        <f t="shared" si="370"/>
        <v>0.83673682823931228</v>
      </c>
      <c r="E77" s="99">
        <f t="shared" si="370"/>
        <v>1.7198852277526147</v>
      </c>
      <c r="F77" s="99">
        <f t="shared" si="370"/>
        <v>1.5745392707893375</v>
      </c>
      <c r="G77" s="99">
        <f t="shared" si="370"/>
        <v>0.99971700600113589</v>
      </c>
      <c r="H77" s="99">
        <f t="shared" si="370"/>
        <v>1.1544690233067669</v>
      </c>
      <c r="I77" s="99">
        <f t="shared" si="370"/>
        <v>1.000282993998864</v>
      </c>
      <c r="J77" s="99">
        <f t="shared" si="370"/>
        <v>1.8572021350381926</v>
      </c>
      <c r="K77" s="99">
        <f t="shared" si="370"/>
        <v>1.7141705064969945</v>
      </c>
      <c r="L77" s="99">
        <f t="shared" si="370"/>
        <v>1.2429675910367808</v>
      </c>
      <c r="M77" s="99">
        <f t="shared" si="370"/>
        <v>0.80929314707161915</v>
      </c>
      <c r="N77" s="99">
        <f t="shared" si="370"/>
        <v>1.009383968292954</v>
      </c>
      <c r="O77" s="99">
        <f t="shared" si="370"/>
        <v>0.75603736816798783</v>
      </c>
      <c r="P77" s="99">
        <f t="shared" si="370"/>
        <v>0.68862216394900655</v>
      </c>
      <c r="Q77" s="99">
        <f t="shared" si="370"/>
        <v>0</v>
      </c>
      <c r="R77" s="99">
        <f t="shared" si="370"/>
        <v>0.73443374489268853</v>
      </c>
      <c r="S77" s="99">
        <f t="shared" si="370"/>
        <v>0.68292236486268276</v>
      </c>
      <c r="T77" s="99">
        <f t="shared" si="370"/>
        <v>0.83054266300349766</v>
      </c>
      <c r="U77" s="100"/>
      <c r="V77" s="99">
        <f t="shared" ref="V77:AT77" si="371">V49/$AU49</f>
        <v>1.6046309360120004</v>
      </c>
      <c r="W77" s="99">
        <f t="shared" si="371"/>
        <v>1.6548806340922209</v>
      </c>
      <c r="X77" s="99">
        <f t="shared" si="371"/>
        <v>1.621028043945236</v>
      </c>
      <c r="Y77" s="99">
        <f t="shared" si="371"/>
        <v>0.60788230003888943</v>
      </c>
      <c r="Z77" s="186">
        <f t="shared" si="371"/>
        <v>0.98140315977822845</v>
      </c>
      <c r="AA77" s="99">
        <f t="shared" si="371"/>
        <v>1.8470797106964858</v>
      </c>
      <c r="AB77" s="99">
        <f t="shared" si="371"/>
        <v>1.5238966021328679</v>
      </c>
      <c r="AC77" s="99">
        <f t="shared" si="371"/>
        <v>1.8565951855418918</v>
      </c>
      <c r="AD77" s="99">
        <f t="shared" si="371"/>
        <v>0.96319352630941868</v>
      </c>
      <c r="AE77" s="99">
        <f t="shared" si="371"/>
        <v>1.4220818798950678</v>
      </c>
      <c r="AF77" s="99">
        <f t="shared" si="371"/>
        <v>1.462395611756298</v>
      </c>
      <c r="AG77" s="99">
        <f t="shared" si="371"/>
        <v>1.0218111819579785</v>
      </c>
      <c r="AH77" s="99">
        <f t="shared" si="371"/>
        <v>1.1349012735621187</v>
      </c>
      <c r="AI77" s="99">
        <f t="shared" si="371"/>
        <v>1</v>
      </c>
      <c r="AJ77" s="186">
        <f t="shared" si="371"/>
        <v>0.91347685223804265</v>
      </c>
      <c r="AK77" s="99">
        <f t="shared" si="371"/>
        <v>0.92786879008169509</v>
      </c>
      <c r="AL77" s="99">
        <f t="shared" si="371"/>
        <v>0.56446271940870452</v>
      </c>
      <c r="AM77" s="99">
        <f t="shared" si="371"/>
        <v>0.94786490008824154</v>
      </c>
      <c r="AN77" s="99">
        <f t="shared" si="371"/>
        <v>0.99783865134831162</v>
      </c>
      <c r="AO77" s="99">
        <f t="shared" si="371"/>
        <v>0.52445412975340089</v>
      </c>
      <c r="AP77" s="99">
        <f t="shared" si="371"/>
        <v>0.97666313307333152</v>
      </c>
      <c r="AQ77" s="99">
        <f t="shared" si="371"/>
        <v>0.94428591768087589</v>
      </c>
      <c r="AR77" s="99">
        <f t="shared" si="371"/>
        <v>1.1125072739245274</v>
      </c>
      <c r="AS77" s="99">
        <f t="shared" si="371"/>
        <v>1.4753633382691367</v>
      </c>
      <c r="AT77" s="99">
        <f t="shared" si="371"/>
        <v>0.84542532785516977</v>
      </c>
      <c r="AU77" s="100"/>
      <c r="AV77" s="99">
        <f t="shared" ref="AV77:CF77" si="372">AV49/$CP49</f>
        <v>0.62179608866616476</v>
      </c>
      <c r="AW77" s="99">
        <f t="shared" si="372"/>
        <v>0.89755197108472207</v>
      </c>
      <c r="AX77" s="99">
        <f t="shared" si="372"/>
        <v>0.71481891052647395</v>
      </c>
      <c r="AY77" s="99">
        <f t="shared" si="372"/>
        <v>0.58446492752394552</v>
      </c>
      <c r="AZ77" s="99">
        <f t="shared" si="372"/>
        <v>0.50398525352847301</v>
      </c>
      <c r="BA77" s="99">
        <f t="shared" si="372"/>
        <v>0.97244349596957225</v>
      </c>
      <c r="BB77" s="99">
        <f t="shared" si="372"/>
        <v>1.4613486125935475</v>
      </c>
      <c r="BC77" s="99">
        <f t="shared" si="372"/>
        <v>1.379367212857957</v>
      </c>
      <c r="BD77" s="99">
        <f t="shared" si="372"/>
        <v>0.92407208870029167</v>
      </c>
      <c r="BE77" s="99">
        <f t="shared" si="372"/>
        <v>0.79467447611069719</v>
      </c>
      <c r="BF77" s="99">
        <f t="shared" si="372"/>
        <v>1.0986637038331692</v>
      </c>
      <c r="BG77" s="99">
        <f t="shared" si="372"/>
        <v>1.0425870391474117</v>
      </c>
      <c r="BH77" s="99">
        <f t="shared" si="372"/>
        <v>1.0871379260452225</v>
      </c>
      <c r="BI77" s="99">
        <f t="shared" si="372"/>
        <v>1.0677257208944613</v>
      </c>
      <c r="BJ77" s="99">
        <f t="shared" si="372"/>
        <v>1.6360085438765222</v>
      </c>
      <c r="BK77" s="99">
        <f t="shared" si="372"/>
        <v>1.5806619167115008</v>
      </c>
      <c r="BL77" s="99">
        <f t="shared" si="372"/>
        <v>1.4042055091853247</v>
      </c>
      <c r="BM77" s="99">
        <f t="shared" si="372"/>
        <v>1.3303238054279467</v>
      </c>
      <c r="BN77" s="99">
        <f t="shared" si="372"/>
        <v>0.92502652589384116</v>
      </c>
      <c r="BO77" s="99">
        <f t="shared" si="372"/>
        <v>0.88876809408190982</v>
      </c>
      <c r="BP77" s="99">
        <f t="shared" si="372"/>
        <v>1.0020153470706583</v>
      </c>
      <c r="BQ77" s="99">
        <f t="shared" si="372"/>
        <v>0.95907669960435593</v>
      </c>
      <c r="BR77" s="99">
        <f t="shared" si="372"/>
        <v>1.1501118472224459</v>
      </c>
      <c r="BS77" s="99">
        <f t="shared" si="372"/>
        <v>0.99798465292934146</v>
      </c>
      <c r="BT77" s="99">
        <f t="shared" si="372"/>
        <v>1.0682711195077412</v>
      </c>
      <c r="BU77" s="99">
        <f t="shared" si="372"/>
        <v>0.95620232084447099</v>
      </c>
      <c r="BV77" s="99">
        <f t="shared" si="372"/>
        <v>0.81973369073930846</v>
      </c>
      <c r="BW77" s="99">
        <f t="shared" si="372"/>
        <v>1.233437868305989</v>
      </c>
      <c r="BX77" s="99">
        <f t="shared" si="372"/>
        <v>1.4189949584685781</v>
      </c>
      <c r="BY77" s="99">
        <f t="shared" si="372"/>
        <v>1.5723129639002476</v>
      </c>
      <c r="BZ77" s="99">
        <f t="shared" si="372"/>
        <v>1.3679812110523129</v>
      </c>
      <c r="CA77" s="99">
        <f t="shared" si="372"/>
        <v>1.1628084607335643</v>
      </c>
      <c r="CB77" s="99">
        <f t="shared" si="372"/>
        <v>1.0758667892585327</v>
      </c>
      <c r="CC77" s="99">
        <f t="shared" si="372"/>
        <v>1.0310178406073707</v>
      </c>
      <c r="CD77" s="99">
        <f t="shared" si="372"/>
        <v>1.2365469828789792</v>
      </c>
      <c r="CE77" s="99">
        <f t="shared" si="372"/>
        <v>1.2647659592847722</v>
      </c>
      <c r="CF77" s="103">
        <f t="shared" si="372"/>
        <v>1.2111381692922663</v>
      </c>
      <c r="CG77" s="99">
        <f t="shared" ref="CG77:CO77" si="373">CG49/$U49</f>
        <v>0.82091233726670687</v>
      </c>
      <c r="CH77" s="99">
        <f t="shared" si="373"/>
        <v>0.99771747963855417</v>
      </c>
      <c r="CI77" s="99">
        <f t="shared" si="373"/>
        <v>0</v>
      </c>
      <c r="CJ77" s="99">
        <f t="shared" si="373"/>
        <v>0</v>
      </c>
      <c r="CK77" s="99">
        <f t="shared" si="373"/>
        <v>1.0316520581673858</v>
      </c>
      <c r="CL77" s="99">
        <f t="shared" si="373"/>
        <v>0</v>
      </c>
      <c r="CM77" s="99">
        <f t="shared" si="373"/>
        <v>1.0838954295122369</v>
      </c>
      <c r="CN77" s="99">
        <f t="shared" si="373"/>
        <v>0.79736586502131435</v>
      </c>
      <c r="CO77" s="99">
        <f t="shared" si="373"/>
        <v>0.82575255083562027</v>
      </c>
      <c r="CP77" s="99"/>
      <c r="CQ77" s="99">
        <f t="shared" si="359"/>
        <v>0</v>
      </c>
      <c r="CR77" s="99">
        <f t="shared" si="359"/>
        <v>0</v>
      </c>
      <c r="CS77" s="99">
        <f t="shared" si="359"/>
        <v>0</v>
      </c>
      <c r="CT77" s="99">
        <f t="shared" si="359"/>
        <v>0.61335728018932689</v>
      </c>
      <c r="CU77" s="99">
        <f t="shared" si="359"/>
        <v>0</v>
      </c>
      <c r="CV77" s="99">
        <f t="shared" si="359"/>
        <v>0</v>
      </c>
      <c r="CW77" s="99">
        <f t="shared" si="359"/>
        <v>0.59449837787894722</v>
      </c>
      <c r="CX77" s="99">
        <f t="shared" si="359"/>
        <v>0.93819003371679088</v>
      </c>
      <c r="CY77" s="100">
        <v>0</v>
      </c>
      <c r="CZ77" s="99">
        <f t="shared" ref="CZ77:DX77" si="374">CZ49/$AU49</f>
        <v>0.51261884581056472</v>
      </c>
      <c r="DA77" s="99">
        <f t="shared" si="374"/>
        <v>0.62273425439843744</v>
      </c>
      <c r="DB77" s="99">
        <f t="shared" si="374"/>
        <v>0.71429002141280951</v>
      </c>
      <c r="DC77" s="99">
        <f t="shared" si="374"/>
        <v>0</v>
      </c>
      <c r="DD77" s="99">
        <f t="shared" si="374"/>
        <v>0</v>
      </c>
      <c r="DE77" s="99">
        <f t="shared" si="374"/>
        <v>0.87893420419800827</v>
      </c>
      <c r="DF77" s="99">
        <f t="shared" si="374"/>
        <v>0.88403920770206124</v>
      </c>
      <c r="DG77" s="99">
        <f t="shared" si="374"/>
        <v>0</v>
      </c>
      <c r="DH77" s="99">
        <f t="shared" si="374"/>
        <v>0</v>
      </c>
      <c r="DI77" s="99">
        <f t="shared" si="374"/>
        <v>0.41634066000030501</v>
      </c>
      <c r="DJ77" s="99">
        <f t="shared" si="374"/>
        <v>0.39227082656915446</v>
      </c>
      <c r="DK77" s="99">
        <f t="shared" si="374"/>
        <v>0.43927025647371482</v>
      </c>
      <c r="DL77" s="99">
        <f t="shared" si="374"/>
        <v>0</v>
      </c>
      <c r="DM77" s="99">
        <f t="shared" si="374"/>
        <v>0.56917069596756276</v>
      </c>
      <c r="DN77" s="99">
        <f t="shared" si="374"/>
        <v>0</v>
      </c>
      <c r="DO77" s="99">
        <f t="shared" si="374"/>
        <v>0.85291560411788736</v>
      </c>
      <c r="DP77" s="99">
        <f t="shared" si="374"/>
        <v>0.75187817087193276</v>
      </c>
      <c r="DQ77" s="99">
        <f t="shared" si="374"/>
        <v>0.75996716423248079</v>
      </c>
      <c r="DR77" s="99">
        <f t="shared" si="374"/>
        <v>0.67850976179498268</v>
      </c>
      <c r="DS77" s="99">
        <f t="shared" si="374"/>
        <v>0</v>
      </c>
      <c r="DT77" s="99">
        <f t="shared" si="374"/>
        <v>0</v>
      </c>
      <c r="DU77" s="99">
        <f t="shared" si="374"/>
        <v>0</v>
      </c>
      <c r="DV77" s="99">
        <f t="shared" si="374"/>
        <v>0</v>
      </c>
      <c r="DW77" s="99">
        <f t="shared" si="374"/>
        <v>0</v>
      </c>
      <c r="DX77" s="99">
        <f t="shared" si="374"/>
        <v>0.39407356721581754</v>
      </c>
      <c r="DY77" s="100">
        <v>0</v>
      </c>
      <c r="DZ77" s="99">
        <f t="shared" ref="DZ77:EO77" si="375">DZ49/$CP49</f>
        <v>0.52518337752934863</v>
      </c>
      <c r="EA77" s="99">
        <f t="shared" si="375"/>
        <v>0</v>
      </c>
      <c r="EB77" s="99">
        <f t="shared" si="375"/>
        <v>0</v>
      </c>
      <c r="EC77" s="99">
        <f t="shared" si="375"/>
        <v>0</v>
      </c>
      <c r="ED77" s="99">
        <f t="shared" si="375"/>
        <v>0.40890904067470707</v>
      </c>
      <c r="EE77" s="99">
        <f t="shared" si="375"/>
        <v>0</v>
      </c>
      <c r="EF77" s="99">
        <f t="shared" si="375"/>
        <v>0.54654370302777189</v>
      </c>
      <c r="EG77" s="99">
        <f t="shared" si="375"/>
        <v>0.49034393672080107</v>
      </c>
      <c r="EH77" s="99">
        <f t="shared" si="375"/>
        <v>0</v>
      </c>
      <c r="EI77" s="99">
        <f t="shared" si="375"/>
        <v>0</v>
      </c>
      <c r="EJ77" s="99">
        <f t="shared" si="375"/>
        <v>0</v>
      </c>
      <c r="EK77" s="99">
        <f t="shared" si="375"/>
        <v>0</v>
      </c>
      <c r="EL77" s="99">
        <f t="shared" si="375"/>
        <v>0.46099172995298721</v>
      </c>
      <c r="EM77" s="99">
        <f t="shared" si="375"/>
        <v>0.49681075047143536</v>
      </c>
      <c r="EN77" s="99">
        <f t="shared" si="375"/>
        <v>0</v>
      </c>
      <c r="EO77" s="99">
        <f t="shared" si="375"/>
        <v>0</v>
      </c>
      <c r="EP77" s="99"/>
      <c r="EQ77" s="103">
        <f t="shared" ref="EQ77:FI77" si="376">EQ49/$FK49</f>
        <v>0</v>
      </c>
      <c r="ER77" s="103">
        <f t="shared" si="376"/>
        <v>1.8308766222048891</v>
      </c>
      <c r="ES77" s="103">
        <f t="shared" si="376"/>
        <v>0</v>
      </c>
      <c r="ET77" s="103">
        <f t="shared" si="376"/>
        <v>0</v>
      </c>
      <c r="EU77" s="103">
        <f t="shared" si="376"/>
        <v>1.3666821642300127</v>
      </c>
      <c r="EV77" s="103">
        <f t="shared" si="376"/>
        <v>0</v>
      </c>
      <c r="EW77" s="103">
        <f t="shared" si="376"/>
        <v>0</v>
      </c>
      <c r="EX77" s="103">
        <f t="shared" si="376"/>
        <v>0</v>
      </c>
      <c r="EY77" s="103">
        <f t="shared" si="376"/>
        <v>1.7420650114535983</v>
      </c>
      <c r="EZ77" s="103">
        <f t="shared" si="376"/>
        <v>1.2365673516617759</v>
      </c>
      <c r="FA77" s="103">
        <f t="shared" si="376"/>
        <v>0</v>
      </c>
      <c r="FB77" s="103">
        <f t="shared" si="376"/>
        <v>1.6311750886608478</v>
      </c>
      <c r="FC77" s="103">
        <f t="shared" si="376"/>
        <v>0</v>
      </c>
      <c r="FD77" s="103">
        <f t="shared" si="376"/>
        <v>1.6078342015523086</v>
      </c>
      <c r="FE77" s="103">
        <f t="shared" si="376"/>
        <v>2.0517332979621794</v>
      </c>
      <c r="FF77" s="103">
        <f t="shared" si="376"/>
        <v>0</v>
      </c>
      <c r="FG77" s="103">
        <f t="shared" si="376"/>
        <v>0</v>
      </c>
      <c r="FH77" s="103">
        <f t="shared" si="376"/>
        <v>0</v>
      </c>
      <c r="FI77" s="103">
        <f t="shared" si="376"/>
        <v>0</v>
      </c>
      <c r="FJ77" s="73"/>
    </row>
    <row r="78" spans="1:166">
      <c r="A78" s="71" t="s">
        <v>207</v>
      </c>
      <c r="B78" s="98" t="s">
        <v>162</v>
      </c>
      <c r="C78" s="99">
        <f t="shared" ref="C78:T78" si="377">C50/$U50</f>
        <v>1.4190332105541397</v>
      </c>
      <c r="D78" s="99">
        <f t="shared" si="377"/>
        <v>1.1121225916017305</v>
      </c>
      <c r="E78" s="99">
        <f t="shared" si="377"/>
        <v>1.6819260537009655</v>
      </c>
      <c r="F78" s="99">
        <f t="shared" si="377"/>
        <v>1.6449365488721921</v>
      </c>
      <c r="G78" s="99">
        <f t="shared" si="377"/>
        <v>0.95766808846354456</v>
      </c>
      <c r="H78" s="99">
        <f t="shared" si="377"/>
        <v>1.1537935554814793</v>
      </c>
      <c r="I78" s="99">
        <f t="shared" si="377"/>
        <v>1.2536513515150907</v>
      </c>
      <c r="J78" s="99">
        <f t="shared" si="377"/>
        <v>1.8250535988792349</v>
      </c>
      <c r="K78" s="99">
        <f t="shared" si="377"/>
        <v>1.6572680251496932</v>
      </c>
      <c r="L78" s="99">
        <f t="shared" si="377"/>
        <v>0.83751484117073771</v>
      </c>
      <c r="M78" s="99">
        <f t="shared" si="377"/>
        <v>0.81647369454744334</v>
      </c>
      <c r="N78" s="99">
        <f t="shared" si="377"/>
        <v>0.73871275747129217</v>
      </c>
      <c r="O78" s="99">
        <f t="shared" si="377"/>
        <v>0.7690634210447489</v>
      </c>
      <c r="P78" s="99">
        <f t="shared" si="377"/>
        <v>0.8946853614174709</v>
      </c>
      <c r="Q78" s="99">
        <f t="shared" si="377"/>
        <v>0.7932302756223526</v>
      </c>
      <c r="R78" s="99">
        <f t="shared" si="377"/>
        <v>0.76582560563655655</v>
      </c>
      <c r="S78" s="99">
        <f t="shared" si="377"/>
        <v>0.7431914491973538</v>
      </c>
      <c r="T78" s="99">
        <f t="shared" si="377"/>
        <v>1.0423319115364555</v>
      </c>
      <c r="U78" s="100"/>
      <c r="V78" s="99">
        <f t="shared" ref="V78:AT78" si="378">V50/$AU50</f>
        <v>1.4400987801236069</v>
      </c>
      <c r="W78" s="99">
        <f t="shared" si="378"/>
        <v>1.492518808436009</v>
      </c>
      <c r="X78" s="99">
        <f t="shared" si="378"/>
        <v>1.5561607787589071</v>
      </c>
      <c r="Y78" s="99">
        <f t="shared" si="378"/>
        <v>0.77249531315633513</v>
      </c>
      <c r="Z78" s="184">
        <f t="shared" si="378"/>
        <v>0.65058513718608202</v>
      </c>
      <c r="AA78" s="99">
        <f t="shared" si="378"/>
        <v>1.6907255898625859</v>
      </c>
      <c r="AB78" s="99">
        <f t="shared" si="378"/>
        <v>1.4244393695113549</v>
      </c>
      <c r="AC78" s="99">
        <f t="shared" si="378"/>
        <v>1.7217459758397906</v>
      </c>
      <c r="AD78" s="99">
        <f t="shared" si="378"/>
        <v>1.0518545657155156</v>
      </c>
      <c r="AE78" s="99">
        <f t="shared" si="378"/>
        <v>1.3944456063424209</v>
      </c>
      <c r="AF78" s="99">
        <f t="shared" si="378"/>
        <v>1.3937436690472329</v>
      </c>
      <c r="AG78" s="99">
        <f t="shared" si="378"/>
        <v>1</v>
      </c>
      <c r="AH78" s="99">
        <f t="shared" si="378"/>
        <v>1.0823937767089544</v>
      </c>
      <c r="AI78" s="99">
        <f t="shared" si="378"/>
        <v>0.60434383453931906</v>
      </c>
      <c r="AJ78" s="186">
        <f t="shared" si="378"/>
        <v>0.98390920738420562</v>
      </c>
      <c r="AK78" s="99">
        <f t="shared" si="378"/>
        <v>0.86856119744918459</v>
      </c>
      <c r="AL78" s="99">
        <f t="shared" si="378"/>
        <v>0.67456240912351106</v>
      </c>
      <c r="AM78" s="99">
        <f t="shared" si="378"/>
        <v>0.72162801607629889</v>
      </c>
      <c r="AN78" s="99">
        <f t="shared" si="378"/>
        <v>0.75360820172293563</v>
      </c>
      <c r="AO78" s="99">
        <f t="shared" si="378"/>
        <v>0.54597979486266213</v>
      </c>
      <c r="AP78" s="99">
        <f t="shared" si="378"/>
        <v>0.9757155909994909</v>
      </c>
      <c r="AQ78" s="99">
        <f t="shared" si="378"/>
        <v>0.89044019075123704</v>
      </c>
      <c r="AR78" s="99">
        <f t="shared" si="378"/>
        <v>1.0267805415897491</v>
      </c>
      <c r="AS78" s="99">
        <f t="shared" si="378"/>
        <v>1.3292825815295286</v>
      </c>
      <c r="AT78" s="99">
        <f t="shared" si="378"/>
        <v>0.66681245600468753</v>
      </c>
      <c r="AU78" s="100"/>
      <c r="AV78" s="99">
        <f t="shared" ref="AV78:CF78" si="379">AV50/$CP50</f>
        <v>0.88592822438394447</v>
      </c>
      <c r="AW78" s="99">
        <f t="shared" si="379"/>
        <v>0.63491639364726837</v>
      </c>
      <c r="AX78" s="99">
        <f t="shared" si="379"/>
        <v>0.66399164279807132</v>
      </c>
      <c r="AY78" s="99">
        <f t="shared" si="379"/>
        <v>0.7233787875361396</v>
      </c>
      <c r="AZ78" s="99">
        <f t="shared" si="379"/>
        <v>0</v>
      </c>
      <c r="BA78" s="99">
        <f t="shared" si="379"/>
        <v>1.1765024481006798</v>
      </c>
      <c r="BB78" s="99">
        <f t="shared" si="379"/>
        <v>1.5024866085307778</v>
      </c>
      <c r="BC78" s="99">
        <f t="shared" si="379"/>
        <v>1.4100849998180052</v>
      </c>
      <c r="BD78" s="99">
        <f t="shared" si="379"/>
        <v>1.0073268965064612</v>
      </c>
      <c r="BE78" s="99">
        <f t="shared" si="379"/>
        <v>0.7045360111024761</v>
      </c>
      <c r="BF78" s="99">
        <f t="shared" si="379"/>
        <v>1.1200200760160188</v>
      </c>
      <c r="BG78" s="99">
        <f t="shared" si="379"/>
        <v>0.99267310349353866</v>
      </c>
      <c r="BH78" s="99">
        <f t="shared" si="379"/>
        <v>1.0260169141694935</v>
      </c>
      <c r="BI78" s="99">
        <f t="shared" si="379"/>
        <v>1.1381649063346868</v>
      </c>
      <c r="BJ78" s="99">
        <f t="shared" si="379"/>
        <v>1.6833529199824446</v>
      </c>
      <c r="BK78" s="99">
        <f t="shared" si="379"/>
        <v>1.6332259497226549</v>
      </c>
      <c r="BL78" s="99">
        <f t="shared" si="379"/>
        <v>1.4404232501997769</v>
      </c>
      <c r="BM78" s="99">
        <f t="shared" si="379"/>
        <v>1.3545508534897281</v>
      </c>
      <c r="BN78" s="99">
        <f t="shared" si="379"/>
        <v>0.98019680768464523</v>
      </c>
      <c r="BO78" s="99">
        <f t="shared" si="379"/>
        <v>0.79909276569630816</v>
      </c>
      <c r="BP78" s="99">
        <f t="shared" si="379"/>
        <v>1.0545604775759447</v>
      </c>
      <c r="BQ78" s="99">
        <f t="shared" si="379"/>
        <v>0.92517337469683625</v>
      </c>
      <c r="BR78" s="99">
        <f t="shared" si="379"/>
        <v>1.0313936680219677</v>
      </c>
      <c r="BS78" s="99">
        <f t="shared" si="379"/>
        <v>0.89627921711748482</v>
      </c>
      <c r="BT78" s="99">
        <f t="shared" si="379"/>
        <v>1.1474995791293601</v>
      </c>
      <c r="BU78" s="99">
        <f t="shared" si="379"/>
        <v>0.87194354246792738</v>
      </c>
      <c r="BV78" s="99">
        <f t="shared" si="379"/>
        <v>0.82290458542625422</v>
      </c>
      <c r="BW78" s="99">
        <f t="shared" si="379"/>
        <v>1.1981983874430819</v>
      </c>
      <c r="BX78" s="99">
        <f t="shared" si="379"/>
        <v>1.4016138925387953</v>
      </c>
      <c r="BY78" s="99">
        <f t="shared" si="379"/>
        <v>1.6133206177107002</v>
      </c>
      <c r="BZ78" s="99">
        <f t="shared" si="379"/>
        <v>1.3945728390642114</v>
      </c>
      <c r="CA78" s="99">
        <f t="shared" si="379"/>
        <v>1.209526177039298</v>
      </c>
      <c r="CB78" s="99">
        <f t="shared" si="379"/>
        <v>0.96428482126465465</v>
      </c>
      <c r="CC78" s="99">
        <f t="shared" si="379"/>
        <v>1.0353669562083234</v>
      </c>
      <c r="CD78" s="99">
        <f t="shared" si="379"/>
        <v>1.2008615180434306</v>
      </c>
      <c r="CE78" s="99">
        <f t="shared" si="379"/>
        <v>1.3348408603851416</v>
      </c>
      <c r="CF78" s="103">
        <f t="shared" si="379"/>
        <v>1.2801860590509597</v>
      </c>
      <c r="CG78" s="99">
        <f t="shared" ref="CG78:CO78" si="380">CG50/$U50</f>
        <v>0.79069957083987041</v>
      </c>
      <c r="CH78" s="99">
        <f t="shared" si="380"/>
        <v>0.85662025545234433</v>
      </c>
      <c r="CI78" s="99">
        <f t="shared" si="380"/>
        <v>0.90665846612904988</v>
      </c>
      <c r="CJ78" s="99">
        <f t="shared" si="380"/>
        <v>0.67853358543662368</v>
      </c>
      <c r="CK78" s="99">
        <f t="shared" si="380"/>
        <v>0</v>
      </c>
      <c r="CL78" s="99">
        <f t="shared" si="380"/>
        <v>0</v>
      </c>
      <c r="CM78" s="99">
        <f t="shared" si="380"/>
        <v>0.84782272485268539</v>
      </c>
      <c r="CN78" s="99">
        <f t="shared" si="380"/>
        <v>0.76714435958617166</v>
      </c>
      <c r="CO78" s="99">
        <f t="shared" si="380"/>
        <v>0.72493921066554123</v>
      </c>
      <c r="CP78" s="99"/>
      <c r="CQ78" s="99">
        <f t="shared" si="359"/>
        <v>0</v>
      </c>
      <c r="CR78" s="99">
        <f t="shared" si="359"/>
        <v>0</v>
      </c>
      <c r="CS78" s="99">
        <f t="shared" si="359"/>
        <v>0</v>
      </c>
      <c r="CT78" s="99">
        <f t="shared" si="359"/>
        <v>0</v>
      </c>
      <c r="CU78" s="99">
        <f t="shared" si="359"/>
        <v>0</v>
      </c>
      <c r="CV78" s="99">
        <f t="shared" si="359"/>
        <v>0</v>
      </c>
      <c r="CW78" s="99">
        <f t="shared" si="359"/>
        <v>0</v>
      </c>
      <c r="CX78" s="99">
        <f t="shared" si="359"/>
        <v>0.56728214709400548</v>
      </c>
      <c r="CY78" s="100">
        <v>0</v>
      </c>
      <c r="CZ78" s="99">
        <f t="shared" ref="CZ78:DX78" si="381">CZ50/$AU50</f>
        <v>0</v>
      </c>
      <c r="DA78" s="99">
        <f t="shared" si="381"/>
        <v>0</v>
      </c>
      <c r="DB78" s="99">
        <f t="shared" si="381"/>
        <v>0</v>
      </c>
      <c r="DC78" s="99">
        <f t="shared" si="381"/>
        <v>0</v>
      </c>
      <c r="DD78" s="99">
        <f t="shared" si="381"/>
        <v>0</v>
      </c>
      <c r="DE78" s="99">
        <f t="shared" si="381"/>
        <v>0.46584200386413321</v>
      </c>
      <c r="DF78" s="99">
        <f t="shared" si="381"/>
        <v>0</v>
      </c>
      <c r="DG78" s="99">
        <f t="shared" si="381"/>
        <v>0</v>
      </c>
      <c r="DH78" s="99">
        <f t="shared" si="381"/>
        <v>0</v>
      </c>
      <c r="DI78" s="99">
        <f t="shared" si="381"/>
        <v>0</v>
      </c>
      <c r="DJ78" s="99">
        <f t="shared" si="381"/>
        <v>0</v>
      </c>
      <c r="DK78" s="99">
        <f t="shared" si="381"/>
        <v>0</v>
      </c>
      <c r="DL78" s="99">
        <f t="shared" si="381"/>
        <v>0</v>
      </c>
      <c r="DM78" s="99">
        <f t="shared" si="381"/>
        <v>0</v>
      </c>
      <c r="DN78" s="99">
        <f t="shared" si="381"/>
        <v>0</v>
      </c>
      <c r="DO78" s="99">
        <f t="shared" si="381"/>
        <v>0</v>
      </c>
      <c r="DP78" s="99">
        <f t="shared" si="381"/>
        <v>0.35516550566543603</v>
      </c>
      <c r="DQ78" s="99">
        <f t="shared" si="381"/>
        <v>0.36079418502880783</v>
      </c>
      <c r="DR78" s="99">
        <f t="shared" si="381"/>
        <v>0</v>
      </c>
      <c r="DS78" s="99">
        <f t="shared" si="381"/>
        <v>0</v>
      </c>
      <c r="DT78" s="99">
        <f t="shared" si="381"/>
        <v>0</v>
      </c>
      <c r="DU78" s="99">
        <f t="shared" si="381"/>
        <v>0</v>
      </c>
      <c r="DV78" s="99">
        <f t="shared" si="381"/>
        <v>0</v>
      </c>
      <c r="DW78" s="99">
        <f t="shared" si="381"/>
        <v>0</v>
      </c>
      <c r="DX78" s="99">
        <f t="shared" si="381"/>
        <v>0</v>
      </c>
      <c r="DY78" s="100">
        <v>0</v>
      </c>
      <c r="DZ78" s="99">
        <f t="shared" ref="DZ78:EO78" si="382">DZ50/$CP50</f>
        <v>0</v>
      </c>
      <c r="EA78" s="99">
        <f t="shared" si="382"/>
        <v>0</v>
      </c>
      <c r="EB78" s="99">
        <f t="shared" si="382"/>
        <v>0</v>
      </c>
      <c r="EC78" s="99">
        <f t="shared" si="382"/>
        <v>0.5695903582280134</v>
      </c>
      <c r="ED78" s="99">
        <f t="shared" si="382"/>
        <v>0.58927707941911811</v>
      </c>
      <c r="EE78" s="99">
        <f t="shared" si="382"/>
        <v>0</v>
      </c>
      <c r="EF78" s="99">
        <f t="shared" si="382"/>
        <v>0</v>
      </c>
      <c r="EG78" s="99">
        <f t="shared" si="382"/>
        <v>0</v>
      </c>
      <c r="EH78" s="99">
        <f t="shared" si="382"/>
        <v>0</v>
      </c>
      <c r="EI78" s="99">
        <f t="shared" si="382"/>
        <v>0</v>
      </c>
      <c r="EJ78" s="99">
        <f t="shared" si="382"/>
        <v>0</v>
      </c>
      <c r="EK78" s="99">
        <f t="shared" si="382"/>
        <v>0</v>
      </c>
      <c r="EL78" s="99">
        <f t="shared" si="382"/>
        <v>0.41068618762049125</v>
      </c>
      <c r="EM78" s="99">
        <f t="shared" si="382"/>
        <v>0</v>
      </c>
      <c r="EN78" s="99">
        <f t="shared" si="382"/>
        <v>0</v>
      </c>
      <c r="EO78" s="99">
        <f t="shared" si="382"/>
        <v>0</v>
      </c>
      <c r="EP78" s="99"/>
      <c r="EQ78" s="103">
        <f t="shared" ref="EQ78:FI78" si="383">EQ50/$FK50</f>
        <v>0</v>
      </c>
      <c r="ER78" s="103">
        <f t="shared" si="383"/>
        <v>0</v>
      </c>
      <c r="ES78" s="103">
        <f t="shared" si="383"/>
        <v>0</v>
      </c>
      <c r="ET78" s="103">
        <f t="shared" si="383"/>
        <v>0</v>
      </c>
      <c r="EU78" s="103">
        <f t="shared" si="383"/>
        <v>0</v>
      </c>
      <c r="EV78" s="103">
        <f t="shared" si="383"/>
        <v>1.1869324706501765</v>
      </c>
      <c r="EW78" s="103">
        <f t="shared" si="383"/>
        <v>0</v>
      </c>
      <c r="EX78" s="103">
        <f t="shared" si="383"/>
        <v>0</v>
      </c>
      <c r="EY78" s="103">
        <f t="shared" si="383"/>
        <v>1.7520357855788922</v>
      </c>
      <c r="EZ78" s="103">
        <f t="shared" si="383"/>
        <v>0</v>
      </c>
      <c r="FA78" s="103">
        <f t="shared" si="383"/>
        <v>0</v>
      </c>
      <c r="FB78" s="103">
        <f t="shared" si="383"/>
        <v>0</v>
      </c>
      <c r="FC78" s="103">
        <f t="shared" si="383"/>
        <v>0</v>
      </c>
      <c r="FD78" s="103">
        <f t="shared" si="383"/>
        <v>0</v>
      </c>
      <c r="FE78" s="103">
        <f t="shared" si="383"/>
        <v>1.2112723339524203</v>
      </c>
      <c r="FF78" s="103">
        <f t="shared" si="383"/>
        <v>0</v>
      </c>
      <c r="FG78" s="103">
        <f t="shared" si="383"/>
        <v>0</v>
      </c>
      <c r="FH78" s="103">
        <f t="shared" si="383"/>
        <v>0</v>
      </c>
      <c r="FI78" s="103">
        <f t="shared" si="383"/>
        <v>0</v>
      </c>
      <c r="FJ78" s="73"/>
    </row>
    <row r="79" spans="1:166">
      <c r="A79" s="71" t="s">
        <v>224</v>
      </c>
      <c r="B79" s="96" t="s">
        <v>162</v>
      </c>
      <c r="C79" s="99">
        <f t="shared" ref="C79:T79" si="384">C51/$U51</f>
        <v>1.2604577426541268</v>
      </c>
      <c r="D79" s="99">
        <f t="shared" si="384"/>
        <v>1.0287991422141192</v>
      </c>
      <c r="E79" s="99">
        <f t="shared" si="384"/>
        <v>1.5303824347437154</v>
      </c>
      <c r="F79" s="99">
        <f t="shared" si="384"/>
        <v>1.50620900067603</v>
      </c>
      <c r="G79" s="99">
        <f t="shared" si="384"/>
        <v>0.91081744996106617</v>
      </c>
      <c r="H79" s="99">
        <f t="shared" si="384"/>
        <v>1.0923174103101609</v>
      </c>
      <c r="I79" s="99">
        <f t="shared" si="384"/>
        <v>0.88085707088689913</v>
      </c>
      <c r="J79" s="99">
        <f t="shared" si="384"/>
        <v>1.7569409837475061</v>
      </c>
      <c r="K79" s="99">
        <f t="shared" si="384"/>
        <v>1.5927373008529673</v>
      </c>
      <c r="L79" s="99">
        <f t="shared" si="384"/>
        <v>1.0081349148247305</v>
      </c>
      <c r="M79" s="99">
        <f t="shared" si="384"/>
        <v>1.0449088820835652</v>
      </c>
      <c r="N79" s="99">
        <f t="shared" si="384"/>
        <v>0.79638349125313324</v>
      </c>
      <c r="O79" s="99">
        <f t="shared" si="384"/>
        <v>0</v>
      </c>
      <c r="P79" s="99">
        <f t="shared" si="384"/>
        <v>0.74182028150384371</v>
      </c>
      <c r="Q79" s="99">
        <f t="shared" si="384"/>
        <v>0.71899108843675075</v>
      </c>
      <c r="R79" s="99">
        <f t="shared" si="384"/>
        <v>0.69316096479070366</v>
      </c>
      <c r="S79" s="99">
        <f t="shared" si="384"/>
        <v>0.83302399203941557</v>
      </c>
      <c r="T79" s="99">
        <f t="shared" si="384"/>
        <v>0.99186508517526928</v>
      </c>
      <c r="U79" s="100"/>
      <c r="V79" s="99">
        <f t="shared" ref="V79:AT79" si="385">V51/$AU51</f>
        <v>1.4610972804024822</v>
      </c>
      <c r="W79" s="99">
        <f t="shared" si="385"/>
        <v>1.5156443386319001</v>
      </c>
      <c r="X79" s="99">
        <f t="shared" si="385"/>
        <v>1.5832689142289782</v>
      </c>
      <c r="Y79" s="99">
        <f t="shared" si="385"/>
        <v>0.54863450780542156</v>
      </c>
      <c r="Z79" s="186">
        <f t="shared" si="385"/>
        <v>0.83992137186951543</v>
      </c>
      <c r="AA79" s="99">
        <f t="shared" si="385"/>
        <v>1.7196886100572724</v>
      </c>
      <c r="AB79" s="99">
        <f t="shared" si="385"/>
        <v>1.4026927279569532</v>
      </c>
      <c r="AC79" s="99">
        <f t="shared" si="385"/>
        <v>1.7045732235265505</v>
      </c>
      <c r="AD79" s="99">
        <f t="shared" si="385"/>
        <v>1.0429149169550778</v>
      </c>
      <c r="AE79" s="99">
        <f t="shared" si="385"/>
        <v>1.283444288171836</v>
      </c>
      <c r="AF79" s="99">
        <f t="shared" si="385"/>
        <v>1.3858391173186875</v>
      </c>
      <c r="AG79" s="99">
        <f t="shared" si="385"/>
        <v>0.94139335262219792</v>
      </c>
      <c r="AH79" s="99">
        <f t="shared" si="385"/>
        <v>1.1098550220010324</v>
      </c>
      <c r="AI79" s="99">
        <f t="shared" si="385"/>
        <v>0.73270951786400618</v>
      </c>
      <c r="AJ79" s="184">
        <f t="shared" si="385"/>
        <v>0.59564639166588995</v>
      </c>
      <c r="AK79" s="99">
        <f t="shared" si="385"/>
        <v>0.82514517436061618</v>
      </c>
      <c r="AL79" s="99">
        <f t="shared" si="385"/>
        <v>0.74980505751366233</v>
      </c>
      <c r="AM79" s="99">
        <f t="shared" si="385"/>
        <v>0.77818920780417933</v>
      </c>
      <c r="AN79" s="99">
        <f t="shared" si="385"/>
        <v>0.83242988098963944</v>
      </c>
      <c r="AO79" s="99">
        <f t="shared" si="385"/>
        <v>0.76962877820353071</v>
      </c>
      <c r="AP79" s="99">
        <f t="shared" si="385"/>
        <v>1</v>
      </c>
      <c r="AQ79" s="99">
        <f t="shared" si="385"/>
        <v>0.94295618278763971</v>
      </c>
      <c r="AR79" s="99">
        <f t="shared" si="385"/>
        <v>1.0644505434961196</v>
      </c>
      <c r="AS79" s="99">
        <f t="shared" si="385"/>
        <v>1.3150535396844527</v>
      </c>
      <c r="AT79" s="99">
        <f t="shared" si="385"/>
        <v>0.6691231807685204</v>
      </c>
      <c r="AU79" s="100"/>
      <c r="AV79" s="99">
        <f t="shared" ref="AV79:CF79" si="386">AV51/$CP51</f>
        <v>0.68738175538885904</v>
      </c>
      <c r="AW79" s="99">
        <f t="shared" si="386"/>
        <v>0.75092080953803186</v>
      </c>
      <c r="AX79" s="99">
        <f t="shared" si="386"/>
        <v>0.87379326916888711</v>
      </c>
      <c r="AY79" s="99">
        <f t="shared" si="386"/>
        <v>0.58486906147676598</v>
      </c>
      <c r="AZ79" s="99">
        <f t="shared" si="386"/>
        <v>0.50365182017744203</v>
      </c>
      <c r="BA79" s="99">
        <f t="shared" si="386"/>
        <v>1.0689196514741879</v>
      </c>
      <c r="BB79" s="99">
        <f t="shared" si="386"/>
        <v>1.4695194837069117</v>
      </c>
      <c r="BC79" s="99">
        <f t="shared" si="386"/>
        <v>1.3244475617988931</v>
      </c>
      <c r="BD79" s="99">
        <f t="shared" si="386"/>
        <v>0.86694678043921602</v>
      </c>
      <c r="BE79" s="99">
        <f t="shared" si="386"/>
        <v>0.89898374081023014</v>
      </c>
      <c r="BF79" s="99">
        <f t="shared" si="386"/>
        <v>1.1423366361943579</v>
      </c>
      <c r="BG79" s="99">
        <f t="shared" si="386"/>
        <v>0.9349452299402734</v>
      </c>
      <c r="BH79" s="99">
        <f t="shared" si="386"/>
        <v>1.092777780763752</v>
      </c>
      <c r="BI79" s="99">
        <f t="shared" si="386"/>
        <v>0.99741618423108691</v>
      </c>
      <c r="BJ79" s="99">
        <f t="shared" si="386"/>
        <v>1.6652337885791226</v>
      </c>
      <c r="BK79" s="99">
        <f t="shared" si="386"/>
        <v>1.582779427291811</v>
      </c>
      <c r="BL79" s="99">
        <f t="shared" si="386"/>
        <v>1.3672545917422323</v>
      </c>
      <c r="BM79" s="99">
        <f t="shared" si="386"/>
        <v>1.3059427432597208</v>
      </c>
      <c r="BN79" s="99">
        <f t="shared" si="386"/>
        <v>0.94323895925014123</v>
      </c>
      <c r="BO79" s="99">
        <f t="shared" si="386"/>
        <v>0.853486647987314</v>
      </c>
      <c r="BP79" s="99">
        <f t="shared" si="386"/>
        <v>1.0025838157689129</v>
      </c>
      <c r="BQ79" s="99">
        <f t="shared" si="386"/>
        <v>0.9772888216178961</v>
      </c>
      <c r="BR79" s="99">
        <f t="shared" si="386"/>
        <v>1.195141047207394</v>
      </c>
      <c r="BS79" s="99">
        <f t="shared" si="386"/>
        <v>1.1401001272271269</v>
      </c>
      <c r="BT79" s="99">
        <f t="shared" si="386"/>
        <v>1.1814054987253761</v>
      </c>
      <c r="BU79" s="99">
        <f t="shared" si="386"/>
        <v>0.977673622410414</v>
      </c>
      <c r="BV79" s="99">
        <f t="shared" si="386"/>
        <v>1.0701714658722818</v>
      </c>
      <c r="BW79" s="99">
        <f t="shared" si="386"/>
        <v>1.2902425965063724</v>
      </c>
      <c r="BX79" s="99">
        <f t="shared" si="386"/>
        <v>1.424021281615824</v>
      </c>
      <c r="BY79" s="99">
        <f t="shared" si="386"/>
        <v>1.6148098516927911</v>
      </c>
      <c r="BZ79" s="99">
        <f t="shared" si="386"/>
        <v>1.4047698566412012</v>
      </c>
      <c r="CA79" s="99">
        <f t="shared" si="386"/>
        <v>1.1936404060489492</v>
      </c>
      <c r="CB79" s="99">
        <f t="shared" si="386"/>
        <v>1.1609843486701605</v>
      </c>
      <c r="CC79" s="99">
        <f t="shared" si="386"/>
        <v>0.94534431079411751</v>
      </c>
      <c r="CD79" s="99">
        <f t="shared" si="386"/>
        <v>1.3192574634078855</v>
      </c>
      <c r="CE79" s="99">
        <f t="shared" si="386"/>
        <v>1.3557174945422241</v>
      </c>
      <c r="CF79" s="103">
        <f t="shared" si="386"/>
        <v>1.306020839116252</v>
      </c>
      <c r="CG79" s="99">
        <f t="shared" ref="CG79:CO79" si="387">CG51/$U51</f>
        <v>0.75972396215636462</v>
      </c>
      <c r="CH79" s="99">
        <f t="shared" si="387"/>
        <v>1.0861321105059254</v>
      </c>
      <c r="CI79" s="99">
        <f t="shared" si="387"/>
        <v>0.78896183751036786</v>
      </c>
      <c r="CJ79" s="99">
        <f t="shared" si="387"/>
        <v>0</v>
      </c>
      <c r="CK79" s="99">
        <f t="shared" si="387"/>
        <v>1.0083037370825076</v>
      </c>
      <c r="CL79" s="99">
        <f t="shared" si="387"/>
        <v>0</v>
      </c>
      <c r="CM79" s="99">
        <f t="shared" si="387"/>
        <v>1.1448712319634093</v>
      </c>
      <c r="CN79" s="99">
        <f t="shared" si="387"/>
        <v>0</v>
      </c>
      <c r="CO79" s="99">
        <f t="shared" si="387"/>
        <v>0.64925102025789094</v>
      </c>
      <c r="CP79" s="99"/>
      <c r="CQ79" s="99">
        <f t="shared" si="359"/>
        <v>0.57070895823137868</v>
      </c>
      <c r="CR79" s="99">
        <f t="shared" si="359"/>
        <v>0.55927065844000634</v>
      </c>
      <c r="CS79" s="99">
        <f t="shared" si="359"/>
        <v>0</v>
      </c>
      <c r="CT79" s="99">
        <f t="shared" si="359"/>
        <v>0</v>
      </c>
      <c r="CU79" s="99">
        <f t="shared" si="359"/>
        <v>0</v>
      </c>
      <c r="CV79" s="99">
        <f t="shared" si="359"/>
        <v>0.65900702550111223</v>
      </c>
      <c r="CW79" s="99">
        <f t="shared" si="359"/>
        <v>1.0171075350479928</v>
      </c>
      <c r="CX79" s="99">
        <f t="shared" si="359"/>
        <v>1.1767711450248564</v>
      </c>
      <c r="CY79" s="100">
        <v>0</v>
      </c>
      <c r="CZ79" s="99">
        <f t="shared" ref="CZ79:DX79" si="388">CZ51/$AU51</f>
        <v>0.54789614741801962</v>
      </c>
      <c r="DA79" s="99">
        <f t="shared" si="388"/>
        <v>0.49416275601585752</v>
      </c>
      <c r="DB79" s="99">
        <f t="shared" si="388"/>
        <v>0.74827288262030822</v>
      </c>
      <c r="DC79" s="99">
        <f t="shared" si="388"/>
        <v>0</v>
      </c>
      <c r="DD79" s="99">
        <f t="shared" si="388"/>
        <v>0.56620224206926428</v>
      </c>
      <c r="DE79" s="99">
        <f t="shared" si="388"/>
        <v>0.89489768976891315</v>
      </c>
      <c r="DF79" s="99">
        <f t="shared" si="388"/>
        <v>0.86374058112606789</v>
      </c>
      <c r="DG79" s="99">
        <f t="shared" si="388"/>
        <v>0</v>
      </c>
      <c r="DH79" s="99">
        <f t="shared" si="388"/>
        <v>0</v>
      </c>
      <c r="DI79" s="99">
        <f t="shared" si="388"/>
        <v>0</v>
      </c>
      <c r="DJ79" s="99">
        <f t="shared" si="388"/>
        <v>0.46138106530643674</v>
      </c>
      <c r="DK79" s="99">
        <f t="shared" si="388"/>
        <v>0.58000096268147827</v>
      </c>
      <c r="DL79" s="99">
        <f t="shared" si="388"/>
        <v>0.44264528690948429</v>
      </c>
      <c r="DM79" s="99">
        <f t="shared" si="388"/>
        <v>0.65542391268729172</v>
      </c>
      <c r="DN79" s="99">
        <f t="shared" si="388"/>
        <v>0.5443826306016849</v>
      </c>
      <c r="DO79" s="99">
        <f t="shared" si="388"/>
        <v>0.71403023791544218</v>
      </c>
      <c r="DP79" s="99">
        <f t="shared" si="388"/>
        <v>0.85427715626095735</v>
      </c>
      <c r="DQ79" s="99">
        <f t="shared" si="388"/>
        <v>0.72830902749484838</v>
      </c>
      <c r="DR79" s="99">
        <f t="shared" si="388"/>
        <v>0.75300698972956392</v>
      </c>
      <c r="DS79" s="99">
        <f t="shared" si="388"/>
        <v>0</v>
      </c>
      <c r="DT79" s="99">
        <f t="shared" si="388"/>
        <v>0</v>
      </c>
      <c r="DU79" s="99">
        <f t="shared" si="388"/>
        <v>0.44324321267393524</v>
      </c>
      <c r="DV79" s="99">
        <f t="shared" si="388"/>
        <v>0</v>
      </c>
      <c r="DW79" s="99">
        <f t="shared" si="388"/>
        <v>0</v>
      </c>
      <c r="DX79" s="99">
        <f t="shared" si="388"/>
        <v>0</v>
      </c>
      <c r="DY79" s="100">
        <v>0</v>
      </c>
      <c r="DZ79" s="99">
        <f t="shared" ref="DZ79:EO79" si="389">DZ51/$CP51</f>
        <v>0.65420995312750874</v>
      </c>
      <c r="EA79" s="99">
        <f t="shared" si="389"/>
        <v>0.39376138499639041</v>
      </c>
      <c r="EB79" s="99">
        <f t="shared" si="389"/>
        <v>0</v>
      </c>
      <c r="EC79" s="99">
        <f t="shared" si="389"/>
        <v>0</v>
      </c>
      <c r="ED79" s="99">
        <f t="shared" si="389"/>
        <v>0.57160036553700977</v>
      </c>
      <c r="EE79" s="99">
        <f t="shared" si="389"/>
        <v>0.505824265461428</v>
      </c>
      <c r="EF79" s="99">
        <f t="shared" si="389"/>
        <v>0.74462150538758476</v>
      </c>
      <c r="EG79" s="99">
        <f t="shared" si="389"/>
        <v>0.62488424970623724</v>
      </c>
      <c r="EH79" s="99">
        <f t="shared" si="389"/>
        <v>0.44984188377993178</v>
      </c>
      <c r="EI79" s="99">
        <f t="shared" si="389"/>
        <v>0</v>
      </c>
      <c r="EJ79" s="99">
        <f t="shared" si="389"/>
        <v>0</v>
      </c>
      <c r="EK79" s="99">
        <f t="shared" si="389"/>
        <v>0</v>
      </c>
      <c r="EL79" s="99">
        <f t="shared" si="389"/>
        <v>0</v>
      </c>
      <c r="EM79" s="99">
        <f t="shared" si="389"/>
        <v>0</v>
      </c>
      <c r="EN79" s="99">
        <f t="shared" si="389"/>
        <v>0</v>
      </c>
      <c r="EO79" s="99">
        <f t="shared" si="389"/>
        <v>0.35314653626351511</v>
      </c>
      <c r="EP79" s="99"/>
      <c r="EQ79" s="103">
        <f t="shared" ref="EQ79:FI79" si="390">EQ51/$FK51</f>
        <v>0.99999996495312327</v>
      </c>
      <c r="ER79" s="103">
        <f t="shared" si="390"/>
        <v>1.659911359357974</v>
      </c>
      <c r="ES79" s="103">
        <f t="shared" si="390"/>
        <v>1.2082358550838217</v>
      </c>
      <c r="ET79" s="103">
        <f t="shared" si="390"/>
        <v>0</v>
      </c>
      <c r="EU79" s="103">
        <f t="shared" si="390"/>
        <v>1.1397932295421966</v>
      </c>
      <c r="EV79" s="103">
        <f t="shared" si="390"/>
        <v>0</v>
      </c>
      <c r="EW79" s="103">
        <f t="shared" si="390"/>
        <v>1.3407363308494411</v>
      </c>
      <c r="EX79" s="103">
        <f t="shared" si="390"/>
        <v>1.300863314142322</v>
      </c>
      <c r="EY79" s="103">
        <f t="shared" si="390"/>
        <v>1.6435423777231053</v>
      </c>
      <c r="EZ79" s="103">
        <f t="shared" si="390"/>
        <v>1.4280579679990832</v>
      </c>
      <c r="FA79" s="103">
        <f t="shared" si="390"/>
        <v>1.1967738275963729</v>
      </c>
      <c r="FB79" s="103">
        <f t="shared" si="390"/>
        <v>0</v>
      </c>
      <c r="FC79" s="103">
        <f t="shared" si="390"/>
        <v>0</v>
      </c>
      <c r="FD79" s="103">
        <f t="shared" si="390"/>
        <v>0</v>
      </c>
      <c r="FE79" s="103">
        <f t="shared" si="390"/>
        <v>2.1183404042645591</v>
      </c>
      <c r="FF79" s="103">
        <f t="shared" si="390"/>
        <v>0.92807128992063614</v>
      </c>
      <c r="FG79" s="103">
        <f t="shared" si="390"/>
        <v>0</v>
      </c>
      <c r="FH79" s="103">
        <f t="shared" si="390"/>
        <v>0</v>
      </c>
      <c r="FI79" s="103">
        <f t="shared" si="390"/>
        <v>0</v>
      </c>
      <c r="FJ79" s="73"/>
    </row>
    <row r="80" spans="1:166">
      <c r="A80" s="71" t="s">
        <v>208</v>
      </c>
      <c r="B80" s="96" t="s">
        <v>162</v>
      </c>
      <c r="C80" s="101">
        <f t="shared" ref="C80:T80" si="391">C52/$U52</f>
        <v>1.4050151682732432</v>
      </c>
      <c r="D80" s="101">
        <f t="shared" si="391"/>
        <v>0.9305878378360033</v>
      </c>
      <c r="E80" s="101">
        <f t="shared" si="391"/>
        <v>1.5979777504027508</v>
      </c>
      <c r="F80" s="101">
        <f t="shared" si="391"/>
        <v>1.4176937790991802</v>
      </c>
      <c r="G80" s="101">
        <f t="shared" si="391"/>
        <v>0.73498158132789382</v>
      </c>
      <c r="H80" s="101">
        <f t="shared" si="391"/>
        <v>1.1088454535306298</v>
      </c>
      <c r="I80" s="101">
        <f t="shared" si="391"/>
        <v>0.92165491807150934</v>
      </c>
      <c r="J80" s="101">
        <f t="shared" si="391"/>
        <v>1.812037879759431</v>
      </c>
      <c r="K80" s="101">
        <f t="shared" si="391"/>
        <v>1.6814474228432961</v>
      </c>
      <c r="L80" s="101">
        <f t="shared" si="391"/>
        <v>1.208337905105155</v>
      </c>
      <c r="M80" s="101">
        <f t="shared" si="391"/>
        <v>1.0389366830056888</v>
      </c>
      <c r="N80" s="101">
        <f t="shared" si="391"/>
        <v>0.96106331699431113</v>
      </c>
      <c r="O80" s="101">
        <f t="shared" si="391"/>
        <v>0.80887103778469516</v>
      </c>
      <c r="P80" s="101">
        <f t="shared" si="391"/>
        <v>0.60018812678097244</v>
      </c>
      <c r="Q80" s="101">
        <f t="shared" si="391"/>
        <v>0</v>
      </c>
      <c r="R80" s="101">
        <f t="shared" si="391"/>
        <v>0.57308272791213588</v>
      </c>
      <c r="S80" s="101">
        <f t="shared" si="391"/>
        <v>0.91412053796688297</v>
      </c>
      <c r="T80" s="101">
        <f t="shared" si="391"/>
        <v>1.0799211570491685</v>
      </c>
      <c r="U80" s="102"/>
      <c r="V80" s="101">
        <f t="shared" ref="V80:AT80" si="392">V52/$AU52</f>
        <v>1.5151556619106932</v>
      </c>
      <c r="W80" s="101">
        <f t="shared" si="392"/>
        <v>1.5677034983807916</v>
      </c>
      <c r="X80" s="101">
        <f t="shared" si="392"/>
        <v>1.5241294065050492</v>
      </c>
      <c r="Y80" s="101">
        <f t="shared" si="392"/>
        <v>0.58012567420274841</v>
      </c>
      <c r="Z80" s="184">
        <f t="shared" si="392"/>
        <v>0.6093924521655919</v>
      </c>
      <c r="AA80" s="101">
        <f t="shared" si="392"/>
        <v>1.7697997648818957</v>
      </c>
      <c r="AB80" s="101">
        <f t="shared" si="392"/>
        <v>1.4742867866504352</v>
      </c>
      <c r="AC80" s="101">
        <f t="shared" si="392"/>
        <v>1.7876611485939342</v>
      </c>
      <c r="AD80" s="101">
        <f t="shared" si="392"/>
        <v>0.97267262617105354</v>
      </c>
      <c r="AE80" s="101">
        <f t="shared" si="392"/>
        <v>1.241238726911509</v>
      </c>
      <c r="AF80" s="101">
        <f t="shared" si="392"/>
        <v>1.3637563659778122</v>
      </c>
      <c r="AG80" s="101">
        <f t="shared" si="392"/>
        <v>0.77582687872088985</v>
      </c>
      <c r="AH80" s="101">
        <f t="shared" si="392"/>
        <v>1.1583539529412459</v>
      </c>
      <c r="AI80" s="101">
        <f t="shared" si="392"/>
        <v>1.0047631153369636</v>
      </c>
      <c r="AJ80" s="187">
        <f t="shared" si="392"/>
        <v>0.97417349964935129</v>
      </c>
      <c r="AK80" s="101">
        <f t="shared" si="392"/>
        <v>0.79619997396222664</v>
      </c>
      <c r="AL80" s="101">
        <f t="shared" si="392"/>
        <v>0.55277590725451153</v>
      </c>
      <c r="AM80" s="101">
        <f t="shared" si="392"/>
        <v>0.60318239816556307</v>
      </c>
      <c r="AN80" s="101">
        <f t="shared" si="392"/>
        <v>0.51864637960678173</v>
      </c>
      <c r="AO80" s="101">
        <f t="shared" si="392"/>
        <v>0.73705169465453713</v>
      </c>
      <c r="AP80" s="101">
        <f t="shared" si="392"/>
        <v>0.92711023351113886</v>
      </c>
      <c r="AQ80" s="101">
        <f t="shared" si="392"/>
        <v>1</v>
      </c>
      <c r="AR80" s="101">
        <f t="shared" si="392"/>
        <v>1.0519372182093065</v>
      </c>
      <c r="AS80" s="101">
        <f t="shared" si="392"/>
        <v>1.286867272512126</v>
      </c>
      <c r="AT80" s="101">
        <f t="shared" si="392"/>
        <v>0.55652412064977441</v>
      </c>
      <c r="AU80" s="102"/>
      <c r="AV80" s="101">
        <f t="shared" ref="AV80:CF80" si="393">AV52/$CP52</f>
        <v>0.75048739275754839</v>
      </c>
      <c r="AW80" s="101">
        <f t="shared" si="393"/>
        <v>0.79298176994385772</v>
      </c>
      <c r="AX80" s="101">
        <f t="shared" si="393"/>
        <v>0.88422757530063245</v>
      </c>
      <c r="AY80" s="101">
        <f t="shared" si="393"/>
        <v>0</v>
      </c>
      <c r="AZ80" s="101">
        <f t="shared" si="393"/>
        <v>0</v>
      </c>
      <c r="BA80" s="101">
        <f t="shared" si="393"/>
        <v>1.1357005139267256</v>
      </c>
      <c r="BB80" s="101">
        <f t="shared" si="393"/>
        <v>1.4232606875117306</v>
      </c>
      <c r="BC80" s="101">
        <f t="shared" si="393"/>
        <v>1.329910699454824</v>
      </c>
      <c r="BD80" s="101">
        <f t="shared" si="393"/>
        <v>0.8034544062520812</v>
      </c>
      <c r="BE80" s="101">
        <f t="shared" si="393"/>
        <v>0.85980692542632375</v>
      </c>
      <c r="BF80" s="101">
        <f t="shared" si="393"/>
        <v>1.1515135156266942</v>
      </c>
      <c r="BG80" s="101">
        <f t="shared" si="393"/>
        <v>1.0751879113497846</v>
      </c>
      <c r="BH80" s="101">
        <f t="shared" si="393"/>
        <v>1.1873537825405682</v>
      </c>
      <c r="BI80" s="101">
        <f t="shared" si="393"/>
        <v>1.1580464494587563</v>
      </c>
      <c r="BJ80" s="101">
        <f t="shared" si="393"/>
        <v>1.7312869313080339</v>
      </c>
      <c r="BK80" s="101">
        <f t="shared" si="393"/>
        <v>1.7022774781983254</v>
      </c>
      <c r="BL80" s="101">
        <f t="shared" si="393"/>
        <v>1.4152695968469444</v>
      </c>
      <c r="BM80" s="101">
        <f t="shared" si="393"/>
        <v>1.2970773750958853</v>
      </c>
      <c r="BN80" s="101">
        <f t="shared" si="393"/>
        <v>0.96612307808696918</v>
      </c>
      <c r="BO80" s="101">
        <f t="shared" si="393"/>
        <v>0.73315281082965089</v>
      </c>
      <c r="BP80" s="101">
        <f t="shared" si="393"/>
        <v>0.87541731064753081</v>
      </c>
      <c r="BQ80" s="101">
        <f t="shared" si="393"/>
        <v>0.73554981006722564</v>
      </c>
      <c r="BR80" s="101">
        <f t="shared" si="393"/>
        <v>1.1009859373863129</v>
      </c>
      <c r="BS80" s="101">
        <f t="shared" si="393"/>
        <v>1.1406536940613687</v>
      </c>
      <c r="BT80" s="101">
        <f t="shared" si="393"/>
        <v>1.0001750275159202</v>
      </c>
      <c r="BU80" s="101">
        <f t="shared" si="393"/>
        <v>0.80175058446031644</v>
      </c>
      <c r="BV80" s="101">
        <f t="shared" si="393"/>
        <v>0.90425673478055291</v>
      </c>
      <c r="BW80" s="101">
        <f t="shared" si="393"/>
        <v>1.0678658321642598</v>
      </c>
      <c r="BX80" s="101">
        <f t="shared" si="393"/>
        <v>1.4540462237992386</v>
      </c>
      <c r="BY80" s="101">
        <f t="shared" si="393"/>
        <v>1.6612459602049199</v>
      </c>
      <c r="BZ80" s="101">
        <f t="shared" si="393"/>
        <v>1.391905049093964</v>
      </c>
      <c r="CA80" s="101">
        <f t="shared" si="393"/>
        <v>1.075334329548322</v>
      </c>
      <c r="CB80" s="101">
        <f t="shared" si="393"/>
        <v>0.99982497248407975</v>
      </c>
      <c r="CC80" s="101">
        <f t="shared" si="393"/>
        <v>0.89711171577424054</v>
      </c>
      <c r="CD80" s="101">
        <f t="shared" si="393"/>
        <v>1.2299551718351136</v>
      </c>
      <c r="CE80" s="101">
        <f t="shared" si="393"/>
        <v>1.2596958133381355</v>
      </c>
      <c r="CF80" s="103">
        <f t="shared" si="393"/>
        <v>1.3142412688356997</v>
      </c>
      <c r="CG80" s="101">
        <f t="shared" ref="CG80:CO80" si="394">CG52/$U52</f>
        <v>0.83865603710974468</v>
      </c>
      <c r="CH80" s="101">
        <f t="shared" si="394"/>
        <v>1.0635309814291007</v>
      </c>
      <c r="CI80" s="101">
        <f t="shared" si="394"/>
        <v>0.61802461101135076</v>
      </c>
      <c r="CJ80" s="101">
        <f t="shared" si="394"/>
        <v>0.73426187977407775</v>
      </c>
      <c r="CK80" s="101">
        <f t="shared" si="394"/>
        <v>0</v>
      </c>
      <c r="CL80" s="101">
        <f t="shared" si="394"/>
        <v>0</v>
      </c>
      <c r="CM80" s="101">
        <f t="shared" si="394"/>
        <v>0.61715057171472087</v>
      </c>
      <c r="CN80" s="101">
        <f t="shared" si="394"/>
        <v>0</v>
      </c>
      <c r="CO80" s="101">
        <f t="shared" si="394"/>
        <v>0.62129231714930955</v>
      </c>
      <c r="CP80" s="101"/>
      <c r="CQ80" s="101">
        <f t="shared" si="359"/>
        <v>0.5894171676240153</v>
      </c>
      <c r="CR80" s="101">
        <f t="shared" si="359"/>
        <v>0.5009228271951125</v>
      </c>
      <c r="CS80" s="101">
        <f t="shared" si="359"/>
        <v>0.61545626834958289</v>
      </c>
      <c r="CT80" s="101">
        <f t="shared" si="359"/>
        <v>0.51186332307543336</v>
      </c>
      <c r="CU80" s="101">
        <f t="shared" si="359"/>
        <v>0.48571865924374874</v>
      </c>
      <c r="CV80" s="101">
        <f t="shared" si="359"/>
        <v>0.46770288426839107</v>
      </c>
      <c r="CW80" s="101">
        <f t="shared" si="359"/>
        <v>0.93685607395194759</v>
      </c>
      <c r="CX80" s="101">
        <f t="shared" si="359"/>
        <v>1.111042561712235</v>
      </c>
      <c r="CY80" s="102">
        <v>0</v>
      </c>
      <c r="CZ80" s="101">
        <f t="shared" ref="CZ80:DX80" si="395">CZ52/$AU52</f>
        <v>0.4929242434057472</v>
      </c>
      <c r="DA80" s="101">
        <f t="shared" si="395"/>
        <v>0.58524862377980702</v>
      </c>
      <c r="DB80" s="101">
        <f t="shared" si="395"/>
        <v>0.73782351740404029</v>
      </c>
      <c r="DC80" s="101">
        <f t="shared" si="395"/>
        <v>0.46117186304841795</v>
      </c>
      <c r="DD80" s="101">
        <f t="shared" si="395"/>
        <v>0.66102243913385095</v>
      </c>
      <c r="DE80" s="101">
        <f t="shared" si="395"/>
        <v>1.0001240618687508</v>
      </c>
      <c r="DF80" s="101">
        <f t="shared" si="395"/>
        <v>0.9823320635980286</v>
      </c>
      <c r="DG80" s="101">
        <f t="shared" si="395"/>
        <v>0</v>
      </c>
      <c r="DH80" s="101">
        <f t="shared" si="395"/>
        <v>0.43518826552771561</v>
      </c>
      <c r="DI80" s="101">
        <f t="shared" si="395"/>
        <v>0</v>
      </c>
      <c r="DJ80" s="101">
        <f t="shared" si="395"/>
        <v>0</v>
      </c>
      <c r="DK80" s="101">
        <f t="shared" si="395"/>
        <v>0.51006234446750909</v>
      </c>
      <c r="DL80" s="101">
        <f t="shared" si="395"/>
        <v>0.55374202305362641</v>
      </c>
      <c r="DM80" s="101">
        <f t="shared" si="395"/>
        <v>0.64109460468230028</v>
      </c>
      <c r="DN80" s="101">
        <f t="shared" si="395"/>
        <v>0.50894733061031494</v>
      </c>
      <c r="DO80" s="101">
        <f t="shared" si="395"/>
        <v>0.91160858518849619</v>
      </c>
      <c r="DP80" s="101">
        <f t="shared" si="395"/>
        <v>0.94037744146764912</v>
      </c>
      <c r="DQ80" s="101">
        <f t="shared" si="395"/>
        <v>0.86981105044581142</v>
      </c>
      <c r="DR80" s="101">
        <f t="shared" si="395"/>
        <v>0.83460715413244824</v>
      </c>
      <c r="DS80" s="101">
        <f t="shared" si="395"/>
        <v>0.4884220945093955</v>
      </c>
      <c r="DT80" s="101">
        <f t="shared" si="395"/>
        <v>0</v>
      </c>
      <c r="DU80" s="101">
        <f t="shared" si="395"/>
        <v>0.40553685632266961</v>
      </c>
      <c r="DV80" s="101">
        <f t="shared" si="395"/>
        <v>0.41338140036444415</v>
      </c>
      <c r="DW80" s="101">
        <f t="shared" si="395"/>
        <v>0.40880854843076769</v>
      </c>
      <c r="DX80" s="101">
        <f t="shared" si="395"/>
        <v>0.39627284049218048</v>
      </c>
      <c r="DY80" s="102">
        <v>0</v>
      </c>
      <c r="DZ80" s="101">
        <f t="shared" ref="DZ80:EO80" si="396">DZ52/$CP52</f>
        <v>0.65944904943540172</v>
      </c>
      <c r="EA80" s="101">
        <f t="shared" si="396"/>
        <v>0.65540699651260448</v>
      </c>
      <c r="EB80" s="101">
        <f t="shared" si="396"/>
        <v>0</v>
      </c>
      <c r="EC80" s="101">
        <f t="shared" si="396"/>
        <v>0.64399007040837231</v>
      </c>
      <c r="ED80" s="101">
        <f t="shared" si="396"/>
        <v>0.99576759531382986</v>
      </c>
      <c r="EE80" s="101">
        <f t="shared" si="396"/>
        <v>0.96773531949310188</v>
      </c>
      <c r="EF80" s="101">
        <f t="shared" si="396"/>
        <v>0.84510282566887951</v>
      </c>
      <c r="EG80" s="101">
        <f t="shared" si="396"/>
        <v>0.8703507570261052</v>
      </c>
      <c r="EH80" s="101">
        <f t="shared" si="396"/>
        <v>0.54645989540687057</v>
      </c>
      <c r="EI80" s="101">
        <f t="shared" si="396"/>
        <v>0</v>
      </c>
      <c r="EJ80" s="101">
        <f t="shared" si="396"/>
        <v>0</v>
      </c>
      <c r="EK80" s="101">
        <f t="shared" si="396"/>
        <v>0</v>
      </c>
      <c r="EL80" s="101">
        <f t="shared" si="396"/>
        <v>0</v>
      </c>
      <c r="EM80" s="101">
        <f t="shared" si="396"/>
        <v>0.53603371782680898</v>
      </c>
      <c r="EN80" s="101">
        <f t="shared" si="396"/>
        <v>0</v>
      </c>
      <c r="EO80" s="101">
        <f t="shared" si="396"/>
        <v>0.57574823567212874</v>
      </c>
      <c r="EP80" s="101"/>
      <c r="EQ80" s="103">
        <f t="shared" ref="EQ80:FI80" si="397">EQ52/$FK52</f>
        <v>1.2554366029367274</v>
      </c>
      <c r="ER80" s="103">
        <f t="shared" si="397"/>
        <v>1.7328032725265015</v>
      </c>
      <c r="ES80" s="103">
        <f t="shared" si="397"/>
        <v>1.4866833519664204</v>
      </c>
      <c r="ET80" s="103">
        <f t="shared" si="397"/>
        <v>0</v>
      </c>
      <c r="EU80" s="103">
        <f t="shared" si="397"/>
        <v>0</v>
      </c>
      <c r="EV80" s="103">
        <f t="shared" si="397"/>
        <v>0</v>
      </c>
      <c r="EW80" s="103">
        <f t="shared" si="397"/>
        <v>0</v>
      </c>
      <c r="EX80" s="103">
        <f t="shared" si="397"/>
        <v>1.5082708349699483</v>
      </c>
      <c r="EY80" s="103">
        <f t="shared" si="397"/>
        <v>1.7517351118134876</v>
      </c>
      <c r="EZ80" s="103">
        <f t="shared" si="397"/>
        <v>1.0000000331949113</v>
      </c>
      <c r="FA80" s="103">
        <f t="shared" si="397"/>
        <v>0</v>
      </c>
      <c r="FB80" s="103">
        <f t="shared" si="397"/>
        <v>1.3950068662443478</v>
      </c>
      <c r="FC80" s="103">
        <f t="shared" si="397"/>
        <v>0</v>
      </c>
      <c r="FD80" s="103">
        <f t="shared" si="397"/>
        <v>1.116172398141591</v>
      </c>
      <c r="FE80" s="103">
        <f t="shared" si="397"/>
        <v>1.7887313805035412</v>
      </c>
      <c r="FF80" s="103">
        <f t="shared" si="397"/>
        <v>1.0866114675600675</v>
      </c>
      <c r="FG80" s="103">
        <f t="shared" si="397"/>
        <v>0.93874222184054246</v>
      </c>
      <c r="FH80" s="103">
        <f t="shared" si="397"/>
        <v>0.81228663526643718</v>
      </c>
      <c r="FI80" s="103">
        <f t="shared" si="397"/>
        <v>0</v>
      </c>
      <c r="FJ80" s="73"/>
    </row>
    <row r="81" spans="1:166">
      <c r="A81" s="73"/>
      <c r="B81" s="74" t="s">
        <v>172</v>
      </c>
      <c r="C81" s="73">
        <f>AVERAGE(C75:C80)</f>
        <v>1.3045046026944058</v>
      </c>
      <c r="D81" s="73">
        <f t="shared" ref="D81:BO81" si="398">AVERAGE(D75:D80)</f>
        <v>0.91898290210604694</v>
      </c>
      <c r="E81" s="73">
        <f t="shared" si="398"/>
        <v>1.6370482656827499</v>
      </c>
      <c r="F81" s="73">
        <f t="shared" si="398"/>
        <v>1.5138724181714178</v>
      </c>
      <c r="G81" s="73">
        <f t="shared" si="398"/>
        <v>0.89987052594645867</v>
      </c>
      <c r="H81" s="73">
        <f t="shared" si="398"/>
        <v>1.0803598324226791</v>
      </c>
      <c r="I81" s="73">
        <f t="shared" si="398"/>
        <v>1.0533760396471377</v>
      </c>
      <c r="J81" s="73">
        <f t="shared" si="398"/>
        <v>1.7955296753696095</v>
      </c>
      <c r="K81" s="73">
        <f t="shared" si="398"/>
        <v>1.6440553686113184</v>
      </c>
      <c r="L81" s="73">
        <f t="shared" si="398"/>
        <v>1.0655407721763517</v>
      </c>
      <c r="M81" s="73">
        <f t="shared" si="398"/>
        <v>0.93148683481217087</v>
      </c>
      <c r="N81" s="73">
        <f t="shared" si="398"/>
        <v>0.8608199421063728</v>
      </c>
      <c r="O81" s="73">
        <f t="shared" si="398"/>
        <v>0.50335220648282664</v>
      </c>
      <c r="P81" s="73">
        <f t="shared" si="398"/>
        <v>0.72764776507673468</v>
      </c>
      <c r="Q81" s="73">
        <f t="shared" si="398"/>
        <v>0.38221203140445392</v>
      </c>
      <c r="R81" s="73">
        <f t="shared" si="398"/>
        <v>0.71148195785415391</v>
      </c>
      <c r="S81" s="73">
        <f t="shared" si="398"/>
        <v>0.85909667586345539</v>
      </c>
      <c r="T81" s="73">
        <f t="shared" si="398"/>
        <v>1.0357391769962752</v>
      </c>
      <c r="V81" s="73">
        <f t="shared" si="398"/>
        <v>1.4851560550862191</v>
      </c>
      <c r="W81" s="73">
        <f t="shared" si="398"/>
        <v>1.5390456890471267</v>
      </c>
      <c r="X81" s="73">
        <f t="shared" si="398"/>
        <v>1.5547275432178909</v>
      </c>
      <c r="Y81" s="73">
        <f t="shared" si="398"/>
        <v>0.60980713066348502</v>
      </c>
      <c r="Z81" s="73">
        <f t="shared" si="398"/>
        <v>0.80210468654359424</v>
      </c>
      <c r="AA81" s="73">
        <f t="shared" si="398"/>
        <v>1.7238761765655166</v>
      </c>
      <c r="AB81" s="73">
        <f t="shared" si="398"/>
        <v>1.4194506389574071</v>
      </c>
      <c r="AC81" s="73">
        <f t="shared" si="398"/>
        <v>1.7283462420904758</v>
      </c>
      <c r="AD81" s="73">
        <f t="shared" si="398"/>
        <v>1.0072612372810184</v>
      </c>
      <c r="AE81" s="73">
        <f t="shared" si="398"/>
        <v>1.3360429238871194</v>
      </c>
      <c r="AF81" s="73">
        <f t="shared" si="398"/>
        <v>1.3826620155154128</v>
      </c>
      <c r="AG81" s="73">
        <f t="shared" si="398"/>
        <v>0.94194676712988989</v>
      </c>
      <c r="AH81" s="73">
        <f t="shared" si="398"/>
        <v>1.1128897039778667</v>
      </c>
      <c r="AI81" s="73">
        <f t="shared" si="398"/>
        <v>0.80046325030892351</v>
      </c>
      <c r="AJ81" s="73">
        <f t="shared" si="398"/>
        <v>0.88126066471929543</v>
      </c>
      <c r="AK81" s="73">
        <f t="shared" si="398"/>
        <v>0.83810998986060892</v>
      </c>
      <c r="AL81" s="73">
        <f t="shared" si="398"/>
        <v>0.61871761755277921</v>
      </c>
      <c r="AM81" s="73">
        <f t="shared" si="398"/>
        <v>0.76777702083538324</v>
      </c>
      <c r="AN81" s="73">
        <f t="shared" si="398"/>
        <v>0.7834260084286776</v>
      </c>
      <c r="AO81" s="73">
        <f t="shared" si="398"/>
        <v>0.62856515955341774</v>
      </c>
      <c r="AP81" s="73">
        <f t="shared" si="398"/>
        <v>0.96898719618217966</v>
      </c>
      <c r="AQ81" s="73">
        <f t="shared" si="398"/>
        <v>0.94724468777392701</v>
      </c>
      <c r="AR81" s="73">
        <f t="shared" si="398"/>
        <v>1.0597818726353652</v>
      </c>
      <c r="AS81" s="73">
        <f t="shared" si="398"/>
        <v>1.3331429191610846</v>
      </c>
      <c r="AT81" s="73">
        <f t="shared" si="398"/>
        <v>0.65129234411263826</v>
      </c>
      <c r="AV81" s="73">
        <f t="shared" si="398"/>
        <v>0.68464054880488356</v>
      </c>
      <c r="AW81" s="73">
        <f t="shared" si="398"/>
        <v>0.86875790045742818</v>
      </c>
      <c r="AX81" s="73">
        <f t="shared" si="398"/>
        <v>0.85372913977236087</v>
      </c>
      <c r="AY81" s="73">
        <f t="shared" si="398"/>
        <v>0.46306879833731368</v>
      </c>
      <c r="AZ81" s="73">
        <f t="shared" si="398"/>
        <v>0.29142993447998372</v>
      </c>
      <c r="BA81" s="73">
        <f t="shared" si="398"/>
        <v>0.72559435157852759</v>
      </c>
      <c r="BB81" s="73">
        <f t="shared" si="398"/>
        <v>1.4742922703783234</v>
      </c>
      <c r="BC81" s="73">
        <f t="shared" si="398"/>
        <v>1.3581944314944827</v>
      </c>
      <c r="BD81" s="73">
        <f t="shared" si="398"/>
        <v>0.60030002864967502</v>
      </c>
      <c r="BE81" s="73">
        <f t="shared" si="398"/>
        <v>0.54300019224162122</v>
      </c>
      <c r="BF81" s="73">
        <f t="shared" si="398"/>
        <v>1.1647417443183798</v>
      </c>
      <c r="BG81" s="73">
        <f t="shared" si="398"/>
        <v>0.86851304349166603</v>
      </c>
      <c r="BH81" s="73">
        <f t="shared" si="398"/>
        <v>1.1036247492955773</v>
      </c>
      <c r="BI81" s="73">
        <f t="shared" si="398"/>
        <v>0.90671506741283914</v>
      </c>
      <c r="BJ81" s="73">
        <f t="shared" si="398"/>
        <v>1.78451403717735</v>
      </c>
      <c r="BK81" s="73">
        <f t="shared" si="398"/>
        <v>1.6646834073671679</v>
      </c>
      <c r="BL81" s="73">
        <f t="shared" si="398"/>
        <v>1.3535141502953916</v>
      </c>
      <c r="BM81" s="73">
        <f t="shared" si="398"/>
        <v>1.2834763427838933</v>
      </c>
      <c r="BN81" s="73">
        <f t="shared" si="398"/>
        <v>0.94740193852025145</v>
      </c>
      <c r="BO81" s="73">
        <f t="shared" si="398"/>
        <v>0.78242124943149072</v>
      </c>
      <c r="BP81" s="73">
        <f t="shared" ref="BP81:EA81" si="399">AVERAGE(BP75:BP80)</f>
        <v>0.82573513824656242</v>
      </c>
      <c r="BQ81" s="73">
        <f t="shared" si="399"/>
        <v>0.97197526119143485</v>
      </c>
      <c r="BR81" s="73">
        <f t="shared" si="399"/>
        <v>0.92018172966587108</v>
      </c>
      <c r="BS81" s="73">
        <f t="shared" si="399"/>
        <v>0.83598739127523147</v>
      </c>
      <c r="BT81" s="73">
        <f t="shared" si="399"/>
        <v>0.90344949429011778</v>
      </c>
      <c r="BU81" s="73">
        <f t="shared" si="399"/>
        <v>0.6012616783638548</v>
      </c>
      <c r="BV81" s="73">
        <f t="shared" si="399"/>
        <v>1.0448191727290679</v>
      </c>
      <c r="BW81" s="73">
        <f t="shared" si="399"/>
        <v>1.2363396223908005</v>
      </c>
      <c r="BX81" s="73">
        <f t="shared" si="399"/>
        <v>1.4564799085470195</v>
      </c>
      <c r="BY81" s="73">
        <f t="shared" si="399"/>
        <v>1.688087840582736</v>
      </c>
      <c r="BZ81" s="73">
        <f t="shared" si="399"/>
        <v>1.31234288809377</v>
      </c>
      <c r="CA81" s="73">
        <f t="shared" si="399"/>
        <v>1.129655812552629</v>
      </c>
      <c r="CB81" s="73">
        <f t="shared" si="399"/>
        <v>0.99144673098632163</v>
      </c>
      <c r="CC81" s="73">
        <f t="shared" si="399"/>
        <v>0.81351993246770216</v>
      </c>
      <c r="CD81" s="73">
        <f t="shared" si="399"/>
        <v>1.2868178629958555</v>
      </c>
      <c r="CE81" s="73">
        <f t="shared" si="399"/>
        <v>1.3049612761667546</v>
      </c>
      <c r="CF81" s="82">
        <f t="shared" si="399"/>
        <v>1.2635071664315778</v>
      </c>
      <c r="CG81" s="73">
        <f t="shared" si="399"/>
        <v>0.80132917858983144</v>
      </c>
      <c r="CH81" s="73">
        <f t="shared" si="399"/>
        <v>1.0170479456388419</v>
      </c>
      <c r="CI81" s="73">
        <f t="shared" si="399"/>
        <v>0.3856074857751281</v>
      </c>
      <c r="CJ81" s="73">
        <f t="shared" si="399"/>
        <v>0.23546591086845026</v>
      </c>
      <c r="CK81" s="73">
        <f t="shared" si="399"/>
        <v>0.47055240376426322</v>
      </c>
      <c r="CL81" s="73">
        <f t="shared" si="399"/>
        <v>0</v>
      </c>
      <c r="CM81" s="73">
        <f t="shared" si="399"/>
        <v>0.73248398317192498</v>
      </c>
      <c r="CN81" s="73">
        <f t="shared" si="399"/>
        <v>0.37226196901041098</v>
      </c>
      <c r="CO81" s="73">
        <f t="shared" si="399"/>
        <v>0.71169317591384695</v>
      </c>
      <c r="CQ81" s="73">
        <f t="shared" si="399"/>
        <v>0.19335435430923234</v>
      </c>
      <c r="CR81" s="73">
        <f t="shared" si="399"/>
        <v>0.1766989142725198</v>
      </c>
      <c r="CS81" s="73">
        <f t="shared" si="399"/>
        <v>0.19550728431570205</v>
      </c>
      <c r="CT81" s="73">
        <f t="shared" si="399"/>
        <v>0.39379473458305586</v>
      </c>
      <c r="CU81" s="73">
        <f t="shared" si="399"/>
        <v>8.0953109873958123E-2</v>
      </c>
      <c r="CV81" s="73">
        <f t="shared" si="399"/>
        <v>0.18778498496158388</v>
      </c>
      <c r="CW81" s="73">
        <f t="shared" si="399"/>
        <v>0.54244310896755799</v>
      </c>
      <c r="CX81" s="73">
        <f t="shared" si="399"/>
        <v>0.91721435693268916</v>
      </c>
      <c r="CY81" s="73">
        <f t="shared" si="399"/>
        <v>0</v>
      </c>
      <c r="CZ81" s="73">
        <f t="shared" si="399"/>
        <v>0.3425063034422689</v>
      </c>
      <c r="DA81" s="73">
        <f t="shared" si="399"/>
        <v>0.4678438490786217</v>
      </c>
      <c r="DB81" s="73">
        <f t="shared" si="399"/>
        <v>0.54573902297835375</v>
      </c>
      <c r="DC81" s="73">
        <f t="shared" si="399"/>
        <v>0.13903254649279709</v>
      </c>
      <c r="DD81" s="73">
        <f t="shared" si="399"/>
        <v>0.35172602087863619</v>
      </c>
      <c r="DE81" s="73">
        <f t="shared" si="399"/>
        <v>0.80893879566225291</v>
      </c>
      <c r="DF81" s="73">
        <f t="shared" si="399"/>
        <v>0.72285496813262462</v>
      </c>
      <c r="DG81" s="73">
        <f t="shared" si="399"/>
        <v>7.3873056053020705E-2</v>
      </c>
      <c r="DH81" s="73">
        <f t="shared" si="399"/>
        <v>7.2531377587952597E-2</v>
      </c>
      <c r="DI81" s="73">
        <f t="shared" si="399"/>
        <v>6.9390110000050839E-2</v>
      </c>
      <c r="DJ81" s="73">
        <f t="shared" si="399"/>
        <v>0.20393342378127757</v>
      </c>
      <c r="DK81" s="73">
        <f t="shared" si="399"/>
        <v>0.33888806697979151</v>
      </c>
      <c r="DL81" s="73">
        <f t="shared" si="399"/>
        <v>0.34508327547056633</v>
      </c>
      <c r="DM81" s="73">
        <f t="shared" si="399"/>
        <v>0.46527442931456564</v>
      </c>
      <c r="DN81" s="73">
        <f t="shared" si="399"/>
        <v>0.34622499511819155</v>
      </c>
      <c r="DO81" s="73">
        <f t="shared" si="399"/>
        <v>0.65654668957774687</v>
      </c>
      <c r="DP81" s="73">
        <f t="shared" si="399"/>
        <v>0.74853144623507462</v>
      </c>
      <c r="DQ81" s="73">
        <f t="shared" si="399"/>
        <v>0.67574437513392882</v>
      </c>
      <c r="DR81" s="73">
        <f t="shared" si="399"/>
        <v>0.54051795267042391</v>
      </c>
      <c r="DS81" s="73">
        <f t="shared" si="399"/>
        <v>8.1403682418232579E-2</v>
      </c>
      <c r="DT81" s="73">
        <f t="shared" si="399"/>
        <v>0</v>
      </c>
      <c r="DU81" s="73">
        <f t="shared" si="399"/>
        <v>0.23046404950232066</v>
      </c>
      <c r="DV81" s="73">
        <f t="shared" si="399"/>
        <v>6.8896900060740687E-2</v>
      </c>
      <c r="DW81" s="73">
        <f t="shared" si="399"/>
        <v>6.8134758071794616E-2</v>
      </c>
      <c r="DX81" s="73">
        <f t="shared" si="399"/>
        <v>0.27340818727630517</v>
      </c>
      <c r="DY81" s="73">
        <f t="shared" si="399"/>
        <v>0</v>
      </c>
      <c r="DZ81" s="73">
        <f t="shared" si="399"/>
        <v>0.58329483443360652</v>
      </c>
      <c r="EA81" s="73">
        <f t="shared" si="399"/>
        <v>0.17486139691816582</v>
      </c>
      <c r="EB81" s="73">
        <f t="shared" ref="EB81:FI81" si="400">AVERAGE(EB75:EB80)</f>
        <v>0</v>
      </c>
      <c r="EC81" s="73">
        <f t="shared" si="400"/>
        <v>0.34028100760771052</v>
      </c>
      <c r="ED81" s="73">
        <f t="shared" si="400"/>
        <v>0.73401204753546645</v>
      </c>
      <c r="EE81" s="73">
        <f t="shared" si="400"/>
        <v>0.58101999099547297</v>
      </c>
      <c r="EF81" s="73">
        <f t="shared" si="400"/>
        <v>0.74832243826527545</v>
      </c>
      <c r="EG81" s="73">
        <f t="shared" si="400"/>
        <v>0.45845772184381922</v>
      </c>
      <c r="EH81" s="73">
        <f t="shared" si="400"/>
        <v>0.16605029653113371</v>
      </c>
      <c r="EI81" s="73">
        <f t="shared" si="400"/>
        <v>0.13737505638438369</v>
      </c>
      <c r="EJ81" s="73">
        <f t="shared" si="400"/>
        <v>0</v>
      </c>
      <c r="EK81" s="73">
        <f t="shared" si="400"/>
        <v>0</v>
      </c>
      <c r="EL81" s="73">
        <f t="shared" si="400"/>
        <v>0.26400301878032434</v>
      </c>
      <c r="EM81" s="73">
        <f t="shared" si="400"/>
        <v>0.17214074471637406</v>
      </c>
      <c r="EN81" s="73">
        <f t="shared" si="400"/>
        <v>0.14366414030776795</v>
      </c>
      <c r="EO81" s="73">
        <f t="shared" si="400"/>
        <v>0.44107172774903619</v>
      </c>
      <c r="EQ81" s="73">
        <f t="shared" si="400"/>
        <v>0.54257276708547952</v>
      </c>
      <c r="ER81" s="73">
        <f t="shared" si="400"/>
        <v>1.4941783896951897</v>
      </c>
      <c r="ES81" s="73">
        <f t="shared" si="400"/>
        <v>0.63322815149261757</v>
      </c>
      <c r="ET81" s="73">
        <f t="shared" si="400"/>
        <v>0</v>
      </c>
      <c r="EU81" s="73">
        <f t="shared" si="400"/>
        <v>0.61053095575298222</v>
      </c>
      <c r="EV81" s="73">
        <f t="shared" si="400"/>
        <v>0.37157101766296741</v>
      </c>
      <c r="EW81" s="73">
        <f t="shared" si="400"/>
        <v>0.22345605514157352</v>
      </c>
      <c r="EX81" s="73">
        <f t="shared" si="400"/>
        <v>0.94214827175654803</v>
      </c>
      <c r="EY81" s="73">
        <f t="shared" si="400"/>
        <v>1.7152698261985055</v>
      </c>
      <c r="EZ81" s="73">
        <f t="shared" si="400"/>
        <v>0.77057687618571524</v>
      </c>
      <c r="FA81" s="73">
        <f t="shared" si="400"/>
        <v>0.37277393198587488</v>
      </c>
      <c r="FB81" s="73">
        <f t="shared" si="400"/>
        <v>0.67480365607191806</v>
      </c>
      <c r="FC81" s="73">
        <f t="shared" si="400"/>
        <v>0</v>
      </c>
      <c r="FD81" s="73">
        <f t="shared" si="400"/>
        <v>0.45400109994898324</v>
      </c>
      <c r="FE81" s="73">
        <f t="shared" si="400"/>
        <v>1.7497652518799336</v>
      </c>
      <c r="FF81" s="73">
        <f t="shared" si="400"/>
        <v>0.33578045958011726</v>
      </c>
      <c r="FG81" s="73">
        <f t="shared" si="400"/>
        <v>0.15645703697342375</v>
      </c>
      <c r="FH81" s="73">
        <f t="shared" si="400"/>
        <v>0.29841088580494995</v>
      </c>
      <c r="FI81" s="73">
        <f t="shared" si="400"/>
        <v>0</v>
      </c>
      <c r="FJ81" s="73"/>
    </row>
    <row r="82" spans="1:166">
      <c r="A82" s="73"/>
      <c r="B82" s="74" t="s">
        <v>165</v>
      </c>
      <c r="C82" s="73">
        <f>_xlfn.STDEV.S(C75:C80)</f>
        <v>0.15784568941641985</v>
      </c>
      <c r="D82" s="73">
        <f t="shared" ref="D82:BO82" si="401">_xlfn.STDEV.S(D75:D80)</f>
        <v>0.13482722278501888</v>
      </c>
      <c r="E82" s="73">
        <f t="shared" si="401"/>
        <v>6.8741473641527634E-2</v>
      </c>
      <c r="F82" s="73">
        <f t="shared" si="401"/>
        <v>8.3139371562830619E-2</v>
      </c>
      <c r="G82" s="73">
        <f t="shared" si="401"/>
        <v>0.1267624410069545</v>
      </c>
      <c r="H82" s="73">
        <f t="shared" si="401"/>
        <v>0.1052000281481371</v>
      </c>
      <c r="I82" s="73">
        <f t="shared" si="401"/>
        <v>0.14907224872747155</v>
      </c>
      <c r="J82" s="73">
        <f t="shared" si="401"/>
        <v>4.9158633659997841E-2</v>
      </c>
      <c r="K82" s="73">
        <f t="shared" si="401"/>
        <v>5.3850697390520556E-2</v>
      </c>
      <c r="L82" s="73">
        <f t="shared" si="401"/>
        <v>0.15521184095982518</v>
      </c>
      <c r="M82" s="73">
        <f t="shared" si="401"/>
        <v>0.10543169515758884</v>
      </c>
      <c r="N82" s="73">
        <f t="shared" si="401"/>
        <v>0.14514555466464915</v>
      </c>
      <c r="O82" s="73">
        <f t="shared" si="401"/>
        <v>0.39190120640769055</v>
      </c>
      <c r="P82" s="73">
        <f t="shared" si="401"/>
        <v>9.7541923760964572E-2</v>
      </c>
      <c r="Q82" s="73">
        <f t="shared" si="401"/>
        <v>0.41944883453379656</v>
      </c>
      <c r="R82" s="73">
        <f t="shared" si="401"/>
        <v>7.2283036045246898E-2</v>
      </c>
      <c r="S82" s="73">
        <f t="shared" si="401"/>
        <v>0.12919000493486135</v>
      </c>
      <c r="T82" s="73">
        <f t="shared" si="401"/>
        <v>0.1180217593022071</v>
      </c>
      <c r="V82" s="73">
        <f t="shared" si="401"/>
        <v>6.4850252112227003E-2</v>
      </c>
      <c r="W82" s="73">
        <f t="shared" si="401"/>
        <v>6.2858090274153192E-2</v>
      </c>
      <c r="X82" s="73">
        <f t="shared" si="401"/>
        <v>4.0774731659326685E-2</v>
      </c>
      <c r="Y82" s="73">
        <f t="shared" si="401"/>
        <v>8.2270483371540221E-2</v>
      </c>
      <c r="Z82" s="73">
        <f t="shared" si="401"/>
        <v>0.14289650636662105</v>
      </c>
      <c r="AA82" s="73">
        <f t="shared" si="401"/>
        <v>7.5009926579079664E-2</v>
      </c>
      <c r="AB82" s="73">
        <f t="shared" si="401"/>
        <v>8.3556202555932685E-2</v>
      </c>
      <c r="AC82" s="73">
        <f t="shared" si="401"/>
        <v>9.4530149860517401E-2</v>
      </c>
      <c r="AD82" s="73">
        <f t="shared" si="401"/>
        <v>3.8880161502569427E-2</v>
      </c>
      <c r="AE82" s="73">
        <f t="shared" si="401"/>
        <v>6.719190095445815E-2</v>
      </c>
      <c r="AF82" s="73">
        <f t="shared" si="401"/>
        <v>4.422296146530548E-2</v>
      </c>
      <c r="AG82" s="73">
        <f t="shared" si="401"/>
        <v>9.1184595297740909E-2</v>
      </c>
      <c r="AH82" s="73">
        <f t="shared" si="401"/>
        <v>2.9090710944070574E-2</v>
      </c>
      <c r="AI82" s="73">
        <f t="shared" si="401"/>
        <v>0.16714962504339617</v>
      </c>
      <c r="AJ82" s="73">
        <f t="shared" si="401"/>
        <v>0.15465514778110612</v>
      </c>
      <c r="AK82" s="73">
        <f t="shared" si="401"/>
        <v>5.2432759138841552E-2</v>
      </c>
      <c r="AL82" s="73">
        <f t="shared" si="401"/>
        <v>0.11499758411157567</v>
      </c>
      <c r="AM82" s="73">
        <f t="shared" si="401"/>
        <v>0.11987072594760076</v>
      </c>
      <c r="AN82" s="73">
        <f t="shared" si="401"/>
        <v>0.15503252039859616</v>
      </c>
      <c r="AO82" s="73">
        <f t="shared" si="401"/>
        <v>0.13696695731268077</v>
      </c>
      <c r="AP82" s="73">
        <f t="shared" si="401"/>
        <v>3.4403326634272841E-2</v>
      </c>
      <c r="AQ82" s="73">
        <f t="shared" si="401"/>
        <v>3.738513214760443E-2</v>
      </c>
      <c r="AR82" s="73">
        <f t="shared" si="401"/>
        <v>2.8770778880806588E-2</v>
      </c>
      <c r="AS82" s="73">
        <f t="shared" si="401"/>
        <v>7.1668072892673365E-2</v>
      </c>
      <c r="AT82" s="73">
        <f t="shared" si="401"/>
        <v>0.10625386985438065</v>
      </c>
      <c r="AV82" s="73">
        <f t="shared" si="401"/>
        <v>0.3861742569601046</v>
      </c>
      <c r="AW82" s="73">
        <f t="shared" si="401"/>
        <v>0.18442576000451263</v>
      </c>
      <c r="AX82" s="73">
        <f t="shared" si="401"/>
        <v>0.13835222495579746</v>
      </c>
      <c r="AY82" s="73">
        <f t="shared" si="401"/>
        <v>0.37545071121655488</v>
      </c>
      <c r="AZ82" s="73">
        <f t="shared" si="401"/>
        <v>0.33077898631637698</v>
      </c>
      <c r="BA82" s="73">
        <f t="shared" si="401"/>
        <v>0.56626606178113148</v>
      </c>
      <c r="BB82" s="73">
        <f t="shared" si="401"/>
        <v>7.5780055406387131E-2</v>
      </c>
      <c r="BC82" s="73">
        <f t="shared" si="401"/>
        <v>0.1437682595390927</v>
      </c>
      <c r="BD82" s="73">
        <f t="shared" si="401"/>
        <v>0.46980669603556335</v>
      </c>
      <c r="BE82" s="73">
        <f t="shared" si="401"/>
        <v>0.42572831160908164</v>
      </c>
      <c r="BF82" s="73">
        <f t="shared" si="401"/>
        <v>0.17417416083957005</v>
      </c>
      <c r="BG82" s="73">
        <f t="shared" si="401"/>
        <v>0.4325439347985966</v>
      </c>
      <c r="BH82" s="73">
        <f t="shared" si="401"/>
        <v>7.7425544032244623E-2</v>
      </c>
      <c r="BI82" s="73">
        <f t="shared" si="401"/>
        <v>0.44781252140822309</v>
      </c>
      <c r="BJ82" s="73">
        <f t="shared" si="401"/>
        <v>0.17971783926014157</v>
      </c>
      <c r="BK82" s="73">
        <f t="shared" si="401"/>
        <v>0.11718417916261135</v>
      </c>
      <c r="BL82" s="73">
        <f t="shared" si="401"/>
        <v>0.18218276036779527</v>
      </c>
      <c r="BM82" s="73">
        <f t="shared" si="401"/>
        <v>7.520394106008324E-2</v>
      </c>
      <c r="BN82" s="73">
        <f t="shared" si="401"/>
        <v>2.5421955678613637E-2</v>
      </c>
      <c r="BO82" s="73">
        <f t="shared" si="401"/>
        <v>0.45558524832033792</v>
      </c>
      <c r="BP82" s="73">
        <f t="shared" ref="BP82:EA82" si="402">_xlfn.STDEV.S(BP75:BP80)</f>
        <v>0.40907025323499546</v>
      </c>
      <c r="BQ82" s="73">
        <f t="shared" si="402"/>
        <v>0.72078435725846379</v>
      </c>
      <c r="BR82" s="73">
        <f t="shared" si="402"/>
        <v>0.45507365698808</v>
      </c>
      <c r="BS82" s="73">
        <f t="shared" si="402"/>
        <v>0.42757068346837168</v>
      </c>
      <c r="BT82" s="73">
        <f t="shared" si="402"/>
        <v>0.44809331168943295</v>
      </c>
      <c r="BU82" s="73">
        <f t="shared" si="402"/>
        <v>0.46992861076251019</v>
      </c>
      <c r="BV82" s="73">
        <f t="shared" si="402"/>
        <v>0.28450324487394418</v>
      </c>
      <c r="BW82" s="73">
        <f t="shared" si="402"/>
        <v>9.705918070790566E-2</v>
      </c>
      <c r="BX82" s="73">
        <f t="shared" si="402"/>
        <v>6.6670282434653297E-2</v>
      </c>
      <c r="BY82" s="73">
        <f t="shared" si="402"/>
        <v>0.12104661791693647</v>
      </c>
      <c r="BZ82" s="73">
        <f t="shared" si="402"/>
        <v>0.16857683294099929</v>
      </c>
      <c r="CA82" s="73">
        <f t="shared" si="402"/>
        <v>8.9381749753369294E-2</v>
      </c>
      <c r="CB82" s="73">
        <f t="shared" si="402"/>
        <v>0.11854249107467206</v>
      </c>
      <c r="CC82" s="73">
        <f t="shared" si="402"/>
        <v>0.40197157720755322</v>
      </c>
      <c r="CD82" s="73">
        <f t="shared" si="402"/>
        <v>8.3812862095315299E-2</v>
      </c>
      <c r="CE82" s="73">
        <f t="shared" si="402"/>
        <v>9.1180789670897128E-2</v>
      </c>
      <c r="CF82" s="73">
        <f t="shared" si="402"/>
        <v>6.1613695479477266E-2</v>
      </c>
      <c r="CG82" s="73">
        <f t="shared" si="402"/>
        <v>2.7459438461040618E-2</v>
      </c>
      <c r="CH82" s="73">
        <f t="shared" si="402"/>
        <v>8.8275407998428868E-2</v>
      </c>
      <c r="CI82" s="73">
        <f t="shared" si="402"/>
        <v>0.43226981771852985</v>
      </c>
      <c r="CJ82" s="73">
        <f t="shared" si="402"/>
        <v>0.36520765697564134</v>
      </c>
      <c r="CK82" s="73">
        <f t="shared" si="402"/>
        <v>0.5227075178772248</v>
      </c>
      <c r="CL82" s="73">
        <f t="shared" si="402"/>
        <v>0</v>
      </c>
      <c r="CM82" s="73">
        <f t="shared" si="402"/>
        <v>0.41416706758539812</v>
      </c>
      <c r="CN82" s="73">
        <f t="shared" si="402"/>
        <v>0.40999325853019619</v>
      </c>
      <c r="CO82" s="73">
        <f t="shared" si="402"/>
        <v>7.3620396242701738E-2</v>
      </c>
      <c r="CQ82" s="73">
        <f t="shared" si="402"/>
        <v>0.29960169375803641</v>
      </c>
      <c r="CR82" s="73">
        <f t="shared" si="402"/>
        <v>0.27436191804495719</v>
      </c>
      <c r="CS82" s="73">
        <f t="shared" si="402"/>
        <v>0.30343090792975425</v>
      </c>
      <c r="CT82" s="73">
        <f t="shared" si="402"/>
        <v>0.31310579311787595</v>
      </c>
      <c r="CU82" s="73">
        <f t="shared" si="402"/>
        <v>0.19829381228266005</v>
      </c>
      <c r="CV82" s="73">
        <f t="shared" si="402"/>
        <v>0.29713870301617118</v>
      </c>
      <c r="CW82" s="73">
        <f t="shared" si="402"/>
        <v>0.44696351887653252</v>
      </c>
      <c r="CX82" s="73">
        <f t="shared" si="402"/>
        <v>0.22800643687675129</v>
      </c>
      <c r="CY82" s="73">
        <f t="shared" si="402"/>
        <v>0</v>
      </c>
      <c r="CZ82" s="73">
        <f t="shared" si="402"/>
        <v>0.26596252039594431</v>
      </c>
      <c r="DA82" s="73">
        <f t="shared" si="402"/>
        <v>0.24731415249728533</v>
      </c>
      <c r="DB82" s="73">
        <f t="shared" si="402"/>
        <v>0.29101319034091377</v>
      </c>
      <c r="DC82" s="73">
        <f t="shared" si="402"/>
        <v>0.21718455846485163</v>
      </c>
      <c r="DD82" s="73">
        <f t="shared" si="402"/>
        <v>0.28803515616706804</v>
      </c>
      <c r="DE82" s="73">
        <f t="shared" si="402"/>
        <v>0.19298497981400839</v>
      </c>
      <c r="DF82" s="73">
        <f t="shared" si="402"/>
        <v>0.3643385273965748</v>
      </c>
      <c r="DG82" s="73">
        <f t="shared" si="402"/>
        <v>0.18095129306992097</v>
      </c>
      <c r="DH82" s="73">
        <f t="shared" si="402"/>
        <v>0.1776648654316236</v>
      </c>
      <c r="DI82" s="73">
        <f t="shared" si="402"/>
        <v>0.16997036269572094</v>
      </c>
      <c r="DJ82" s="73">
        <f t="shared" si="402"/>
        <v>0.22542308889166576</v>
      </c>
      <c r="DK82" s="73">
        <f t="shared" si="402"/>
        <v>0.26625669400732738</v>
      </c>
      <c r="DL82" s="73">
        <f t="shared" si="402"/>
        <v>0.27295515499493633</v>
      </c>
      <c r="DM82" s="73">
        <f t="shared" si="402"/>
        <v>0.24445250268828708</v>
      </c>
      <c r="DN82" s="73">
        <f t="shared" si="402"/>
        <v>0.27310905514153039</v>
      </c>
      <c r="DO82" s="73">
        <f t="shared" si="402"/>
        <v>0.33197208539649975</v>
      </c>
      <c r="DP82" s="73">
        <f t="shared" si="402"/>
        <v>0.20639530523354152</v>
      </c>
      <c r="DQ82" s="73">
        <f t="shared" si="402"/>
        <v>0.1713938735189604</v>
      </c>
      <c r="DR82" s="73">
        <f t="shared" si="402"/>
        <v>0.30015280316148824</v>
      </c>
      <c r="DS82" s="73">
        <f t="shared" si="402"/>
        <v>0.19939748510824004</v>
      </c>
      <c r="DT82" s="73">
        <f t="shared" si="402"/>
        <v>0</v>
      </c>
      <c r="DU82" s="73">
        <f t="shared" si="402"/>
        <v>0.25589182647357434</v>
      </c>
      <c r="DV82" s="73">
        <f t="shared" si="402"/>
        <v>0.16876225000834205</v>
      </c>
      <c r="DW82" s="73">
        <f t="shared" si="402"/>
        <v>0.16689539102387427</v>
      </c>
      <c r="DX82" s="73">
        <f t="shared" si="402"/>
        <v>0.21278279212406673</v>
      </c>
      <c r="DY82" s="73">
        <f t="shared" si="402"/>
        <v>0</v>
      </c>
      <c r="DZ82" s="73">
        <f t="shared" si="402"/>
        <v>0.30983022104156532</v>
      </c>
      <c r="EA82" s="73">
        <f t="shared" si="402"/>
        <v>0.28324805757459831</v>
      </c>
      <c r="EB82" s="73">
        <f t="shared" ref="EB82:FI82" si="403">_xlfn.STDEV.S(EB75:EB80)</f>
        <v>0</v>
      </c>
      <c r="EC82" s="73">
        <f t="shared" si="403"/>
        <v>0.38214351101728633</v>
      </c>
      <c r="ED82" s="73">
        <f t="shared" si="403"/>
        <v>0.24740193593699403</v>
      </c>
      <c r="EE82" s="73">
        <f t="shared" si="403"/>
        <v>0.48953922639076969</v>
      </c>
      <c r="EF82" s="73">
        <f t="shared" si="403"/>
        <v>0.44608261852505898</v>
      </c>
      <c r="EG82" s="73">
        <f t="shared" si="403"/>
        <v>0.37757335097114808</v>
      </c>
      <c r="EH82" s="73">
        <f t="shared" si="403"/>
        <v>0.25905209199012497</v>
      </c>
      <c r="EI82" s="73">
        <f t="shared" si="403"/>
        <v>0.33649879152780859</v>
      </c>
      <c r="EJ82" s="73">
        <f t="shared" si="403"/>
        <v>0</v>
      </c>
      <c r="EK82" s="73">
        <f t="shared" si="403"/>
        <v>0</v>
      </c>
      <c r="EL82" s="73">
        <f t="shared" si="403"/>
        <v>0.30673099282717581</v>
      </c>
      <c r="EM82" s="73">
        <f t="shared" si="403"/>
        <v>0.26696758323143832</v>
      </c>
      <c r="EN82" s="73">
        <f t="shared" si="403"/>
        <v>0.35190383808964093</v>
      </c>
      <c r="EO82" s="73">
        <f t="shared" si="403"/>
        <v>0.39415080307441336</v>
      </c>
      <c r="EQ82" s="73">
        <f t="shared" si="403"/>
        <v>0.60163274805297084</v>
      </c>
      <c r="ER82" s="73">
        <f t="shared" si="403"/>
        <v>0.74451847337720178</v>
      </c>
      <c r="ES82" s="73">
        <f t="shared" si="403"/>
        <v>0.70484084210646702</v>
      </c>
      <c r="ET82" s="73">
        <f t="shared" si="403"/>
        <v>0</v>
      </c>
      <c r="EU82" s="73">
        <f t="shared" si="403"/>
        <v>0.6735635484387138</v>
      </c>
      <c r="EV82" s="73">
        <f t="shared" si="403"/>
        <v>0.57744463675399849</v>
      </c>
      <c r="EW82" s="73">
        <f t="shared" si="403"/>
        <v>0.54735331503207663</v>
      </c>
      <c r="EX82" s="73">
        <f t="shared" si="403"/>
        <v>0.74537865557018645</v>
      </c>
      <c r="EY82" s="73">
        <f t="shared" si="403"/>
        <v>0.1344813058309787</v>
      </c>
      <c r="EZ82" s="73">
        <f t="shared" si="403"/>
        <v>0.62049696214788286</v>
      </c>
      <c r="FA82" s="73">
        <f t="shared" si="403"/>
        <v>0.57962648230649549</v>
      </c>
      <c r="FB82" s="73">
        <f t="shared" si="403"/>
        <v>0.76425244691326599</v>
      </c>
      <c r="FC82" s="73">
        <f t="shared" si="403"/>
        <v>0</v>
      </c>
      <c r="FD82" s="73">
        <f t="shared" si="403"/>
        <v>0.72031516012439722</v>
      </c>
      <c r="FE82" s="73">
        <f t="shared" si="403"/>
        <v>0.32724264863168939</v>
      </c>
      <c r="FF82" s="73">
        <f t="shared" si="403"/>
        <v>0.52259921515306329</v>
      </c>
      <c r="FG82" s="73">
        <f t="shared" si="403"/>
        <v>0.38323990725264989</v>
      </c>
      <c r="FH82" s="73">
        <f t="shared" si="403"/>
        <v>0.46526310113380548</v>
      </c>
      <c r="FI82" s="73">
        <f t="shared" si="403"/>
        <v>0</v>
      </c>
      <c r="FJ82" s="73"/>
    </row>
    <row r="83" spans="1:166">
      <c r="A83" s="73"/>
      <c r="B83" s="74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  <c r="CG83" s="73"/>
      <c r="CH83" s="73"/>
      <c r="CI83" s="73"/>
      <c r="CJ83" s="73"/>
      <c r="CK83" s="73"/>
      <c r="CL83" s="73"/>
      <c r="CM83" s="73"/>
      <c r="CN83" s="73"/>
      <c r="CO83" s="73"/>
      <c r="CQ83" s="73"/>
      <c r="CR83" s="73"/>
      <c r="CS83" s="73"/>
      <c r="CT83" s="73"/>
      <c r="CU83" s="73"/>
      <c r="CV83" s="73"/>
      <c r="CW83" s="73"/>
      <c r="CX83" s="73"/>
      <c r="CY83" s="73"/>
      <c r="CZ83" s="73"/>
      <c r="DA83" s="73"/>
      <c r="DB83" s="73"/>
      <c r="DC83" s="73"/>
      <c r="DD83" s="73"/>
      <c r="DE83" s="73"/>
      <c r="DF83" s="73"/>
      <c r="DG83" s="73"/>
      <c r="DH83" s="73"/>
      <c r="DI83" s="73"/>
      <c r="DJ83" s="73"/>
      <c r="DK83" s="73"/>
      <c r="DL83" s="73"/>
      <c r="DM83" s="73"/>
      <c r="DN83" s="73"/>
      <c r="DO83" s="73"/>
      <c r="DP83" s="73"/>
      <c r="DQ83" s="73"/>
      <c r="DR83" s="73"/>
      <c r="DS83" s="73"/>
      <c r="DT83" s="73"/>
      <c r="DU83" s="73"/>
      <c r="DV83" s="73"/>
      <c r="DW83" s="73"/>
      <c r="DX83" s="73"/>
      <c r="DY83" s="73"/>
      <c r="DZ83" s="73"/>
      <c r="EA83" s="73"/>
      <c r="EB83" s="73"/>
      <c r="EC83" s="73"/>
      <c r="ED83" s="73"/>
      <c r="EE83" s="73"/>
      <c r="EF83" s="73"/>
      <c r="EG83" s="73"/>
      <c r="EH83" s="73"/>
      <c r="EI83" s="73"/>
      <c r="EJ83" s="73"/>
      <c r="EK83" s="73"/>
      <c r="EL83" s="73"/>
      <c r="EM83" s="73"/>
      <c r="EN83" s="73"/>
      <c r="EO83" s="73"/>
      <c r="EQ83" s="73"/>
      <c r="ER83" s="73"/>
      <c r="ES83" s="73"/>
      <c r="ET83" s="73"/>
      <c r="EU83" s="73"/>
      <c r="EV83" s="73"/>
      <c r="EW83" s="73"/>
      <c r="EX83" s="73"/>
      <c r="EY83" s="73"/>
      <c r="EZ83" s="73"/>
      <c r="FA83" s="73"/>
      <c r="FB83" s="73"/>
      <c r="FC83" s="73"/>
      <c r="FD83" s="73"/>
      <c r="FE83" s="73"/>
      <c r="FF83" s="73"/>
      <c r="FG83" s="73"/>
      <c r="FH83" s="73"/>
      <c r="FI83" s="73"/>
      <c r="FJ83" s="73"/>
    </row>
    <row r="85" spans="1:166">
      <c r="A85" s="80" t="s">
        <v>175</v>
      </c>
      <c r="B85" s="81" t="s">
        <v>176</v>
      </c>
      <c r="C85" s="188">
        <f>TTEST(C65:C70,C75:C80,2,3)</f>
        <v>1.8867384532884737E-2</v>
      </c>
      <c r="D85" s="178">
        <f t="shared" ref="D85:BO85" si="404">TTEST(D65:D70,D75:D80,2,3)</f>
        <v>0.19615426506203876</v>
      </c>
      <c r="E85" s="178">
        <f t="shared" si="404"/>
        <v>5.4892178552414565E-2</v>
      </c>
      <c r="F85" s="178">
        <f t="shared" si="404"/>
        <v>0.25518346535188802</v>
      </c>
      <c r="G85" s="178">
        <f t="shared" si="404"/>
        <v>0.11122989549744239</v>
      </c>
      <c r="H85" s="178">
        <f t="shared" si="404"/>
        <v>0.93098806184338467</v>
      </c>
      <c r="I85" s="178">
        <f t="shared" si="404"/>
        <v>0.44260194908395245</v>
      </c>
      <c r="J85" s="178">
        <f t="shared" si="404"/>
        <v>0.20075993374531487</v>
      </c>
      <c r="K85" s="178">
        <f t="shared" si="404"/>
        <v>6.4012579664188884E-2</v>
      </c>
      <c r="L85" s="178">
        <f t="shared" si="404"/>
        <v>0.26289412422633518</v>
      </c>
      <c r="M85" s="178">
        <f t="shared" si="404"/>
        <v>0.16849285553880006</v>
      </c>
      <c r="N85" s="178">
        <f t="shared" si="404"/>
        <v>0.6717059535791452</v>
      </c>
      <c r="O85" s="178">
        <f t="shared" si="404"/>
        <v>0.61735967105267364</v>
      </c>
      <c r="P85" s="178">
        <f t="shared" si="404"/>
        <v>0.68567634827986512</v>
      </c>
      <c r="Q85" s="178">
        <f t="shared" si="404"/>
        <v>0.80953417683680517</v>
      </c>
      <c r="R85" s="178">
        <f t="shared" si="404"/>
        <v>0.10456019709547122</v>
      </c>
      <c r="S85" s="178">
        <f t="shared" si="404"/>
        <v>0.84795794444696471</v>
      </c>
      <c r="T85" s="178">
        <f t="shared" si="404"/>
        <v>0.52274942258780133</v>
      </c>
      <c r="U85" s="178"/>
      <c r="V85" s="28">
        <f t="shared" si="404"/>
        <v>2.5322728105905521E-3</v>
      </c>
      <c r="W85" s="28">
        <f t="shared" si="404"/>
        <v>3.574449407973186E-3</v>
      </c>
      <c r="X85" s="28">
        <f t="shared" si="404"/>
        <v>4.3480250810019598E-2</v>
      </c>
      <c r="Y85" s="178">
        <f t="shared" si="404"/>
        <v>0.91248321893828532</v>
      </c>
      <c r="Z85" s="188">
        <f t="shared" si="404"/>
        <v>2.2489164407178804E-2</v>
      </c>
      <c r="AA85" s="178">
        <f t="shared" si="404"/>
        <v>5.8335146550439927E-2</v>
      </c>
      <c r="AB85" s="28">
        <f t="shared" si="404"/>
        <v>8.5564534002721768E-3</v>
      </c>
      <c r="AC85" s="28">
        <f t="shared" si="404"/>
        <v>5.4665599155868071E-3</v>
      </c>
      <c r="AD85" s="178">
        <f t="shared" si="404"/>
        <v>0.34244495595018015</v>
      </c>
      <c r="AE85" s="178">
        <f t="shared" si="404"/>
        <v>0.97564164137494447</v>
      </c>
      <c r="AF85" s="178">
        <f t="shared" si="404"/>
        <v>0.53942312409093862</v>
      </c>
      <c r="AG85" s="178">
        <f t="shared" si="404"/>
        <v>0.49160381270355957</v>
      </c>
      <c r="AH85" s="28">
        <f t="shared" si="404"/>
        <v>8.741639618896048E-3</v>
      </c>
      <c r="AI85" s="178">
        <f t="shared" si="404"/>
        <v>0.16301455577662866</v>
      </c>
      <c r="AJ85" s="188">
        <f t="shared" si="404"/>
        <v>5.9184648934096249E-3</v>
      </c>
      <c r="AK85" s="178">
        <f t="shared" si="404"/>
        <v>0.24970702000957362</v>
      </c>
      <c r="AL85" s="178">
        <f t="shared" si="404"/>
        <v>0.15003117055077023</v>
      </c>
      <c r="AM85" s="178">
        <f t="shared" si="404"/>
        <v>0.19038595742350961</v>
      </c>
      <c r="AN85" s="178">
        <f t="shared" si="404"/>
        <v>7.4434235943568433E-2</v>
      </c>
      <c r="AO85" s="178">
        <f t="shared" si="404"/>
        <v>0.9240561423952518</v>
      </c>
      <c r="AP85" s="178">
        <f t="shared" si="404"/>
        <v>0.94393336863127253</v>
      </c>
      <c r="AQ85" s="28">
        <f t="shared" si="404"/>
        <v>1.3419835955752598E-2</v>
      </c>
      <c r="AR85" s="28">
        <f t="shared" si="404"/>
        <v>4.3726335212302701E-2</v>
      </c>
      <c r="AS85" s="28">
        <f t="shared" si="404"/>
        <v>1.8108033052439319E-2</v>
      </c>
      <c r="AT85" s="178">
        <f t="shared" si="404"/>
        <v>0.42882188525361276</v>
      </c>
      <c r="AU85" s="178"/>
      <c r="AV85" s="178">
        <f t="shared" si="404"/>
        <v>0.27093920258200838</v>
      </c>
      <c r="AW85" s="178">
        <f t="shared" si="404"/>
        <v>0.20868228170886566</v>
      </c>
      <c r="AX85" s="178">
        <f t="shared" si="404"/>
        <v>0.56111671499518456</v>
      </c>
      <c r="AY85" s="178">
        <f t="shared" si="404"/>
        <v>0.12193192662007958</v>
      </c>
      <c r="AZ85" s="178">
        <f t="shared" si="404"/>
        <v>0.39131975297148125</v>
      </c>
      <c r="BA85" s="178">
        <f t="shared" si="404"/>
        <v>0.19421117576314215</v>
      </c>
      <c r="BB85" s="178">
        <f t="shared" si="404"/>
        <v>0.45240688216491509</v>
      </c>
      <c r="BC85" s="178">
        <f t="shared" si="404"/>
        <v>0.28019004981331613</v>
      </c>
      <c r="BD85" s="178">
        <f t="shared" si="404"/>
        <v>0.25456845071604428</v>
      </c>
      <c r="BE85" s="178">
        <f t="shared" si="404"/>
        <v>0.60767443179594705</v>
      </c>
      <c r="BF85" s="178">
        <f t="shared" si="404"/>
        <v>0.1321202364479635</v>
      </c>
      <c r="BG85" s="178">
        <f t="shared" si="404"/>
        <v>0.61893892872451151</v>
      </c>
      <c r="BH85" s="178">
        <f t="shared" si="404"/>
        <v>0.13770026028252216</v>
      </c>
      <c r="BI85" s="178">
        <f t="shared" si="404"/>
        <v>0.55723268854715424</v>
      </c>
      <c r="BJ85" s="178">
        <f t="shared" si="404"/>
        <v>0.93007712825128797</v>
      </c>
      <c r="BK85" s="178">
        <f t="shared" si="404"/>
        <v>0.49976299469786489</v>
      </c>
      <c r="BL85" s="178">
        <f t="shared" si="404"/>
        <v>0.35368576582492961</v>
      </c>
      <c r="BM85" s="177">
        <f t="shared" si="404"/>
        <v>3.3233694365588096E-2</v>
      </c>
      <c r="BN85" s="178">
        <f t="shared" si="404"/>
        <v>0.17698373012685073</v>
      </c>
      <c r="BO85" s="178">
        <f t="shared" si="404"/>
        <v>0.68970413590954527</v>
      </c>
      <c r="BP85" s="178">
        <f t="shared" ref="BP85:EA85" si="405">TTEST(BP65:BP70,BP75:BP80,2,3)</f>
        <v>0.56589383652215197</v>
      </c>
      <c r="BQ85" s="178">
        <f t="shared" si="405"/>
        <v>0.77729216637172027</v>
      </c>
      <c r="BR85" s="178">
        <f t="shared" si="405"/>
        <v>0.32177656929215492</v>
      </c>
      <c r="BS85" s="178">
        <f t="shared" si="405"/>
        <v>0.2053484328827504</v>
      </c>
      <c r="BT85" s="178">
        <f t="shared" si="405"/>
        <v>0.28314554970958711</v>
      </c>
      <c r="BU85" s="178">
        <f t="shared" si="405"/>
        <v>0.31358798094823587</v>
      </c>
      <c r="BV85" s="178">
        <f t="shared" si="405"/>
        <v>0.13463905277502489</v>
      </c>
      <c r="BW85" s="178">
        <f t="shared" si="405"/>
        <v>0.15383929310066219</v>
      </c>
      <c r="BX85" s="178">
        <f t="shared" si="405"/>
        <v>0.36150582771176454</v>
      </c>
      <c r="BY85" s="178">
        <f t="shared" si="405"/>
        <v>0.82866861088659038</v>
      </c>
      <c r="BZ85" s="178">
        <f t="shared" si="405"/>
        <v>0.15981677245488224</v>
      </c>
      <c r="CA85" s="178">
        <f t="shared" si="405"/>
        <v>0.31507914267502485</v>
      </c>
      <c r="CB85" s="178">
        <f t="shared" si="405"/>
        <v>0.36966522451578987</v>
      </c>
      <c r="CC85" s="178">
        <f t="shared" si="405"/>
        <v>0.39712146587956987</v>
      </c>
      <c r="CD85" s="178">
        <f t="shared" si="405"/>
        <v>0.11799020959099729</v>
      </c>
      <c r="CE85" s="178">
        <f t="shared" si="405"/>
        <v>0.74834058848016394</v>
      </c>
      <c r="CF85" s="178">
        <f t="shared" si="405"/>
        <v>0.97819862955229131</v>
      </c>
      <c r="CG85" s="178">
        <f t="shared" si="405"/>
        <v>0.32163337898312289</v>
      </c>
      <c r="CH85" s="178">
        <f t="shared" si="405"/>
        <v>0.48606379509720932</v>
      </c>
      <c r="CI85" s="178">
        <f t="shared" si="405"/>
        <v>0.78431362348188549</v>
      </c>
      <c r="CJ85" s="178">
        <f t="shared" si="405"/>
        <v>0.17510263534531692</v>
      </c>
      <c r="CK85" s="178">
        <f t="shared" si="405"/>
        <v>0.93149203545104997</v>
      </c>
      <c r="CL85" s="178">
        <f t="shared" si="405"/>
        <v>0.36321746764912266</v>
      </c>
      <c r="CM85" s="178">
        <f t="shared" si="405"/>
        <v>0.82093177140443108</v>
      </c>
      <c r="CN85" s="178">
        <f t="shared" si="405"/>
        <v>0.55122109853641765</v>
      </c>
      <c r="CO85" s="178">
        <f t="shared" si="405"/>
        <v>0.22860495074128845</v>
      </c>
      <c r="CP85" s="178"/>
      <c r="CQ85" s="178">
        <f t="shared" si="405"/>
        <v>0.81178093151853492</v>
      </c>
      <c r="CR85" s="178">
        <f t="shared" si="405"/>
        <v>0.17549487660446841</v>
      </c>
      <c r="CS85" s="178">
        <f t="shared" si="405"/>
        <v>0.15218010208121627</v>
      </c>
      <c r="CT85" s="178">
        <f t="shared" si="405"/>
        <v>0.43312221640909765</v>
      </c>
      <c r="CU85" s="178">
        <f t="shared" si="405"/>
        <v>0.7248843212703221</v>
      </c>
      <c r="CV85" s="178">
        <f t="shared" si="405"/>
        <v>0.83437411639068837</v>
      </c>
      <c r="CW85" s="177">
        <f t="shared" si="405"/>
        <v>4.3379266347325716E-2</v>
      </c>
      <c r="CX85" s="178">
        <f t="shared" si="405"/>
        <v>9.4676385694748469E-2</v>
      </c>
      <c r="CY85" s="178">
        <f t="shared" si="405"/>
        <v>0.18147996275211289</v>
      </c>
      <c r="CZ85" s="177">
        <f t="shared" si="405"/>
        <v>1.974847597743956E-3</v>
      </c>
      <c r="DA85" s="178">
        <f t="shared" si="405"/>
        <v>9.07343235330096E-2</v>
      </c>
      <c r="DB85" s="178">
        <f t="shared" si="405"/>
        <v>0.16237507242955757</v>
      </c>
      <c r="DC85" s="178">
        <f t="shared" si="405"/>
        <v>0.96600152889679392</v>
      </c>
      <c r="DD85" s="177">
        <f t="shared" si="405"/>
        <v>3.6039212605887563E-2</v>
      </c>
      <c r="DE85" s="179">
        <f t="shared" si="405"/>
        <v>4.9890075590546821E-5</v>
      </c>
      <c r="DF85" s="179">
        <f t="shared" si="405"/>
        <v>3.0658806883278825E-3</v>
      </c>
      <c r="DG85" s="178">
        <f t="shared" si="405"/>
        <v>0.13024130317256655</v>
      </c>
      <c r="DH85" s="178">
        <f t="shared" si="405"/>
        <v>0.36321746764912266</v>
      </c>
      <c r="DI85" s="178">
        <f t="shared" si="405"/>
        <v>0.36321746764912266</v>
      </c>
      <c r="DJ85" s="178">
        <f t="shared" si="405"/>
        <v>0.43169928311640859</v>
      </c>
      <c r="DK85" s="178">
        <f t="shared" si="405"/>
        <v>0.26390581687166986</v>
      </c>
      <c r="DL85" s="178">
        <f t="shared" si="405"/>
        <v>7.3474790983472579E-2</v>
      </c>
      <c r="DM85" s="177">
        <f t="shared" si="405"/>
        <v>2.0149420263234339E-3</v>
      </c>
      <c r="DN85" s="178">
        <f t="shared" si="405"/>
        <v>0.60412829836698567</v>
      </c>
      <c r="DO85" s="198">
        <f t="shared" si="405"/>
        <v>5.7718339222544166E-3</v>
      </c>
      <c r="DP85" s="198">
        <f t="shared" si="405"/>
        <v>1.2198248713753749E-4</v>
      </c>
      <c r="DQ85" s="178">
        <f t="shared" si="405"/>
        <v>0.22929416050820395</v>
      </c>
      <c r="DR85" s="198">
        <f t="shared" si="405"/>
        <v>1.6633309863242228E-3</v>
      </c>
      <c r="DS85" s="178">
        <f t="shared" si="405"/>
        <v>0.16538811109336235</v>
      </c>
      <c r="DT85" s="178">
        <f t="shared" si="405"/>
        <v>0.36321746764912266</v>
      </c>
      <c r="DU85" s="178">
        <f t="shared" si="405"/>
        <v>0.4397189806923838</v>
      </c>
      <c r="DV85" s="178">
        <f t="shared" si="405"/>
        <v>0.64102491060192834</v>
      </c>
      <c r="DW85" s="178">
        <f t="shared" si="405"/>
        <v>0.36321746764912266</v>
      </c>
      <c r="DX85" s="178">
        <f t="shared" si="405"/>
        <v>0.54082163670264083</v>
      </c>
      <c r="DY85" s="178">
        <f t="shared" si="405"/>
        <v>7.8872178144641369E-2</v>
      </c>
      <c r="DZ85" s="178">
        <f t="shared" si="405"/>
        <v>0.20846141903673418</v>
      </c>
      <c r="EA85" s="178">
        <f t="shared" si="405"/>
        <v>0.78733550631339511</v>
      </c>
      <c r="EB85" s="178" t="e">
        <f t="shared" ref="EB85:FI85" si="406">TTEST(EB65:EB70,EB75:EB80,2,3)</f>
        <v>#DIV/0!</v>
      </c>
      <c r="EC85" s="178">
        <f t="shared" si="406"/>
        <v>0.14979886420010413</v>
      </c>
      <c r="ED85" s="178">
        <f t="shared" si="406"/>
        <v>0.24961164828420229</v>
      </c>
      <c r="EE85" s="178">
        <f t="shared" si="406"/>
        <v>0.46236367723224636</v>
      </c>
      <c r="EF85" s="178">
        <f t="shared" si="406"/>
        <v>0.82398116498186624</v>
      </c>
      <c r="EG85" s="178">
        <f t="shared" si="406"/>
        <v>0.97287604936671013</v>
      </c>
      <c r="EH85" s="178">
        <f t="shared" si="406"/>
        <v>0.28256495475412985</v>
      </c>
      <c r="EI85" s="178">
        <f t="shared" si="406"/>
        <v>0.88144350708323738</v>
      </c>
      <c r="EJ85" s="178">
        <f t="shared" si="406"/>
        <v>0.36321746764912266</v>
      </c>
      <c r="EK85" s="178" t="e">
        <f t="shared" si="406"/>
        <v>#DIV/0!</v>
      </c>
      <c r="EL85" s="178">
        <f t="shared" si="406"/>
        <v>0.48448475982223349</v>
      </c>
      <c r="EM85" s="178">
        <f t="shared" si="406"/>
        <v>0.8608477719325891</v>
      </c>
      <c r="EN85" s="178">
        <f t="shared" si="406"/>
        <v>0.36321746764912266</v>
      </c>
      <c r="EO85" s="178">
        <f t="shared" si="406"/>
        <v>0.94156730786203802</v>
      </c>
      <c r="EP85" s="178"/>
      <c r="EQ85" s="180">
        <f t="shared" si="406"/>
        <v>0.27815014896371959</v>
      </c>
      <c r="ER85" s="180">
        <f t="shared" si="406"/>
        <v>0.19255069663946783</v>
      </c>
      <c r="ES85" s="178">
        <f t="shared" si="406"/>
        <v>0.79638141583561595</v>
      </c>
      <c r="ET85" s="178">
        <f t="shared" si="406"/>
        <v>0.36321746764912266</v>
      </c>
      <c r="EU85" s="178">
        <f t="shared" si="406"/>
        <v>0.25697340287771314</v>
      </c>
      <c r="EV85" s="178">
        <f t="shared" si="406"/>
        <v>0.63806451307640699</v>
      </c>
      <c r="EW85" s="178">
        <f t="shared" si="406"/>
        <v>0.36321746764912266</v>
      </c>
      <c r="EX85" s="178">
        <f t="shared" si="406"/>
        <v>0.57235238018687029</v>
      </c>
      <c r="EY85" s="178">
        <f t="shared" si="406"/>
        <v>0.25174570938231472</v>
      </c>
      <c r="EZ85" s="178">
        <f t="shared" si="406"/>
        <v>0.68293048176767213</v>
      </c>
      <c r="FA85" s="178">
        <f t="shared" si="406"/>
        <v>0.17599818527715294</v>
      </c>
      <c r="FB85" s="178">
        <f t="shared" si="406"/>
        <v>0.96295517647471485</v>
      </c>
      <c r="FC85" s="178" t="e">
        <f t="shared" si="406"/>
        <v>#DIV/0!</v>
      </c>
      <c r="FD85" s="178">
        <f t="shared" si="406"/>
        <v>0.60800176490242963</v>
      </c>
      <c r="FE85" s="178">
        <f t="shared" si="406"/>
        <v>0.7786170823140548</v>
      </c>
      <c r="FF85" s="178">
        <f t="shared" si="406"/>
        <v>0.50617847436809527</v>
      </c>
      <c r="FG85" s="178">
        <f t="shared" si="406"/>
        <v>0.39916075546494001</v>
      </c>
      <c r="FH85" s="178">
        <f t="shared" si="406"/>
        <v>0.17697047489020218</v>
      </c>
      <c r="FI85" s="178">
        <f t="shared" si="406"/>
        <v>0.36321746764912266</v>
      </c>
      <c r="FJ85" s="73"/>
    </row>
    <row r="86" spans="1:166">
      <c r="A86" s="82"/>
      <c r="B86" s="82" t="s">
        <v>202</v>
      </c>
      <c r="C86" s="189">
        <f>C81/C71</f>
        <v>0.85848461748559357</v>
      </c>
      <c r="D86" s="26">
        <f t="shared" ref="D86:BO86" si="407">D81/D71</f>
        <v>0.90187063061574779</v>
      </c>
      <c r="E86" s="26">
        <f t="shared" si="407"/>
        <v>0.93773172569115593</v>
      </c>
      <c r="F86" s="26">
        <f t="shared" si="407"/>
        <v>0.96575855224546181</v>
      </c>
      <c r="G86" s="26">
        <f t="shared" si="407"/>
        <v>0.8751164715046682</v>
      </c>
      <c r="H86" s="26">
        <f t="shared" si="407"/>
        <v>0.99534752839528806</v>
      </c>
      <c r="I86" s="26">
        <f t="shared" si="407"/>
        <v>1.0620348832932029</v>
      </c>
      <c r="J86" s="26">
        <f t="shared" si="407"/>
        <v>0.95451620500744139</v>
      </c>
      <c r="K86" s="26">
        <f t="shared" si="407"/>
        <v>0.93859618462637173</v>
      </c>
      <c r="L86" s="26">
        <f t="shared" si="407"/>
        <v>0.90028828438311082</v>
      </c>
      <c r="M86" s="26">
        <f t="shared" si="407"/>
        <v>1.1309512431148565</v>
      </c>
      <c r="N86" s="26">
        <f t="shared" si="407"/>
        <v>1.0329769192448515</v>
      </c>
      <c r="O86" s="26">
        <f t="shared" si="407"/>
        <v>0.82784821355547378</v>
      </c>
      <c r="P86" s="26">
        <f t="shared" si="407"/>
        <v>1.0268981828257706</v>
      </c>
      <c r="Q86" s="26">
        <f t="shared" si="407"/>
        <v>1.1713210837250689</v>
      </c>
      <c r="R86" s="26">
        <f t="shared" si="407"/>
        <v>0.89295200870558322</v>
      </c>
      <c r="S86" s="26">
        <f t="shared" si="407"/>
        <v>1.0176443752075441</v>
      </c>
      <c r="T86" s="26">
        <f t="shared" si="407"/>
        <v>0.95239544693561262</v>
      </c>
      <c r="U86" s="26"/>
      <c r="V86" s="194">
        <f t="shared" si="407"/>
        <v>0.91765409489347982</v>
      </c>
      <c r="W86" s="194">
        <f t="shared" si="407"/>
        <v>0.92726739241190681</v>
      </c>
      <c r="X86" s="194">
        <f t="shared" si="407"/>
        <v>0.95779550928132906</v>
      </c>
      <c r="Y86" s="26">
        <f t="shared" si="407"/>
        <v>0.99193313263300475</v>
      </c>
      <c r="Z86" s="189">
        <f t="shared" si="407"/>
        <v>1.3051696509688149</v>
      </c>
      <c r="AA86" s="26">
        <f t="shared" si="407"/>
        <v>0.95576321104411543</v>
      </c>
      <c r="AB86" s="194">
        <f t="shared" si="407"/>
        <v>0.9126634184980249</v>
      </c>
      <c r="AC86" s="194">
        <f t="shared" si="407"/>
        <v>0.9116010829795872</v>
      </c>
      <c r="AD86" s="26">
        <f t="shared" si="407"/>
        <v>1.0377068758030434</v>
      </c>
      <c r="AE86" s="26">
        <f t="shared" si="407"/>
        <v>0.99902352639881331</v>
      </c>
      <c r="AF86" s="26">
        <f t="shared" si="407"/>
        <v>0.99064929343380004</v>
      </c>
      <c r="AG86" s="26">
        <f t="shared" si="407"/>
        <v>0.96290379160171513</v>
      </c>
      <c r="AH86" s="194">
        <f t="shared" si="407"/>
        <v>0.93348489852731653</v>
      </c>
      <c r="AI86" s="26">
        <f t="shared" si="407"/>
        <v>1.1781086109466219</v>
      </c>
      <c r="AJ86" s="189">
        <f t="shared" si="407"/>
        <v>1.4423195038209813</v>
      </c>
      <c r="AK86" s="26">
        <f t="shared" si="407"/>
        <v>0.95357613041377176</v>
      </c>
      <c r="AL86" s="26">
        <f t="shared" si="407"/>
        <v>0.87462003305099012</v>
      </c>
      <c r="AM86" s="26">
        <f t="shared" si="407"/>
        <v>1.1392449847061614</v>
      </c>
      <c r="AN86" s="26">
        <f t="shared" si="407"/>
        <v>1.2414764270536789</v>
      </c>
      <c r="AO86" s="26">
        <f t="shared" si="407"/>
        <v>1.0116345048439899</v>
      </c>
      <c r="AP86" s="26">
        <f t="shared" si="407"/>
        <v>0.99857809179158386</v>
      </c>
      <c r="AQ86" s="194">
        <f t="shared" si="407"/>
        <v>0.93981078360069126</v>
      </c>
      <c r="AR86" s="194">
        <f t="shared" si="407"/>
        <v>0.94157958421932997</v>
      </c>
      <c r="AS86" s="194">
        <f t="shared" si="407"/>
        <v>0.92936885521097146</v>
      </c>
      <c r="AT86" s="26">
        <f t="shared" si="407"/>
        <v>1.075044388909361</v>
      </c>
      <c r="AU86" s="26"/>
      <c r="AV86" s="26" t="e">
        <f t="shared" si="407"/>
        <v>#DIV/0!</v>
      </c>
      <c r="AW86" s="26">
        <f t="shared" si="407"/>
        <v>1.3332539665012453</v>
      </c>
      <c r="AX86" s="26">
        <f t="shared" si="407"/>
        <v>1.055843398936998</v>
      </c>
      <c r="AY86" s="26">
        <f t="shared" si="407"/>
        <v>0.60740182762466488</v>
      </c>
      <c r="AZ86" s="26">
        <f t="shared" si="407"/>
        <v>0.60811420462267873</v>
      </c>
      <c r="BA86" s="26">
        <f t="shared" si="407"/>
        <v>0.67596832894931425</v>
      </c>
      <c r="BB86" s="26">
        <f t="shared" si="407"/>
        <v>0.97305106670597263</v>
      </c>
      <c r="BC86" s="26">
        <f t="shared" si="407"/>
        <v>0.94387117090766692</v>
      </c>
      <c r="BD86" s="26">
        <f t="shared" si="407"/>
        <v>0.70733021645812155</v>
      </c>
      <c r="BE86" s="26">
        <f t="shared" si="407"/>
        <v>0.82371914751466291</v>
      </c>
      <c r="BF86" s="26">
        <f t="shared" si="407"/>
        <v>1.1297358562257356</v>
      </c>
      <c r="BG86" s="26">
        <f t="shared" si="407"/>
        <v>0.90132463267897978</v>
      </c>
      <c r="BH86" s="26">
        <f t="shared" si="407"/>
        <v>0.94426824639882567</v>
      </c>
      <c r="BI86" s="26">
        <f t="shared" si="407"/>
        <v>0.88434293315719914</v>
      </c>
      <c r="BJ86" s="26">
        <f t="shared" si="407"/>
        <v>1.0045797663619871</v>
      </c>
      <c r="BK86" s="26">
        <f t="shared" si="407"/>
        <v>0.9727888721451472</v>
      </c>
      <c r="BL86" s="26">
        <f t="shared" si="407"/>
        <v>0.94211853072181262</v>
      </c>
      <c r="BM86" s="181">
        <f t="shared" si="407"/>
        <v>0.93238868302817346</v>
      </c>
      <c r="BN86" s="26">
        <f t="shared" si="407"/>
        <v>0.95576508343024624</v>
      </c>
      <c r="BO86" s="26">
        <f t="shared" si="407"/>
        <v>1.1411191607837055</v>
      </c>
      <c r="BP86" s="26">
        <f t="shared" ref="BP86:EA86" si="408">BP81/BP71</f>
        <v>0.88710647247139451</v>
      </c>
      <c r="BQ86" s="26">
        <f t="shared" si="408"/>
        <v>1.1013270295997875</v>
      </c>
      <c r="BR86" s="26">
        <f t="shared" si="408"/>
        <v>0.81530219631937506</v>
      </c>
      <c r="BS86" s="26">
        <f t="shared" si="408"/>
        <v>0.76492770183496628</v>
      </c>
      <c r="BT86" s="26">
        <f t="shared" si="408"/>
        <v>0.80402592223196612</v>
      </c>
      <c r="BU86" s="26">
        <f t="shared" si="408"/>
        <v>0.73493337976835249</v>
      </c>
      <c r="BV86" s="26">
        <f t="shared" si="408"/>
        <v>1.2533667740162535</v>
      </c>
      <c r="BW86" s="26">
        <f t="shared" si="408"/>
        <v>1.0969275013575073</v>
      </c>
      <c r="BX86" s="26">
        <f t="shared" si="408"/>
        <v>0.96774635975576206</v>
      </c>
      <c r="BY86" s="26">
        <f t="shared" si="408"/>
        <v>0.99113573117517717</v>
      </c>
      <c r="BZ86" s="26">
        <f t="shared" si="408"/>
        <v>0.91573552334213515</v>
      </c>
      <c r="CA86" s="26">
        <f t="shared" si="408"/>
        <v>0.95391121157844805</v>
      </c>
      <c r="CB86" s="26">
        <f t="shared" si="408"/>
        <v>0.95132993934554555</v>
      </c>
      <c r="CC86" s="26">
        <f t="shared" si="408"/>
        <v>0.83865010325284484</v>
      </c>
      <c r="CD86" s="26">
        <f t="shared" si="408"/>
        <v>1.0736199321620457</v>
      </c>
      <c r="CE86" s="26">
        <f t="shared" si="408"/>
        <v>0.98946228592895891</v>
      </c>
      <c r="CF86" s="26">
        <f t="shared" si="408"/>
        <v>0.99904521630021992</v>
      </c>
      <c r="CG86" s="26">
        <f t="shared" si="408"/>
        <v>1.084428777920776</v>
      </c>
      <c r="CH86" s="26">
        <f t="shared" si="408"/>
        <v>1.061391581417652</v>
      </c>
      <c r="CI86" s="26">
        <f t="shared" si="408"/>
        <v>0.85681581115001304</v>
      </c>
      <c r="CJ86" s="26" t="e">
        <f t="shared" si="408"/>
        <v>#DIV/0!</v>
      </c>
      <c r="CK86" s="26">
        <f t="shared" si="408"/>
        <v>0.95243053077190931</v>
      </c>
      <c r="CL86" s="26">
        <f t="shared" si="408"/>
        <v>0</v>
      </c>
      <c r="CM86" s="26">
        <f t="shared" si="408"/>
        <v>0.94722387510202166</v>
      </c>
      <c r="CN86" s="26">
        <f t="shared" si="408"/>
        <v>1.5950063073218579</v>
      </c>
      <c r="CO86" s="26">
        <f t="shared" si="408"/>
        <v>1.2877874413201076</v>
      </c>
      <c r="CP86" s="26"/>
      <c r="CQ86" s="26">
        <f t="shared" si="408"/>
        <v>1.3186802351916973</v>
      </c>
      <c r="CR86" s="26" t="e">
        <f t="shared" si="408"/>
        <v>#DIV/0!</v>
      </c>
      <c r="CS86" s="26">
        <f t="shared" si="408"/>
        <v>0.37354699242595729</v>
      </c>
      <c r="CT86" s="26">
        <f t="shared" si="408"/>
        <v>1.6937875436993077</v>
      </c>
      <c r="CU86" s="26">
        <f t="shared" si="408"/>
        <v>0.57879470731810245</v>
      </c>
      <c r="CV86" s="26">
        <f t="shared" si="408"/>
        <v>0.82159199525954163</v>
      </c>
      <c r="CW86" s="182">
        <f t="shared" si="408"/>
        <v>0.52533864702772515</v>
      </c>
      <c r="CX86" s="26">
        <f t="shared" si="408"/>
        <v>0.8097125672630634</v>
      </c>
      <c r="CY86" s="26">
        <f t="shared" si="408"/>
        <v>0</v>
      </c>
      <c r="CZ86" s="182">
        <f t="shared" si="408"/>
        <v>0.37188054276772653</v>
      </c>
      <c r="DA86" s="26">
        <f t="shared" si="408"/>
        <v>0.54128227354009406</v>
      </c>
      <c r="DB86" s="26">
        <f t="shared" si="408"/>
        <v>0.61435986036108325</v>
      </c>
      <c r="DC86" s="26">
        <f t="shared" si="408"/>
        <v>0.94864699450818724</v>
      </c>
      <c r="DD86" s="182">
        <f t="shared" si="408"/>
        <v>0.39379501436046171</v>
      </c>
      <c r="DE86" s="182">
        <f t="shared" si="408"/>
        <v>0.53297072387836641</v>
      </c>
      <c r="DF86" s="182">
        <f t="shared" si="408"/>
        <v>0.48724315124294432</v>
      </c>
      <c r="DG86" s="26">
        <f t="shared" si="408"/>
        <v>0.16164750716849716</v>
      </c>
      <c r="DH86" s="26" t="e">
        <f t="shared" si="408"/>
        <v>#DIV/0!</v>
      </c>
      <c r="DI86" s="26" t="e">
        <f t="shared" si="408"/>
        <v>#DIV/0!</v>
      </c>
      <c r="DJ86" s="26">
        <f t="shared" si="408"/>
        <v>0.56609051171529035</v>
      </c>
      <c r="DK86" s="26">
        <f t="shared" si="408"/>
        <v>0.55772015290027899</v>
      </c>
      <c r="DL86" s="26">
        <f t="shared" si="408"/>
        <v>0.47610396476264016</v>
      </c>
      <c r="DM86" s="182">
        <f t="shared" si="408"/>
        <v>0.4559453429026129</v>
      </c>
      <c r="DN86" s="26">
        <f t="shared" si="408"/>
        <v>0.72285007625064435</v>
      </c>
      <c r="DO86" s="182">
        <f t="shared" si="408"/>
        <v>0.52389565148816475</v>
      </c>
      <c r="DP86" s="182">
        <f t="shared" si="408"/>
        <v>0.5210293500812877</v>
      </c>
      <c r="DQ86" s="26">
        <f t="shared" si="408"/>
        <v>0.7033043526485806</v>
      </c>
      <c r="DR86" s="182">
        <f t="shared" si="408"/>
        <v>0.4511926046658451</v>
      </c>
      <c r="DS86" s="26">
        <f t="shared" si="408"/>
        <v>0.22353631134982119</v>
      </c>
      <c r="DT86" s="26">
        <f t="shared" si="408"/>
        <v>0</v>
      </c>
      <c r="DU86" s="26">
        <f t="shared" si="408"/>
        <v>0.573466682736544</v>
      </c>
      <c r="DV86" s="26">
        <f t="shared" si="408"/>
        <v>0.46326883186411338</v>
      </c>
      <c r="DW86" s="26" t="e">
        <f t="shared" si="408"/>
        <v>#DIV/0!</v>
      </c>
      <c r="DX86" s="26">
        <f t="shared" si="408"/>
        <v>0.68089267929802078</v>
      </c>
      <c r="DY86" s="26">
        <f t="shared" si="408"/>
        <v>0</v>
      </c>
      <c r="DZ86" s="26">
        <f t="shared" si="408"/>
        <v>2.0474786379650229</v>
      </c>
      <c r="EA86" s="26">
        <f t="shared" si="408"/>
        <v>1.3745867341346667</v>
      </c>
      <c r="EB86" s="26" t="e">
        <f t="shared" ref="EB86:FI86" si="409">EB81/EB71</f>
        <v>#DIV/0!</v>
      </c>
      <c r="EC86" s="26">
        <f t="shared" si="409"/>
        <v>0.51190828422001544</v>
      </c>
      <c r="ED86" s="26">
        <f t="shared" si="409"/>
        <v>1.6365445163216932</v>
      </c>
      <c r="EE86" s="26">
        <f t="shared" si="409"/>
        <v>0.74510720946996756</v>
      </c>
      <c r="EF86" s="26">
        <f t="shared" si="409"/>
        <v>1.0956450069716241</v>
      </c>
      <c r="EG86" s="26">
        <f t="shared" si="409"/>
        <v>1.0200804753158474</v>
      </c>
      <c r="EH86" s="26">
        <f t="shared" si="409"/>
        <v>0.40427789251534019</v>
      </c>
      <c r="EI86" s="26">
        <f t="shared" si="409"/>
        <v>0.80350067916455825</v>
      </c>
      <c r="EJ86" s="26">
        <f t="shared" si="409"/>
        <v>0</v>
      </c>
      <c r="EK86" s="26" t="e">
        <f t="shared" si="409"/>
        <v>#DIV/0!</v>
      </c>
      <c r="EL86" s="26">
        <f t="shared" si="409"/>
        <v>0.60949505849633023</v>
      </c>
      <c r="EM86" s="26">
        <f t="shared" si="409"/>
        <v>1.228208502455197</v>
      </c>
      <c r="EN86" s="26" t="e">
        <f t="shared" si="409"/>
        <v>#DIV/0!</v>
      </c>
      <c r="EO86" s="26">
        <f t="shared" si="409"/>
        <v>0.95710178047695937</v>
      </c>
      <c r="EP86" s="26"/>
      <c r="EQ86" s="183">
        <f t="shared" si="409"/>
        <v>0.51987826716258145</v>
      </c>
      <c r="ER86" s="183">
        <f t="shared" si="409"/>
        <v>0.76050890144978933</v>
      </c>
      <c r="ES86" s="26">
        <f t="shared" si="409"/>
        <v>0.84287376263040159</v>
      </c>
      <c r="ET86" s="26">
        <f t="shared" si="409"/>
        <v>0</v>
      </c>
      <c r="EU86" s="26">
        <f t="shared" si="409"/>
        <v>3.0583104299963786</v>
      </c>
      <c r="EV86" s="26">
        <f t="shared" si="409"/>
        <v>1.7176219295628699</v>
      </c>
      <c r="EW86" s="26" t="e">
        <f t="shared" si="409"/>
        <v>#DIV/0!</v>
      </c>
      <c r="EX86" s="26">
        <f t="shared" si="409"/>
        <v>1.3738197996400499</v>
      </c>
      <c r="EY86" s="26">
        <f t="shared" si="409"/>
        <v>1.4212831132459598</v>
      </c>
      <c r="EZ86" s="26">
        <f t="shared" si="409"/>
        <v>0.81965320709349776</v>
      </c>
      <c r="FA86" s="26" t="e">
        <f t="shared" si="409"/>
        <v>#DIV/0!</v>
      </c>
      <c r="FB86" s="26">
        <f t="shared" si="409"/>
        <v>1.0312218608296688</v>
      </c>
      <c r="FC86" s="26" t="e">
        <f t="shared" si="409"/>
        <v>#DIV/0!</v>
      </c>
      <c r="FD86" s="26">
        <f t="shared" si="409"/>
        <v>1.8189900200519056</v>
      </c>
      <c r="FE86" s="26">
        <f t="shared" si="409"/>
        <v>0.97002484739545647</v>
      </c>
      <c r="FF86" s="26">
        <f t="shared" si="409"/>
        <v>0.59347407274217256</v>
      </c>
      <c r="FG86" s="26">
        <f t="shared" si="409"/>
        <v>0.35349958319184427</v>
      </c>
      <c r="FH86" s="26" t="e">
        <f t="shared" si="409"/>
        <v>#DIV/0!</v>
      </c>
      <c r="FI86" s="26">
        <f t="shared" si="409"/>
        <v>0</v>
      </c>
      <c r="FJ86" s="73"/>
    </row>
    <row r="87" spans="1:166" ht="15">
      <c r="A87" s="73"/>
      <c r="B87" s="73"/>
      <c r="C87" s="190" t="s">
        <v>198</v>
      </c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V87" s="193" t="s">
        <v>198</v>
      </c>
      <c r="W87" s="193" t="s">
        <v>198</v>
      </c>
      <c r="X87" s="193" t="s">
        <v>198</v>
      </c>
      <c r="Y87" s="73"/>
      <c r="Z87" s="190" t="s">
        <v>199</v>
      </c>
      <c r="AA87" s="73"/>
      <c r="AB87" s="193" t="s">
        <v>198</v>
      </c>
      <c r="AC87" s="193" t="s">
        <v>198</v>
      </c>
      <c r="AD87" s="73"/>
      <c r="AE87" s="73"/>
      <c r="AF87" s="73"/>
      <c r="AG87" s="73"/>
      <c r="AH87" s="193" t="s">
        <v>198</v>
      </c>
      <c r="AI87" s="73"/>
      <c r="AJ87" s="190" t="s">
        <v>199</v>
      </c>
      <c r="AK87" s="73"/>
      <c r="AL87" s="73"/>
      <c r="AM87" s="73"/>
      <c r="AN87" s="73"/>
      <c r="AO87" s="73"/>
      <c r="AP87" s="73"/>
      <c r="AQ87" s="193" t="s">
        <v>198</v>
      </c>
      <c r="AR87" s="193" t="s">
        <v>198</v>
      </c>
      <c r="AS87" s="193" t="s">
        <v>198</v>
      </c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0" t="s">
        <v>198</v>
      </c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  <c r="CG87" s="73"/>
      <c r="CH87" s="73"/>
      <c r="CI87" s="73"/>
      <c r="CJ87" s="73"/>
      <c r="CK87" s="73"/>
      <c r="CL87" s="73"/>
      <c r="CM87" s="73"/>
      <c r="CN87" s="73"/>
      <c r="CO87" s="73"/>
      <c r="CP87" s="73"/>
      <c r="CQ87" s="73"/>
      <c r="CR87" s="73"/>
      <c r="CS87" s="73"/>
      <c r="CT87" s="73"/>
      <c r="CU87" s="73"/>
      <c r="CV87" s="73"/>
      <c r="CW87" s="70" t="s">
        <v>198</v>
      </c>
      <c r="CX87" s="73"/>
      <c r="CY87" s="73"/>
      <c r="CZ87" s="70" t="s">
        <v>198</v>
      </c>
      <c r="DA87" s="73"/>
      <c r="DB87" s="73"/>
      <c r="DC87" s="73"/>
      <c r="DD87" s="70" t="s">
        <v>198</v>
      </c>
      <c r="DE87" s="70" t="s">
        <v>198</v>
      </c>
      <c r="DF87" s="70" t="s">
        <v>198</v>
      </c>
      <c r="DG87" s="73"/>
      <c r="DH87" s="73"/>
      <c r="DI87" s="73"/>
      <c r="DJ87" s="73"/>
      <c r="DK87" s="73"/>
      <c r="DL87" s="73"/>
      <c r="DM87" s="73"/>
      <c r="DN87" s="73"/>
      <c r="DO87" s="70" t="s">
        <v>198</v>
      </c>
      <c r="DP87" s="70" t="s">
        <v>198</v>
      </c>
      <c r="DQ87" s="73"/>
      <c r="DR87" s="70" t="s">
        <v>198</v>
      </c>
      <c r="DS87" s="73"/>
      <c r="DT87" s="73"/>
      <c r="DU87" s="73"/>
      <c r="DV87" s="73"/>
      <c r="DW87" s="73"/>
      <c r="DX87" s="73"/>
      <c r="DY87" s="73"/>
      <c r="DZ87" s="73"/>
      <c r="EA87" s="73"/>
      <c r="EB87" s="73"/>
      <c r="EC87" s="73"/>
      <c r="ED87" s="73"/>
      <c r="EE87" s="73"/>
      <c r="EF87" s="73"/>
      <c r="EG87" s="73"/>
      <c r="EH87" s="73"/>
      <c r="EI87" s="73"/>
      <c r="EJ87" s="73"/>
      <c r="EK87" s="73"/>
      <c r="EL87" s="73"/>
      <c r="EM87" s="73"/>
      <c r="EN87" s="73"/>
      <c r="EO87" s="73"/>
      <c r="EP87" s="73"/>
      <c r="EQ87" s="105"/>
      <c r="ER87" s="105"/>
      <c r="ES87" s="73"/>
      <c r="ET87" s="73"/>
      <c r="EU87" s="73"/>
      <c r="EV87" s="73"/>
      <c r="EW87" s="73"/>
      <c r="EX87" s="73"/>
      <c r="EY87" s="73"/>
      <c r="EZ87" s="73"/>
      <c r="FA87" s="73"/>
      <c r="FB87" s="73"/>
      <c r="FC87" s="73"/>
      <c r="FD87" s="73"/>
      <c r="FE87" s="73"/>
      <c r="FF87" s="73"/>
      <c r="FG87" s="73"/>
      <c r="FH87" s="73"/>
      <c r="FI87" s="73"/>
      <c r="FJ87" s="73"/>
    </row>
    <row r="88" spans="1:166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  <c r="CG88" s="73"/>
      <c r="CH88" s="73"/>
      <c r="CI88" s="73"/>
      <c r="CJ88" s="73"/>
      <c r="CK88" s="73"/>
      <c r="CL88" s="73"/>
      <c r="CM88" s="73"/>
      <c r="CN88" s="73"/>
      <c r="CO88" s="73"/>
      <c r="CP88" s="73"/>
      <c r="CQ88" s="73"/>
      <c r="CR88" s="73"/>
      <c r="CS88" s="73"/>
      <c r="CT88" s="73"/>
      <c r="CU88" s="73"/>
      <c r="CV88" s="73"/>
      <c r="CW88" s="73"/>
      <c r="CX88" s="73"/>
      <c r="CY88" s="73"/>
      <c r="CZ88" s="73"/>
      <c r="DA88" s="73"/>
      <c r="DB88" s="73"/>
      <c r="DC88" s="73"/>
      <c r="DD88" s="73"/>
      <c r="DE88" s="73"/>
      <c r="DF88" s="73"/>
      <c r="DG88" s="73"/>
      <c r="DH88" s="73"/>
      <c r="DI88" s="73"/>
      <c r="DJ88" s="73"/>
      <c r="DK88" s="73"/>
      <c r="DL88" s="73"/>
      <c r="DM88" s="73"/>
      <c r="DN88" s="73"/>
      <c r="DO88" s="73"/>
      <c r="DP88" s="73"/>
      <c r="DQ88" s="73"/>
      <c r="DR88" s="73"/>
      <c r="DS88" s="73"/>
      <c r="DT88" s="73"/>
      <c r="DU88" s="73"/>
      <c r="DV88" s="73"/>
      <c r="DW88" s="73"/>
      <c r="DX88" s="73"/>
      <c r="DY88" s="73"/>
      <c r="DZ88" s="73"/>
      <c r="EA88" s="73"/>
      <c r="EB88" s="73"/>
      <c r="EC88" s="73"/>
      <c r="ED88" s="73"/>
      <c r="EE88" s="73"/>
      <c r="EF88" s="73"/>
      <c r="EG88" s="73"/>
      <c r="EH88" s="73"/>
      <c r="EI88" s="73"/>
      <c r="EJ88" s="73"/>
      <c r="EK88" s="73"/>
      <c r="EL88" s="73"/>
      <c r="EM88" s="73"/>
      <c r="EN88" s="73"/>
      <c r="EO88" s="73"/>
      <c r="EP88" s="73"/>
      <c r="EQ88" s="73"/>
      <c r="ER88" s="73"/>
      <c r="ES88" s="73"/>
      <c r="ET88" s="73"/>
      <c r="EU88" s="73"/>
      <c r="EV88" s="73"/>
      <c r="EW88" s="73"/>
      <c r="EX88" s="73"/>
      <c r="EY88" s="73"/>
      <c r="EZ88" s="73"/>
      <c r="FA88" s="73"/>
      <c r="FB88" s="73"/>
      <c r="FC88" s="73"/>
      <c r="FD88" s="73"/>
      <c r="FE88" s="73"/>
      <c r="FF88" s="73"/>
      <c r="FG88" s="73"/>
      <c r="FH88" s="73"/>
      <c r="FI88" s="73"/>
      <c r="FJ88" s="73"/>
    </row>
    <row r="89" spans="1:166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  <c r="CJ89" s="73"/>
      <c r="CK89" s="73"/>
      <c r="CL89" s="73"/>
      <c r="CM89" s="73"/>
      <c r="CN89" s="73"/>
      <c r="CO89" s="73"/>
      <c r="CP89" s="73"/>
      <c r="CQ89" s="73"/>
      <c r="CR89" s="73"/>
      <c r="CS89" s="73"/>
      <c r="CT89" s="73"/>
      <c r="CU89" s="73"/>
      <c r="CV89" s="73"/>
      <c r="CW89" s="73"/>
      <c r="CX89" s="73"/>
      <c r="CY89" s="73"/>
      <c r="CZ89" s="73"/>
      <c r="DA89" s="73"/>
      <c r="DB89" s="73"/>
      <c r="DC89" s="73"/>
      <c r="DD89" s="73"/>
      <c r="DE89" s="73"/>
      <c r="DF89" s="73"/>
      <c r="DG89" s="73"/>
      <c r="DH89" s="73"/>
      <c r="DI89" s="73"/>
      <c r="DJ89" s="73"/>
      <c r="DK89" s="73"/>
      <c r="DL89" s="73"/>
      <c r="DM89" s="73"/>
      <c r="DN89" s="73"/>
      <c r="DO89" s="73"/>
      <c r="DP89" s="73"/>
      <c r="DQ89" s="73"/>
      <c r="DR89" s="73"/>
      <c r="DS89" s="73"/>
      <c r="DT89" s="73"/>
      <c r="DU89" s="73"/>
      <c r="DV89" s="73"/>
      <c r="DW89" s="73"/>
      <c r="DX89" s="73"/>
      <c r="DY89" s="73"/>
      <c r="DZ89" s="73"/>
      <c r="EA89" s="73"/>
      <c r="EB89" s="73"/>
      <c r="EC89" s="73"/>
      <c r="ED89" s="73"/>
      <c r="EE89" s="73"/>
      <c r="EF89" s="73"/>
      <c r="EG89" s="73"/>
      <c r="EH89" s="73"/>
      <c r="EI89" s="73"/>
      <c r="EJ89" s="73"/>
      <c r="EK89" s="73"/>
      <c r="EL89" s="73"/>
      <c r="EM89" s="73"/>
      <c r="EN89" s="73"/>
      <c r="EO89" s="73"/>
      <c r="EP89" s="73"/>
      <c r="EQ89" s="73"/>
      <c r="ER89" s="73"/>
      <c r="ES89" s="73"/>
      <c r="ET89" s="73"/>
      <c r="EU89" s="73"/>
      <c r="EV89" s="73"/>
      <c r="EW89" s="73"/>
      <c r="EX89" s="73"/>
      <c r="EY89" s="73"/>
      <c r="EZ89" s="73"/>
      <c r="FA89" s="73"/>
      <c r="FB89" s="73"/>
      <c r="FC89" s="73"/>
      <c r="FD89" s="73"/>
      <c r="FE89" s="73"/>
      <c r="FF89" s="73"/>
      <c r="FG89" s="73"/>
      <c r="FH89" s="73"/>
      <c r="FI89" s="73"/>
      <c r="FJ89" s="73"/>
    </row>
    <row r="90" spans="1:166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  <c r="CJ90" s="73"/>
      <c r="CK90" s="73"/>
      <c r="CL90" s="73"/>
      <c r="CM90" s="73"/>
      <c r="CN90" s="73"/>
      <c r="CO90" s="73"/>
      <c r="CP90" s="73"/>
      <c r="CQ90" s="73"/>
      <c r="CR90" s="73"/>
      <c r="CS90" s="73"/>
      <c r="CT90" s="73"/>
      <c r="CU90" s="73"/>
      <c r="CV90" s="73"/>
      <c r="CW90" s="73"/>
      <c r="CX90" s="73"/>
      <c r="CY90" s="73"/>
      <c r="CZ90" s="73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3"/>
      <c r="DL90" s="73"/>
      <c r="DM90" s="73"/>
      <c r="DN90" s="73"/>
      <c r="DO90" s="73"/>
      <c r="DP90" s="73"/>
      <c r="DQ90" s="73"/>
      <c r="DR90" s="73"/>
      <c r="DS90" s="73"/>
      <c r="DT90" s="73"/>
      <c r="DU90" s="73"/>
      <c r="DV90" s="73"/>
      <c r="DW90" s="73"/>
      <c r="DX90" s="73"/>
      <c r="DY90" s="73"/>
      <c r="DZ90" s="73"/>
      <c r="EA90" s="73"/>
      <c r="EB90" s="73"/>
      <c r="EC90" s="73"/>
      <c r="ED90" s="73"/>
      <c r="EE90" s="73"/>
      <c r="EF90" s="73"/>
      <c r="EG90" s="73"/>
      <c r="EH90" s="73"/>
      <c r="EI90" s="73"/>
      <c r="EJ90" s="73"/>
      <c r="EK90" s="73"/>
      <c r="EL90" s="73"/>
      <c r="EM90" s="73"/>
      <c r="EN90" s="73"/>
      <c r="EO90" s="73"/>
      <c r="EP90" s="73"/>
      <c r="EQ90" s="73"/>
      <c r="ER90" s="73"/>
      <c r="ES90" s="73"/>
      <c r="ET90" s="73"/>
      <c r="EU90" s="73"/>
      <c r="EV90" s="73"/>
      <c r="EW90" s="73"/>
      <c r="EX90" s="73"/>
      <c r="EY90" s="73"/>
      <c r="EZ90" s="73"/>
      <c r="FA90" s="73"/>
      <c r="FB90" s="73"/>
      <c r="FC90" s="73"/>
      <c r="FD90" s="73"/>
      <c r="FE90" s="73"/>
      <c r="FF90" s="73"/>
      <c r="FG90" s="73"/>
      <c r="FH90" s="73"/>
      <c r="FI90" s="73"/>
      <c r="FJ90" s="73"/>
    </row>
    <row r="91" spans="1:166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  <c r="CG91" s="73"/>
      <c r="CH91" s="73"/>
      <c r="CI91" s="73"/>
      <c r="CJ91" s="73"/>
      <c r="CK91" s="73"/>
      <c r="CL91" s="73"/>
      <c r="CM91" s="73"/>
      <c r="CN91" s="73"/>
      <c r="CO91" s="73"/>
      <c r="CP91" s="73"/>
      <c r="CQ91" s="73"/>
      <c r="CR91" s="73"/>
      <c r="CS91" s="73"/>
      <c r="CT91" s="73"/>
      <c r="CU91" s="73"/>
      <c r="CV91" s="73"/>
      <c r="CW91" s="73"/>
      <c r="CX91" s="73"/>
      <c r="CY91" s="73"/>
      <c r="CZ91" s="73"/>
      <c r="DA91" s="73"/>
      <c r="DB91" s="73"/>
      <c r="DC91" s="73"/>
      <c r="DD91" s="73"/>
      <c r="DE91" s="73"/>
      <c r="DF91" s="73"/>
      <c r="DG91" s="73"/>
      <c r="DH91" s="73"/>
      <c r="DI91" s="73"/>
      <c r="DJ91" s="73"/>
      <c r="DK91" s="73"/>
      <c r="DL91" s="73"/>
      <c r="DM91" s="73"/>
      <c r="DN91" s="73"/>
      <c r="DO91" s="73"/>
      <c r="DP91" s="73"/>
      <c r="DQ91" s="73"/>
      <c r="DR91" s="73"/>
      <c r="DS91" s="73"/>
      <c r="DT91" s="73"/>
      <c r="DU91" s="73"/>
      <c r="DV91" s="73"/>
      <c r="DW91" s="73"/>
      <c r="DX91" s="73"/>
      <c r="DY91" s="73"/>
      <c r="DZ91" s="73"/>
      <c r="EA91" s="73"/>
      <c r="EB91" s="73"/>
      <c r="EC91" s="73"/>
      <c r="ED91" s="73"/>
      <c r="EE91" s="73"/>
      <c r="EF91" s="73"/>
      <c r="EG91" s="73"/>
      <c r="EH91" s="73"/>
      <c r="EI91" s="73"/>
      <c r="EJ91" s="73"/>
      <c r="EK91" s="73"/>
      <c r="EL91" s="73"/>
      <c r="EM91" s="73"/>
      <c r="EN91" s="73"/>
      <c r="EO91" s="73"/>
      <c r="EP91" s="73"/>
      <c r="EQ91" s="73"/>
      <c r="ER91" s="73"/>
      <c r="ES91" s="73"/>
      <c r="ET91" s="73"/>
      <c r="EU91" s="73"/>
      <c r="EV91" s="73"/>
      <c r="EW91" s="73"/>
      <c r="EX91" s="73"/>
      <c r="EY91" s="73"/>
      <c r="EZ91" s="73"/>
      <c r="FA91" s="73"/>
      <c r="FB91" s="73"/>
      <c r="FC91" s="73"/>
      <c r="FD91" s="73"/>
      <c r="FE91" s="73"/>
      <c r="FF91" s="73"/>
      <c r="FG91" s="73"/>
      <c r="FH91" s="73"/>
      <c r="FI91" s="73"/>
      <c r="FJ91" s="73"/>
    </row>
    <row r="92" spans="1:166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  <c r="CG92" s="73"/>
      <c r="CH92" s="73"/>
      <c r="CI92" s="73"/>
      <c r="CJ92" s="73"/>
      <c r="CK92" s="73"/>
      <c r="CL92" s="73"/>
      <c r="CM92" s="73"/>
      <c r="CN92" s="73"/>
      <c r="CO92" s="73"/>
      <c r="CP92" s="73"/>
      <c r="CQ92" s="73"/>
      <c r="CR92" s="73"/>
      <c r="CS92" s="73"/>
      <c r="CT92" s="73"/>
      <c r="CU92" s="73"/>
      <c r="CV92" s="73"/>
      <c r="CW92" s="73"/>
      <c r="CX92" s="73"/>
      <c r="CY92" s="73"/>
      <c r="CZ92" s="73"/>
      <c r="DA92" s="73"/>
      <c r="DB92" s="73"/>
      <c r="DC92" s="73"/>
      <c r="DD92" s="73"/>
      <c r="DE92" s="73"/>
      <c r="DF92" s="73"/>
      <c r="DG92" s="73"/>
      <c r="DH92" s="73"/>
      <c r="DI92" s="73"/>
      <c r="DJ92" s="73"/>
      <c r="DK92" s="73"/>
      <c r="DL92" s="73"/>
      <c r="DM92" s="73"/>
      <c r="DN92" s="73"/>
      <c r="DO92" s="73"/>
      <c r="DP92" s="73"/>
      <c r="DQ92" s="73"/>
      <c r="DR92" s="73"/>
      <c r="DS92" s="73"/>
      <c r="DT92" s="73"/>
      <c r="DU92" s="73"/>
      <c r="DV92" s="73"/>
      <c r="DW92" s="73"/>
      <c r="DX92" s="73"/>
      <c r="DY92" s="73"/>
      <c r="DZ92" s="73"/>
      <c r="EA92" s="73"/>
      <c r="EB92" s="73"/>
      <c r="EC92" s="73"/>
      <c r="ED92" s="73"/>
      <c r="EE92" s="73"/>
      <c r="EF92" s="73"/>
      <c r="EG92" s="73"/>
      <c r="EH92" s="73"/>
      <c r="EI92" s="73"/>
      <c r="EJ92" s="73"/>
      <c r="EK92" s="73"/>
      <c r="EL92" s="73"/>
      <c r="EM92" s="73"/>
      <c r="EN92" s="73"/>
      <c r="EO92" s="73"/>
      <c r="EP92" s="73"/>
      <c r="EQ92" s="73"/>
      <c r="ER92" s="73"/>
      <c r="ES92" s="73"/>
      <c r="ET92" s="73"/>
      <c r="EU92" s="73"/>
      <c r="EV92" s="73"/>
      <c r="EW92" s="73"/>
      <c r="EX92" s="73"/>
      <c r="EY92" s="73"/>
      <c r="EZ92" s="73"/>
      <c r="FA92" s="73"/>
      <c r="FB92" s="73"/>
      <c r="FC92" s="73"/>
      <c r="FD92" s="73"/>
      <c r="FE92" s="73"/>
      <c r="FF92" s="73"/>
      <c r="FG92" s="73"/>
      <c r="FH92" s="73"/>
      <c r="FI92" s="73"/>
      <c r="FJ92" s="73"/>
    </row>
    <row r="93" spans="1:166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  <c r="CG93" s="73"/>
      <c r="CH93" s="73"/>
      <c r="CI93" s="73"/>
      <c r="CJ93" s="73"/>
      <c r="CK93" s="73"/>
      <c r="CL93" s="73"/>
      <c r="CM93" s="73"/>
      <c r="CN93" s="73"/>
      <c r="CO93" s="73"/>
      <c r="CP93" s="73"/>
      <c r="CQ93" s="73"/>
      <c r="CR93" s="73"/>
      <c r="CS93" s="73"/>
      <c r="CT93" s="73"/>
      <c r="CU93" s="73"/>
      <c r="CV93" s="73"/>
      <c r="CW93" s="73"/>
      <c r="CX93" s="73"/>
      <c r="CY93" s="73"/>
      <c r="CZ93" s="73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3"/>
      <c r="DL93" s="73"/>
      <c r="DM93" s="73"/>
      <c r="DN93" s="73"/>
      <c r="DO93" s="73"/>
      <c r="DP93" s="73"/>
      <c r="DQ93" s="73"/>
      <c r="DR93" s="73"/>
      <c r="DS93" s="73"/>
      <c r="DT93" s="73"/>
      <c r="DU93" s="73"/>
      <c r="DV93" s="73"/>
      <c r="DW93" s="73"/>
      <c r="DX93" s="73"/>
      <c r="DY93" s="73"/>
      <c r="DZ93" s="73"/>
      <c r="EA93" s="73"/>
      <c r="EB93" s="73"/>
      <c r="EC93" s="73"/>
      <c r="ED93" s="73"/>
      <c r="EE93" s="73"/>
      <c r="EF93" s="73"/>
      <c r="EG93" s="73"/>
      <c r="EH93" s="73"/>
      <c r="EI93" s="73"/>
      <c r="EJ93" s="73"/>
      <c r="EK93" s="73"/>
      <c r="EL93" s="73"/>
      <c r="EM93" s="73"/>
      <c r="EN93" s="73"/>
      <c r="EO93" s="73"/>
      <c r="EP93" s="73"/>
      <c r="EQ93" s="73"/>
      <c r="ER93" s="73"/>
      <c r="ES93" s="73"/>
      <c r="ET93" s="73"/>
      <c r="EU93" s="73"/>
      <c r="EV93" s="73"/>
      <c r="EW93" s="73"/>
      <c r="EX93" s="73"/>
      <c r="EY93" s="73"/>
      <c r="EZ93" s="73"/>
      <c r="FA93" s="73"/>
      <c r="FB93" s="73"/>
      <c r="FC93" s="73"/>
      <c r="FD93" s="73"/>
      <c r="FE93" s="73"/>
      <c r="FF93" s="73"/>
      <c r="FG93" s="73"/>
      <c r="FH93" s="73"/>
      <c r="FI93" s="73"/>
      <c r="FJ93" s="73"/>
    </row>
    <row r="94" spans="1:166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 t="s">
        <v>217</v>
      </c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  <c r="CJ94" s="73"/>
      <c r="CK94" s="73"/>
      <c r="CL94" s="73"/>
      <c r="CM94" s="73"/>
      <c r="CN94" s="73"/>
      <c r="CO94" s="73"/>
      <c r="CP94" s="73"/>
      <c r="CQ94" s="73"/>
      <c r="CR94" s="73"/>
      <c r="CS94" s="73"/>
      <c r="CT94" s="73"/>
      <c r="CU94" s="73"/>
      <c r="CV94" s="73"/>
      <c r="CW94" s="73"/>
      <c r="CX94" s="73"/>
      <c r="CY94" s="73"/>
      <c r="CZ94" s="73"/>
      <c r="DA94" s="73"/>
      <c r="DB94" s="73"/>
      <c r="DC94" s="73"/>
      <c r="DD94" s="73"/>
      <c r="DE94" s="73"/>
      <c r="DF94" s="73"/>
      <c r="DG94" s="73"/>
      <c r="DH94" s="73"/>
      <c r="DI94" s="73"/>
      <c r="DJ94" s="73"/>
      <c r="DK94" s="73"/>
      <c r="DL94" s="73"/>
      <c r="DM94" s="73"/>
      <c r="DN94" s="73"/>
      <c r="DO94" s="73"/>
      <c r="DP94" s="73"/>
      <c r="DQ94" s="73"/>
      <c r="DR94" s="73"/>
      <c r="DS94" s="73"/>
      <c r="DT94" s="73"/>
      <c r="DU94" s="73"/>
      <c r="DV94" s="73"/>
      <c r="DW94" s="73"/>
      <c r="DX94" s="73"/>
      <c r="DY94" s="73"/>
      <c r="DZ94" s="73"/>
      <c r="EA94" s="73"/>
      <c r="EB94" s="73"/>
      <c r="EC94" s="73"/>
      <c r="ED94" s="73"/>
      <c r="EE94" s="73"/>
      <c r="EF94" s="73"/>
      <c r="EG94" s="73"/>
      <c r="EH94" s="73"/>
      <c r="EI94" s="73"/>
      <c r="EJ94" s="73"/>
      <c r="EK94" s="73"/>
      <c r="EL94" s="73"/>
      <c r="EM94" s="73"/>
      <c r="EN94" s="73"/>
      <c r="EO94" s="73"/>
      <c r="EP94" s="73"/>
      <c r="EQ94" s="73"/>
      <c r="ER94" s="73"/>
      <c r="ES94" s="73"/>
      <c r="ET94" s="73"/>
      <c r="EU94" s="73"/>
      <c r="EV94" s="73"/>
      <c r="EW94" s="73"/>
      <c r="EX94" s="73"/>
      <c r="EY94" s="73"/>
      <c r="EZ94" s="73"/>
      <c r="FA94" s="73"/>
      <c r="FB94" s="73"/>
      <c r="FC94" s="73"/>
      <c r="FD94" s="73"/>
      <c r="FE94" s="73"/>
      <c r="FF94" s="73"/>
      <c r="FG94" s="73"/>
      <c r="FH94" s="73"/>
      <c r="FI94" s="73"/>
      <c r="FJ94" s="73"/>
    </row>
    <row r="95" spans="1:166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  <c r="CG95" s="73"/>
      <c r="CH95" s="73"/>
      <c r="CI95" s="73"/>
      <c r="CJ95" s="73"/>
      <c r="CK95" s="73"/>
      <c r="CL95" s="73"/>
      <c r="CM95" s="73"/>
      <c r="CN95" s="73"/>
      <c r="CO95" s="73"/>
      <c r="CP95" s="73"/>
      <c r="CQ95" s="73"/>
      <c r="CR95" s="73"/>
      <c r="CS95" s="73"/>
      <c r="CT95" s="73"/>
      <c r="CU95" s="73"/>
      <c r="CV95" s="73"/>
      <c r="CW95" s="73"/>
      <c r="CX95" s="73"/>
      <c r="CY95" s="73"/>
      <c r="CZ95" s="73"/>
      <c r="DA95" s="73"/>
      <c r="DB95" s="73"/>
      <c r="DC95" s="73"/>
      <c r="DD95" s="73"/>
      <c r="DE95" s="73"/>
      <c r="DF95" s="73"/>
      <c r="DG95" s="73"/>
      <c r="DH95" s="73"/>
      <c r="DI95" s="73"/>
      <c r="DJ95" s="73"/>
      <c r="DK95" s="73"/>
      <c r="DL95" s="73"/>
      <c r="DM95" s="73"/>
      <c r="DN95" s="73"/>
      <c r="DO95" s="73"/>
      <c r="DP95" s="73"/>
      <c r="DQ95" s="73"/>
      <c r="DR95" s="73"/>
      <c r="DS95" s="73"/>
      <c r="DT95" s="73"/>
      <c r="DU95" s="73"/>
      <c r="DV95" s="73"/>
      <c r="DW95" s="73"/>
      <c r="DX95" s="73"/>
      <c r="DY95" s="73"/>
      <c r="DZ95" s="73"/>
      <c r="EA95" s="73"/>
      <c r="EB95" s="73"/>
      <c r="EC95" s="73"/>
      <c r="ED95" s="73"/>
      <c r="EE95" s="73"/>
      <c r="EF95" s="73"/>
      <c r="EG95" s="73"/>
      <c r="EH95" s="73"/>
      <c r="EI95" s="73"/>
      <c r="EJ95" s="73"/>
      <c r="EK95" s="73"/>
      <c r="EL95" s="73"/>
      <c r="EM95" s="73"/>
      <c r="EN95" s="73"/>
      <c r="EO95" s="73"/>
      <c r="EP95" s="73"/>
      <c r="EQ95" s="73"/>
      <c r="ER95" s="73"/>
      <c r="ES95" s="73"/>
      <c r="ET95" s="73"/>
      <c r="EU95" s="73"/>
      <c r="EV95" s="73"/>
      <c r="EW95" s="73"/>
      <c r="EX95" s="73"/>
      <c r="EY95" s="73"/>
      <c r="EZ95" s="73"/>
      <c r="FA95" s="73"/>
      <c r="FB95" s="73"/>
      <c r="FC95" s="73"/>
      <c r="FD95" s="73"/>
      <c r="FE95" s="73"/>
      <c r="FF95" s="73"/>
      <c r="FG95" s="73"/>
      <c r="FH95" s="73"/>
      <c r="FI95" s="73"/>
      <c r="FJ95" s="73"/>
    </row>
    <row r="96" spans="1:166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  <c r="CG96" s="73"/>
      <c r="CH96" s="73"/>
      <c r="CI96" s="73"/>
      <c r="CJ96" s="73"/>
      <c r="CK96" s="73"/>
      <c r="CL96" s="73"/>
      <c r="CM96" s="73"/>
      <c r="CN96" s="73"/>
      <c r="CO96" s="73"/>
      <c r="CP96" s="73"/>
      <c r="CQ96" s="73"/>
      <c r="CR96" s="73"/>
      <c r="CS96" s="73"/>
      <c r="CT96" s="73"/>
      <c r="CU96" s="73"/>
      <c r="CV96" s="73"/>
      <c r="CW96" s="73"/>
      <c r="CX96" s="73"/>
      <c r="CY96" s="73"/>
      <c r="CZ96" s="73"/>
      <c r="DA96" s="73"/>
      <c r="DB96" s="73"/>
      <c r="DC96" s="73"/>
      <c r="DD96" s="73"/>
      <c r="DE96" s="73"/>
      <c r="DF96" s="73"/>
      <c r="DG96" s="73"/>
      <c r="DH96" s="73"/>
      <c r="DI96" s="73"/>
      <c r="DJ96" s="73"/>
      <c r="DK96" s="73"/>
      <c r="DL96" s="73"/>
      <c r="DM96" s="73"/>
      <c r="DN96" s="73"/>
      <c r="DO96" s="73"/>
      <c r="DP96" s="73"/>
      <c r="DQ96" s="73"/>
      <c r="DR96" s="73"/>
      <c r="DS96" s="73"/>
      <c r="DT96" s="73"/>
      <c r="DU96" s="73"/>
      <c r="DV96" s="73"/>
      <c r="DW96" s="73"/>
      <c r="DX96" s="73"/>
      <c r="DY96" s="73"/>
      <c r="DZ96" s="73"/>
      <c r="EA96" s="73"/>
      <c r="EB96" s="73"/>
      <c r="EC96" s="73"/>
      <c r="ED96" s="73"/>
      <c r="EE96" s="73"/>
      <c r="EF96" s="73"/>
      <c r="EG96" s="73"/>
      <c r="EH96" s="73"/>
      <c r="EI96" s="73"/>
      <c r="EJ96" s="73"/>
      <c r="EK96" s="73"/>
      <c r="EL96" s="73"/>
      <c r="EM96" s="73"/>
      <c r="EN96" s="73"/>
      <c r="EO96" s="73"/>
      <c r="EP96" s="73"/>
      <c r="EQ96" s="73"/>
      <c r="ER96" s="73"/>
      <c r="ES96" s="73"/>
      <c r="ET96" s="73"/>
      <c r="EU96" s="73"/>
      <c r="EV96" s="73"/>
      <c r="EW96" s="73"/>
      <c r="EX96" s="73"/>
      <c r="EY96" s="73"/>
      <c r="EZ96" s="73"/>
      <c r="FA96" s="73"/>
      <c r="FB96" s="73"/>
      <c r="FC96" s="73"/>
      <c r="FD96" s="73"/>
      <c r="FE96" s="73"/>
      <c r="FF96" s="73"/>
      <c r="FG96" s="73"/>
      <c r="FH96" s="73"/>
      <c r="FI96" s="73"/>
      <c r="FJ96" s="73"/>
    </row>
    <row r="97" spans="1:166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  <c r="CG97" s="73"/>
      <c r="CH97" s="73"/>
      <c r="CI97" s="73"/>
      <c r="CJ97" s="73"/>
      <c r="CK97" s="73"/>
      <c r="CL97" s="73"/>
      <c r="CM97" s="73"/>
      <c r="CN97" s="73"/>
      <c r="CO97" s="73"/>
      <c r="CP97" s="73"/>
      <c r="CQ97" s="73"/>
      <c r="CR97" s="73"/>
      <c r="CS97" s="73"/>
      <c r="CT97" s="73"/>
      <c r="CU97" s="73"/>
      <c r="CV97" s="73"/>
      <c r="CW97" s="73"/>
      <c r="CX97" s="73"/>
      <c r="CY97" s="73"/>
      <c r="CZ97" s="73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3"/>
      <c r="DL97" s="73"/>
      <c r="DM97" s="73"/>
      <c r="DN97" s="73"/>
      <c r="DO97" s="73"/>
      <c r="DP97" s="73"/>
      <c r="DQ97" s="73"/>
      <c r="DR97" s="73"/>
      <c r="DS97" s="73"/>
      <c r="DT97" s="73"/>
      <c r="DU97" s="73"/>
      <c r="DV97" s="73"/>
      <c r="DW97" s="73"/>
      <c r="DX97" s="73"/>
      <c r="DY97" s="73"/>
      <c r="DZ97" s="73"/>
      <c r="EA97" s="73"/>
      <c r="EB97" s="73"/>
      <c r="EC97" s="73"/>
      <c r="ED97" s="73"/>
      <c r="EE97" s="73"/>
      <c r="EF97" s="73"/>
      <c r="EG97" s="73"/>
      <c r="EH97" s="73"/>
      <c r="EI97" s="73"/>
      <c r="EJ97" s="73"/>
      <c r="EK97" s="73"/>
      <c r="EL97" s="73"/>
      <c r="EM97" s="73"/>
      <c r="EN97" s="73"/>
      <c r="EO97" s="73"/>
      <c r="EP97" s="73"/>
      <c r="EQ97" s="73"/>
      <c r="ER97" s="73"/>
      <c r="ES97" s="73"/>
      <c r="ET97" s="73"/>
      <c r="EU97" s="73"/>
      <c r="EV97" s="73"/>
      <c r="EW97" s="73"/>
      <c r="EX97" s="73"/>
      <c r="EY97" s="73"/>
      <c r="EZ97" s="73"/>
      <c r="FA97" s="73"/>
      <c r="FB97" s="73"/>
      <c r="FC97" s="73"/>
      <c r="FD97" s="73"/>
      <c r="FE97" s="73"/>
      <c r="FF97" s="73"/>
      <c r="FG97" s="73"/>
      <c r="FH97" s="73"/>
      <c r="FI97" s="73"/>
      <c r="FJ97" s="7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S86"/>
  <sheetViews>
    <sheetView tabSelected="1" workbookViewId="0">
      <selection activeCell="A17" sqref="A17:A21"/>
    </sheetView>
  </sheetViews>
  <sheetFormatPr baseColWidth="10" defaultRowHeight="14" x14ac:dyDescent="0"/>
  <cols>
    <col min="1" max="1" width="42.1640625" customWidth="1"/>
    <col min="2" max="2" width="22" customWidth="1"/>
    <col min="3" max="20" width="11.1640625" bestFit="1" customWidth="1"/>
    <col min="21" max="21" width="11.1640625" customWidth="1"/>
    <col min="22" max="22" width="11.1640625" bestFit="1" customWidth="1"/>
    <col min="23" max="23" width="11.83203125" bestFit="1" customWidth="1"/>
    <col min="24" max="26" width="11.1640625" bestFit="1" customWidth="1"/>
    <col min="27" max="27" width="11.83203125" bestFit="1" customWidth="1"/>
    <col min="28" max="28" width="11.1640625" bestFit="1" customWidth="1"/>
    <col min="29" max="29" width="11.83203125" bestFit="1" customWidth="1"/>
    <col min="30" max="46" width="11.1640625" bestFit="1" customWidth="1"/>
    <col min="47" max="47" width="11.1640625" customWidth="1"/>
    <col min="48" max="53" width="11.1640625" bestFit="1" customWidth="1"/>
    <col min="54" max="55" width="11.83203125" bestFit="1" customWidth="1"/>
    <col min="56" max="61" width="11.1640625" bestFit="1" customWidth="1"/>
    <col min="62" max="63" width="11.83203125" bestFit="1" customWidth="1"/>
    <col min="64" max="75" width="11.1640625" bestFit="1" customWidth="1"/>
    <col min="76" max="77" width="11.83203125" bestFit="1" customWidth="1"/>
    <col min="78" max="86" width="11.1640625" bestFit="1" customWidth="1"/>
    <col min="87" max="87" width="11.83203125" bestFit="1" customWidth="1"/>
    <col min="88" max="93" width="11.1640625" bestFit="1" customWidth="1"/>
    <col min="94" max="94" width="11.1640625" customWidth="1"/>
    <col min="95" max="145" width="11.1640625" bestFit="1" customWidth="1"/>
    <col min="146" max="146" width="11.1640625" customWidth="1"/>
    <col min="147" max="165" width="11.1640625" bestFit="1" customWidth="1"/>
  </cols>
  <sheetData>
    <row r="1" spans="1:175" ht="25">
      <c r="A1" s="6" t="s">
        <v>167</v>
      </c>
    </row>
    <row r="2" spans="1:175" ht="25">
      <c r="A2" s="6"/>
    </row>
    <row r="3" spans="1:175" ht="20">
      <c r="A3" s="7" t="s">
        <v>168</v>
      </c>
      <c r="B3" s="8"/>
      <c r="C3" s="8"/>
    </row>
    <row r="4" spans="1:175" s="19" customFormat="1" ht="87" customHeight="1">
      <c r="A4" s="10" t="s">
        <v>164</v>
      </c>
      <c r="B4" s="11" t="s">
        <v>0</v>
      </c>
      <c r="C4" s="11" t="s">
        <v>71</v>
      </c>
      <c r="D4" s="11" t="s">
        <v>72</v>
      </c>
      <c r="E4" s="11" t="s">
        <v>73</v>
      </c>
      <c r="F4" s="11" t="s">
        <v>74</v>
      </c>
      <c r="G4" s="11" t="s">
        <v>75</v>
      </c>
      <c r="H4" s="11" t="s">
        <v>76</v>
      </c>
      <c r="I4" s="11" t="s">
        <v>77</v>
      </c>
      <c r="J4" s="11" t="s">
        <v>78</v>
      </c>
      <c r="K4" s="11" t="s">
        <v>79</v>
      </c>
      <c r="L4" s="11" t="s">
        <v>80</v>
      </c>
      <c r="M4" s="11" t="s">
        <v>81</v>
      </c>
      <c r="N4" s="11" t="s">
        <v>82</v>
      </c>
      <c r="O4" s="11" t="s">
        <v>83</v>
      </c>
      <c r="P4" s="11" t="s">
        <v>84</v>
      </c>
      <c r="Q4" s="11" t="s">
        <v>85</v>
      </c>
      <c r="R4" s="11" t="s">
        <v>86</v>
      </c>
      <c r="S4" s="11" t="s">
        <v>87</v>
      </c>
      <c r="T4" s="11" t="s">
        <v>88</v>
      </c>
      <c r="U4" s="11"/>
      <c r="V4" s="11" t="s">
        <v>89</v>
      </c>
      <c r="W4" s="11" t="s">
        <v>90</v>
      </c>
      <c r="X4" s="11" t="s">
        <v>91</v>
      </c>
      <c r="Y4" s="11" t="s">
        <v>92</v>
      </c>
      <c r="Z4" s="12" t="s">
        <v>93</v>
      </c>
      <c r="AA4" s="12" t="s">
        <v>94</v>
      </c>
      <c r="AB4" s="11" t="s">
        <v>95</v>
      </c>
      <c r="AC4" s="12" t="s">
        <v>96</v>
      </c>
      <c r="AD4" s="12" t="s">
        <v>97</v>
      </c>
      <c r="AE4" s="11" t="s">
        <v>98</v>
      </c>
      <c r="AF4" s="12" t="s">
        <v>99</v>
      </c>
      <c r="AG4" s="11" t="s">
        <v>100</v>
      </c>
      <c r="AH4" s="11" t="s">
        <v>101</v>
      </c>
      <c r="AI4" s="11" t="s">
        <v>102</v>
      </c>
      <c r="AJ4" s="12" t="s">
        <v>103</v>
      </c>
      <c r="AK4" s="12" t="s">
        <v>104</v>
      </c>
      <c r="AL4" s="11" t="s">
        <v>105</v>
      </c>
      <c r="AM4" s="11" t="s">
        <v>106</v>
      </c>
      <c r="AN4" s="12" t="s">
        <v>107</v>
      </c>
      <c r="AO4" s="11" t="s">
        <v>108</v>
      </c>
      <c r="AP4" s="12" t="s">
        <v>109</v>
      </c>
      <c r="AQ4" s="11" t="s">
        <v>110</v>
      </c>
      <c r="AR4" s="11" t="s">
        <v>111</v>
      </c>
      <c r="AS4" s="11" t="s">
        <v>112</v>
      </c>
      <c r="AT4" s="12" t="s">
        <v>113</v>
      </c>
      <c r="AU4" s="12"/>
      <c r="AV4" s="11" t="s">
        <v>160</v>
      </c>
      <c r="AW4" s="11" t="s">
        <v>114</v>
      </c>
      <c r="AX4" s="11" t="s">
        <v>115</v>
      </c>
      <c r="AY4" s="12" t="s">
        <v>116</v>
      </c>
      <c r="AZ4" s="11" t="s">
        <v>117</v>
      </c>
      <c r="BA4" s="11" t="s">
        <v>118</v>
      </c>
      <c r="BB4" s="11" t="s">
        <v>119</v>
      </c>
      <c r="BC4" s="12" t="s">
        <v>120</v>
      </c>
      <c r="BD4" s="12" t="s">
        <v>121</v>
      </c>
      <c r="BE4" s="12" t="s">
        <v>122</v>
      </c>
      <c r="BF4" s="11" t="s">
        <v>123</v>
      </c>
      <c r="BG4" s="11" t="s">
        <v>124</v>
      </c>
      <c r="BH4" s="11" t="s">
        <v>125</v>
      </c>
      <c r="BI4" s="11" t="s">
        <v>126</v>
      </c>
      <c r="BJ4" s="11" t="s">
        <v>127</v>
      </c>
      <c r="BK4" s="11" t="s">
        <v>128</v>
      </c>
      <c r="BL4" s="12" t="s">
        <v>129</v>
      </c>
      <c r="BM4" s="12" t="s">
        <v>130</v>
      </c>
      <c r="BN4" s="11" t="s">
        <v>131</v>
      </c>
      <c r="BO4" s="11" t="s">
        <v>132</v>
      </c>
      <c r="BP4" s="11" t="s">
        <v>133</v>
      </c>
      <c r="BQ4" s="11" t="s">
        <v>134</v>
      </c>
      <c r="BR4" s="11" t="s">
        <v>135</v>
      </c>
      <c r="BS4" s="11" t="s">
        <v>136</v>
      </c>
      <c r="BT4" s="11" t="s">
        <v>137</v>
      </c>
      <c r="BU4" s="11" t="s">
        <v>138</v>
      </c>
      <c r="BV4" s="11" t="s">
        <v>139</v>
      </c>
      <c r="BW4" s="12" t="s">
        <v>140</v>
      </c>
      <c r="BX4" s="11" t="s">
        <v>141</v>
      </c>
      <c r="BY4" s="11" t="s">
        <v>142</v>
      </c>
      <c r="BZ4" s="11" t="s">
        <v>143</v>
      </c>
      <c r="CA4" s="11" t="s">
        <v>144</v>
      </c>
      <c r="CB4" s="12" t="s">
        <v>145</v>
      </c>
      <c r="CC4" s="12" t="s">
        <v>146</v>
      </c>
      <c r="CD4" s="11" t="s">
        <v>147</v>
      </c>
      <c r="CE4" s="11" t="s">
        <v>148</v>
      </c>
      <c r="CF4" s="11" t="s">
        <v>149</v>
      </c>
      <c r="CG4" s="11" t="s">
        <v>150</v>
      </c>
      <c r="CH4" s="11" t="s">
        <v>151</v>
      </c>
      <c r="CI4" s="11" t="s">
        <v>152</v>
      </c>
      <c r="CJ4" s="11" t="s">
        <v>153</v>
      </c>
      <c r="CK4" s="11" t="s">
        <v>154</v>
      </c>
      <c r="CL4" s="11" t="s">
        <v>155</v>
      </c>
      <c r="CM4" s="11" t="s">
        <v>156</v>
      </c>
      <c r="CN4" s="11" t="s">
        <v>157</v>
      </c>
      <c r="CO4" s="11" t="s">
        <v>158</v>
      </c>
      <c r="CP4" s="11"/>
      <c r="CQ4" s="11" t="s">
        <v>1</v>
      </c>
      <c r="CR4" s="11" t="s">
        <v>2</v>
      </c>
      <c r="CS4" s="11" t="s">
        <v>3</v>
      </c>
      <c r="CT4" s="11" t="s">
        <v>4</v>
      </c>
      <c r="CU4" s="11" t="s">
        <v>5</v>
      </c>
      <c r="CV4" s="11" t="s">
        <v>6</v>
      </c>
      <c r="CW4" s="12" t="s">
        <v>7</v>
      </c>
      <c r="CX4" s="11" t="s">
        <v>8</v>
      </c>
      <c r="CY4" s="11" t="s">
        <v>9</v>
      </c>
      <c r="CZ4" s="11" t="s">
        <v>10</v>
      </c>
      <c r="DA4" s="11" t="s">
        <v>11</v>
      </c>
      <c r="DB4" s="11" t="s">
        <v>12</v>
      </c>
      <c r="DC4" s="12" t="s">
        <v>13</v>
      </c>
      <c r="DD4" s="11" t="s">
        <v>14</v>
      </c>
      <c r="DE4" s="11" t="s">
        <v>15</v>
      </c>
      <c r="DF4" s="11" t="s">
        <v>16</v>
      </c>
      <c r="DG4" s="11" t="s">
        <v>17</v>
      </c>
      <c r="DH4" s="11" t="s">
        <v>18</v>
      </c>
      <c r="DI4" s="11" t="s">
        <v>19</v>
      </c>
      <c r="DJ4" s="11" t="s">
        <v>20</v>
      </c>
      <c r="DK4" s="11" t="s">
        <v>21</v>
      </c>
      <c r="DL4" s="11" t="s">
        <v>22</v>
      </c>
      <c r="DM4" s="11" t="s">
        <v>23</v>
      </c>
      <c r="DN4" s="11" t="s">
        <v>24</v>
      </c>
      <c r="DO4" s="11" t="s">
        <v>25</v>
      </c>
      <c r="DP4" s="11" t="s">
        <v>26</v>
      </c>
      <c r="DQ4" s="12" t="s">
        <v>27</v>
      </c>
      <c r="DR4" s="11" t="s">
        <v>28</v>
      </c>
      <c r="DS4" s="11" t="s">
        <v>29</v>
      </c>
      <c r="DT4" s="11" t="s">
        <v>30</v>
      </c>
      <c r="DU4" s="11" t="s">
        <v>31</v>
      </c>
      <c r="DV4" s="11" t="s">
        <v>32</v>
      </c>
      <c r="DW4" s="11" t="s">
        <v>33</v>
      </c>
      <c r="DX4" s="11" t="s">
        <v>34</v>
      </c>
      <c r="DY4" s="12" t="s">
        <v>35</v>
      </c>
      <c r="DZ4" s="12" t="s">
        <v>36</v>
      </c>
      <c r="EA4" s="12" t="s">
        <v>37</v>
      </c>
      <c r="EB4" s="12" t="s">
        <v>38</v>
      </c>
      <c r="EC4" s="11" t="s">
        <v>39</v>
      </c>
      <c r="ED4" s="12" t="s">
        <v>40</v>
      </c>
      <c r="EE4" s="11" t="s">
        <v>41</v>
      </c>
      <c r="EF4" s="11" t="s">
        <v>42</v>
      </c>
      <c r="EG4" s="12" t="s">
        <v>43</v>
      </c>
      <c r="EH4" s="11" t="s">
        <v>44</v>
      </c>
      <c r="EI4" s="11" t="s">
        <v>45</v>
      </c>
      <c r="EJ4" s="11" t="s">
        <v>46</v>
      </c>
      <c r="EK4" s="12" t="s">
        <v>47</v>
      </c>
      <c r="EL4" s="11" t="s">
        <v>48</v>
      </c>
      <c r="EM4" s="12" t="s">
        <v>49</v>
      </c>
      <c r="EN4" s="11" t="s">
        <v>50</v>
      </c>
      <c r="EO4" s="11" t="s">
        <v>51</v>
      </c>
      <c r="EP4" s="11"/>
      <c r="EQ4" s="11" t="s">
        <v>52</v>
      </c>
      <c r="ER4" s="11" t="s">
        <v>53</v>
      </c>
      <c r="ES4" s="11" t="s">
        <v>54</v>
      </c>
      <c r="ET4" s="11" t="s">
        <v>55</v>
      </c>
      <c r="EU4" s="11" t="s">
        <v>56</v>
      </c>
      <c r="EV4" s="11" t="s">
        <v>57</v>
      </c>
      <c r="EW4" s="11" t="s">
        <v>58</v>
      </c>
      <c r="EX4" s="11" t="s">
        <v>59</v>
      </c>
      <c r="EY4" s="12" t="s">
        <v>60</v>
      </c>
      <c r="EZ4" s="11" t="s">
        <v>61</v>
      </c>
      <c r="FA4" s="11" t="s">
        <v>62</v>
      </c>
      <c r="FB4" s="12" t="s">
        <v>63</v>
      </c>
      <c r="FC4" s="11" t="s">
        <v>64</v>
      </c>
      <c r="FD4" s="11" t="s">
        <v>65</v>
      </c>
      <c r="FE4" s="11" t="s">
        <v>66</v>
      </c>
      <c r="FF4" s="11" t="s">
        <v>67</v>
      </c>
      <c r="FG4" s="12" t="s">
        <v>68</v>
      </c>
      <c r="FH4" s="11" t="s">
        <v>69</v>
      </c>
      <c r="FI4" s="11" t="s">
        <v>70</v>
      </c>
      <c r="FJ4" s="18"/>
      <c r="FK4" s="18"/>
      <c r="FL4" s="18"/>
      <c r="FM4" s="18"/>
      <c r="FN4" s="18"/>
      <c r="FO4" s="18"/>
      <c r="FP4" s="18"/>
      <c r="FQ4" s="18"/>
      <c r="FR4" s="18"/>
      <c r="FS4" s="18"/>
    </row>
    <row r="5" spans="1:175" s="36" customFormat="1" ht="16" customHeight="1">
      <c r="A5" s="172" t="s">
        <v>177</v>
      </c>
      <c r="B5" s="22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5"/>
    </row>
    <row r="6" spans="1:175" s="32" customFormat="1" ht="15">
      <c r="A6" s="9" t="s">
        <v>178</v>
      </c>
      <c r="B6" s="24" t="s">
        <v>184</v>
      </c>
      <c r="C6" s="169">
        <v>2506.8774813755299</v>
      </c>
      <c r="D6" s="169">
        <v>152.44673675355301</v>
      </c>
      <c r="E6" s="169">
        <v>7352.2747239041</v>
      </c>
      <c r="F6" s="169">
        <v>3155.2670111388902</v>
      </c>
      <c r="G6" s="169">
        <v>53.2781014758637</v>
      </c>
      <c r="H6" s="169">
        <v>175.99925127672299</v>
      </c>
      <c r="I6" s="169">
        <v>239.411225277152</v>
      </c>
      <c r="J6" s="169">
        <v>15618.181627735499</v>
      </c>
      <c r="K6" s="169">
        <v>9622.4101419945091</v>
      </c>
      <c r="L6" s="169">
        <v>655.65395675028503</v>
      </c>
      <c r="M6" s="169">
        <v>219.02936242077399</v>
      </c>
      <c r="N6" s="169">
        <v>1</v>
      </c>
      <c r="O6" s="169">
        <v>1</v>
      </c>
      <c r="P6" s="169">
        <v>1</v>
      </c>
      <c r="Q6" s="169">
        <v>1</v>
      </c>
      <c r="R6" s="169">
        <v>49.609035779272503</v>
      </c>
      <c r="S6" s="169">
        <v>162.08115901718801</v>
      </c>
      <c r="T6" s="169">
        <v>72.887467619148197</v>
      </c>
      <c r="U6" s="169"/>
      <c r="V6" s="169">
        <v>69331.063302680806</v>
      </c>
      <c r="W6" s="169">
        <v>86243.104447672798</v>
      </c>
      <c r="X6" s="169">
        <v>70440.916446284406</v>
      </c>
      <c r="Y6" s="169">
        <v>624.37286308050705</v>
      </c>
      <c r="Z6" s="169">
        <v>3079.7693493131601</v>
      </c>
      <c r="AA6" s="169">
        <v>519406.35576611402</v>
      </c>
      <c r="AB6" s="169">
        <v>23320.513452018698</v>
      </c>
      <c r="AC6" s="169">
        <v>213011.94722221201</v>
      </c>
      <c r="AD6" s="169">
        <v>1747.7567115289501</v>
      </c>
      <c r="AE6" s="169">
        <v>11696.006664115101</v>
      </c>
      <c r="AF6" s="169">
        <v>31676.067638759701</v>
      </c>
      <c r="AG6" s="169">
        <v>714.77806106115997</v>
      </c>
      <c r="AH6" s="169">
        <v>4088.7402999852502</v>
      </c>
      <c r="AI6" s="169">
        <v>8516.2502968027802</v>
      </c>
      <c r="AJ6" s="169">
        <v>2437.57011581198</v>
      </c>
      <c r="AK6" s="169">
        <v>464.42778741478497</v>
      </c>
      <c r="AL6" s="169">
        <v>303.59702730193197</v>
      </c>
      <c r="AM6" s="169">
        <v>4637.7580626037698</v>
      </c>
      <c r="AN6" s="169">
        <v>2707.3767502339701</v>
      </c>
      <c r="AO6" s="169">
        <v>626.99783404691004</v>
      </c>
      <c r="AP6" s="169">
        <v>609.02590105981994</v>
      </c>
      <c r="AQ6" s="169">
        <v>767.88942272697102</v>
      </c>
      <c r="AR6" s="169">
        <v>2781.5129996943001</v>
      </c>
      <c r="AS6" s="169">
        <v>13797.954858458501</v>
      </c>
      <c r="AT6" s="169">
        <v>8395.09010993845</v>
      </c>
      <c r="AU6" s="169"/>
      <c r="AV6" s="169">
        <v>44.6176662073944</v>
      </c>
      <c r="AW6" s="169">
        <v>2609.7251901685399</v>
      </c>
      <c r="AX6" s="169">
        <v>909.54942252281</v>
      </c>
      <c r="AY6" s="169">
        <v>508.96237663350399</v>
      </c>
      <c r="AZ6" s="169">
        <v>212.72019305964</v>
      </c>
      <c r="BA6" s="169">
        <v>2615.3027104775101</v>
      </c>
      <c r="BB6" s="169">
        <v>118081.360086321</v>
      </c>
      <c r="BC6" s="169">
        <v>74529.338571643893</v>
      </c>
      <c r="BD6" s="169">
        <v>7649.2888919665202</v>
      </c>
      <c r="BE6" s="169">
        <v>2200.4091917472902</v>
      </c>
      <c r="BF6" s="169">
        <v>10215.702654517299</v>
      </c>
      <c r="BG6" s="169">
        <v>8855.8686498590396</v>
      </c>
      <c r="BH6" s="169">
        <v>13706.1225913424</v>
      </c>
      <c r="BI6" s="169">
        <v>10071.6538397076</v>
      </c>
      <c r="BJ6" s="169">
        <v>485169.702581894</v>
      </c>
      <c r="BK6" s="169">
        <v>317548.85224102403</v>
      </c>
      <c r="BL6" s="169">
        <v>65936.418202605593</v>
      </c>
      <c r="BM6" s="169">
        <v>68805.6983202306</v>
      </c>
      <c r="BN6" s="169">
        <v>5644.7018494475296</v>
      </c>
      <c r="BO6" s="169">
        <v>2482.65553974247</v>
      </c>
      <c r="BP6" s="169">
        <v>4191.9547805191496</v>
      </c>
      <c r="BQ6" s="169">
        <v>1794.12483019704</v>
      </c>
      <c r="BR6" s="169">
        <v>15924.3599248138</v>
      </c>
      <c r="BS6" s="169">
        <v>19694.957271818501</v>
      </c>
      <c r="BT6" s="169">
        <v>13513.7602868781</v>
      </c>
      <c r="BU6" s="169">
        <v>4301.8453555549504</v>
      </c>
      <c r="BV6" s="169">
        <v>7209.1476921368403</v>
      </c>
      <c r="BW6" s="169">
        <v>20197.0512181874</v>
      </c>
      <c r="BX6" s="169">
        <v>108851.922021062</v>
      </c>
      <c r="BY6" s="169">
        <v>429843.546827805</v>
      </c>
      <c r="BZ6" s="169">
        <v>77342.572165746693</v>
      </c>
      <c r="CA6" s="169">
        <v>21980.647625680798</v>
      </c>
      <c r="CB6" s="169">
        <v>7796.4833890806103</v>
      </c>
      <c r="CC6" s="169">
        <v>7707.8881148943901</v>
      </c>
      <c r="CD6" s="169">
        <v>39271.312252861702</v>
      </c>
      <c r="CE6" s="169">
        <v>48176.224726966502</v>
      </c>
      <c r="CF6" s="169">
        <v>35506.907856183199</v>
      </c>
      <c r="CG6" s="169">
        <v>151.10707814974899</v>
      </c>
      <c r="CH6" s="169">
        <v>73.580691901564194</v>
      </c>
      <c r="CI6" s="169">
        <v>32.660991581630398</v>
      </c>
      <c r="CJ6" s="169">
        <v>571.97711697258296</v>
      </c>
      <c r="CK6" s="169">
        <v>1202.0349330522599</v>
      </c>
      <c r="CL6" s="169">
        <v>209.219129312158</v>
      </c>
      <c r="CM6" s="169">
        <v>1934.12697866136</v>
      </c>
      <c r="CN6" s="169">
        <v>138.92767492803401</v>
      </c>
      <c r="CO6" s="169">
        <v>80.337543685466997</v>
      </c>
      <c r="CP6" s="169"/>
      <c r="CQ6" s="170">
        <v>91.312441783104603</v>
      </c>
      <c r="CR6" s="170">
        <v>116.94957536597001</v>
      </c>
      <c r="CS6" s="170">
        <v>289.725115106663</v>
      </c>
      <c r="CT6" s="170">
        <v>116.411346903759</v>
      </c>
      <c r="CU6" s="170">
        <v>22.398764529262898</v>
      </c>
      <c r="CV6" s="170">
        <v>53.3827052924848</v>
      </c>
      <c r="CW6" s="170">
        <v>2504.6644894696601</v>
      </c>
      <c r="CX6" s="170">
        <v>9432.5198419250992</v>
      </c>
      <c r="CY6" s="170">
        <v>227.41039334610599</v>
      </c>
      <c r="CZ6" s="170">
        <v>408.79473622726499</v>
      </c>
      <c r="DA6" s="170">
        <v>1109.0073950148901</v>
      </c>
      <c r="DB6" s="170">
        <v>4229.7882578024401</v>
      </c>
      <c r="DC6" s="170">
        <v>479.27014090268699</v>
      </c>
      <c r="DD6" s="170">
        <v>864.84986147223299</v>
      </c>
      <c r="DE6" s="170">
        <v>12346.7971006719</v>
      </c>
      <c r="DF6" s="170">
        <v>14852.740382133899</v>
      </c>
      <c r="DG6" s="170">
        <v>1032.7661908529001</v>
      </c>
      <c r="DH6" s="170">
        <v>220.96315589506901</v>
      </c>
      <c r="DI6" s="170">
        <v>30.3845659442323</v>
      </c>
      <c r="DJ6" s="170">
        <v>377.489637529459</v>
      </c>
      <c r="DK6" s="170">
        <v>623.17386680743698</v>
      </c>
      <c r="DL6" s="170">
        <v>652.67610557170894</v>
      </c>
      <c r="DM6" s="170">
        <v>2162.6255695393802</v>
      </c>
      <c r="DN6" s="170">
        <v>635.93182319222205</v>
      </c>
      <c r="DO6" s="170">
        <v>7727.7080715702104</v>
      </c>
      <c r="DP6" s="170">
        <v>8271.6172809254494</v>
      </c>
      <c r="DQ6" s="170">
        <v>4471.6917480638203</v>
      </c>
      <c r="DR6" s="170">
        <v>4228.1400130832599</v>
      </c>
      <c r="DS6" s="170">
        <v>566.62514497224595</v>
      </c>
      <c r="DT6" s="170">
        <v>77.827540396671907</v>
      </c>
      <c r="DU6" s="170">
        <v>1283.31278068605</v>
      </c>
      <c r="DV6" s="170">
        <v>418.70605829865701</v>
      </c>
      <c r="DW6" s="170">
        <v>18.619833740281599</v>
      </c>
      <c r="DX6" s="170">
        <v>506.72123580177998</v>
      </c>
      <c r="DY6" s="170">
        <v>494.47377776738398</v>
      </c>
      <c r="DZ6" s="170">
        <v>900.58789903005595</v>
      </c>
      <c r="EA6" s="170">
        <v>374.01788399709699</v>
      </c>
      <c r="EB6" s="170">
        <v>30.498583512068901</v>
      </c>
      <c r="EC6" s="170">
        <v>515.18598566736398</v>
      </c>
      <c r="ED6" s="170">
        <v>2163.0141085527998</v>
      </c>
      <c r="EE6" s="170">
        <v>1377.3416326086101</v>
      </c>
      <c r="EF6" s="170">
        <v>2868.4057585924002</v>
      </c>
      <c r="EG6" s="170">
        <v>1230.8585590989201</v>
      </c>
      <c r="EH6" s="170">
        <v>550.40732465009296</v>
      </c>
      <c r="EI6" s="170">
        <v>316.34466118455998</v>
      </c>
      <c r="EJ6" s="170">
        <v>83.155496082404497</v>
      </c>
      <c r="EK6" s="170">
        <v>144.62588949329199</v>
      </c>
      <c r="EL6" s="170">
        <v>55.956802015123202</v>
      </c>
      <c r="EM6" s="170">
        <v>165.79279605738799</v>
      </c>
      <c r="EN6" s="170">
        <v>278.32824461811498</v>
      </c>
      <c r="EO6" s="170">
        <v>107.189578452467</v>
      </c>
      <c r="EP6" s="170"/>
      <c r="EQ6" s="170">
        <v>2253.9548123599602</v>
      </c>
      <c r="ER6" s="170">
        <v>22362.022468381201</v>
      </c>
      <c r="ES6" s="170">
        <v>5082.7638371767998</v>
      </c>
      <c r="ET6" s="170">
        <v>52.324948665633002</v>
      </c>
      <c r="EU6" s="170">
        <v>514.94685928030697</v>
      </c>
      <c r="EV6" s="170">
        <v>219.67022974587599</v>
      </c>
      <c r="EW6" s="170">
        <v>213.40086091674101</v>
      </c>
      <c r="EX6" s="170">
        <v>1480.3186384062899</v>
      </c>
      <c r="EY6" s="170">
        <v>4366.1930975612004</v>
      </c>
      <c r="EZ6" s="170">
        <v>1792.1384996171</v>
      </c>
      <c r="FA6" s="170">
        <v>128.311241665099</v>
      </c>
      <c r="FB6" s="170">
        <v>2226.2645157346701</v>
      </c>
      <c r="FC6" s="170">
        <v>235.49716306625501</v>
      </c>
      <c r="FD6" s="170">
        <v>3439.63312096961</v>
      </c>
      <c r="FE6" s="170">
        <v>9432.5198419250992</v>
      </c>
      <c r="FF6" s="170">
        <v>1433.0896842170901</v>
      </c>
      <c r="FG6" s="170">
        <v>934.12179858569596</v>
      </c>
      <c r="FH6" s="170">
        <v>231.62049729527399</v>
      </c>
      <c r="FI6" s="170">
        <v>132.24312215414099</v>
      </c>
    </row>
    <row r="7" spans="1:175" s="32" customFormat="1" ht="15">
      <c r="A7" s="9" t="s">
        <v>179</v>
      </c>
      <c r="B7" s="24" t="s">
        <v>184</v>
      </c>
      <c r="C7" s="169">
        <v>5610.1807543887699</v>
      </c>
      <c r="D7" s="169">
        <v>402.25277755750102</v>
      </c>
      <c r="E7" s="169">
        <v>16205.795070103601</v>
      </c>
      <c r="F7" s="169">
        <v>4846.1381727806202</v>
      </c>
      <c r="G7" s="169">
        <v>133.13993387391599</v>
      </c>
      <c r="H7" s="169">
        <v>367.866201135567</v>
      </c>
      <c r="I7" s="169">
        <v>147.01437557276</v>
      </c>
      <c r="J7" s="169">
        <v>17293.4958417419</v>
      </c>
      <c r="K7" s="169">
        <v>10124.694428069501</v>
      </c>
      <c r="L7" s="169">
        <v>1454.7640782245601</v>
      </c>
      <c r="M7" s="169">
        <v>28.807777814800701</v>
      </c>
      <c r="N7" s="169">
        <v>137.369287259521</v>
      </c>
      <c r="O7" s="169">
        <v>56.412475453589998</v>
      </c>
      <c r="P7" s="169">
        <v>36.798625688278101</v>
      </c>
      <c r="Q7" s="169">
        <v>1</v>
      </c>
      <c r="R7" s="169">
        <v>37.9303069233912</v>
      </c>
      <c r="S7" s="169">
        <v>261.97650761947699</v>
      </c>
      <c r="T7" s="169">
        <v>369.94909701213498</v>
      </c>
      <c r="U7" s="169"/>
      <c r="V7" s="169">
        <v>80674.4193476457</v>
      </c>
      <c r="W7" s="169">
        <v>112327.81601457301</v>
      </c>
      <c r="X7" s="169">
        <v>87110.256144461397</v>
      </c>
      <c r="Y7" s="169">
        <v>359.33580773976701</v>
      </c>
      <c r="Z7" s="169">
        <v>3149.0648391199502</v>
      </c>
      <c r="AA7" s="169">
        <v>313653.24019287003</v>
      </c>
      <c r="AB7" s="169">
        <v>20978.7604114108</v>
      </c>
      <c r="AC7" s="169">
        <v>190236.71924326301</v>
      </c>
      <c r="AD7" s="169">
        <v>1464.3393987530401</v>
      </c>
      <c r="AE7" s="169">
        <v>7269.5175015397299</v>
      </c>
      <c r="AF7" s="169">
        <v>23365.560734921601</v>
      </c>
      <c r="AG7" s="169">
        <v>1112.3560673428999</v>
      </c>
      <c r="AH7" s="169">
        <v>5395.4174590972698</v>
      </c>
      <c r="AI7" s="169">
        <v>12278.9891838124</v>
      </c>
      <c r="AJ7" s="169">
        <v>4388.6529920308303</v>
      </c>
      <c r="AK7" s="169">
        <v>422.44518384280502</v>
      </c>
      <c r="AL7" s="169">
        <v>156.43646261260599</v>
      </c>
      <c r="AM7" s="169">
        <v>8221.6905493584909</v>
      </c>
      <c r="AN7" s="169">
        <v>4854.4310242502697</v>
      </c>
      <c r="AO7" s="169">
        <v>279.69374341951197</v>
      </c>
      <c r="AP7" s="169">
        <v>606.54537793835004</v>
      </c>
      <c r="AQ7" s="169">
        <v>458.72619682984202</v>
      </c>
      <c r="AR7" s="169">
        <v>1268.7205440238099</v>
      </c>
      <c r="AS7" s="169">
        <v>15462.601964575701</v>
      </c>
      <c r="AT7" s="169">
        <v>8293.8567337401091</v>
      </c>
      <c r="AU7" s="169"/>
      <c r="AV7" s="169">
        <v>400.45773641153801</v>
      </c>
      <c r="AW7" s="169">
        <v>6511.1821435579504</v>
      </c>
      <c r="AX7" s="169">
        <v>2470.2470783951799</v>
      </c>
      <c r="AY7" s="169">
        <v>954.40392739898505</v>
      </c>
      <c r="AZ7" s="169">
        <v>240.53919531229801</v>
      </c>
      <c r="BA7" s="169">
        <v>16177.188870268499</v>
      </c>
      <c r="BB7" s="169">
        <v>181842.900221163</v>
      </c>
      <c r="BC7" s="169">
        <v>130470.73226945801</v>
      </c>
      <c r="BD7" s="169">
        <v>17801.68509255</v>
      </c>
      <c r="BE7" s="169">
        <v>1878.8438693907699</v>
      </c>
      <c r="BF7" s="169">
        <v>14047.149822736799</v>
      </c>
      <c r="BG7" s="169">
        <v>13417.4900545499</v>
      </c>
      <c r="BH7" s="169">
        <v>23825.586099509001</v>
      </c>
      <c r="BI7" s="169">
        <v>15363.0216612575</v>
      </c>
      <c r="BJ7" s="169">
        <v>425931.84332860401</v>
      </c>
      <c r="BK7" s="169">
        <v>385919.36115922499</v>
      </c>
      <c r="BL7" s="169">
        <v>103538.490554473</v>
      </c>
      <c r="BM7" s="169">
        <v>75139.902714666401</v>
      </c>
      <c r="BN7" s="169">
        <v>12625.142612662001</v>
      </c>
      <c r="BO7" s="169">
        <v>4035.14528287331</v>
      </c>
      <c r="BP7" s="169">
        <v>5276.1040806232704</v>
      </c>
      <c r="BQ7" s="169">
        <v>2647.1780632316199</v>
      </c>
      <c r="BR7" s="169">
        <v>11763.574445637199</v>
      </c>
      <c r="BS7" s="169">
        <v>11492.950825722201</v>
      </c>
      <c r="BT7" s="169">
        <v>9374.5833724274198</v>
      </c>
      <c r="BU7" s="169">
        <v>3188.9563788056598</v>
      </c>
      <c r="BV7" s="169">
        <v>12945.3674906985</v>
      </c>
      <c r="BW7" s="169">
        <v>21953.250600432501</v>
      </c>
      <c r="BX7" s="169">
        <v>107938.974576864</v>
      </c>
      <c r="BY7" s="169">
        <v>345121.61980141199</v>
      </c>
      <c r="BZ7" s="169">
        <v>84431.823253415001</v>
      </c>
      <c r="CA7" s="169">
        <v>26141.6090210685</v>
      </c>
      <c r="CB7" s="169">
        <v>6643.2357525697898</v>
      </c>
      <c r="CC7" s="169">
        <v>5250.6773591619503</v>
      </c>
      <c r="CD7" s="169">
        <v>38952.319653746097</v>
      </c>
      <c r="CE7" s="169">
        <v>57158.027003191703</v>
      </c>
      <c r="CF7" s="169">
        <v>32595.793433614599</v>
      </c>
      <c r="CG7" s="169">
        <v>674.25361729639405</v>
      </c>
      <c r="CH7" s="169">
        <v>88.810616365694898</v>
      </c>
      <c r="CI7" s="169">
        <v>116.845158747311</v>
      </c>
      <c r="CJ7" s="169">
        <v>265.538739590825</v>
      </c>
      <c r="CK7" s="169">
        <v>1393.8520495080299</v>
      </c>
      <c r="CL7" s="169">
        <v>233.53168452422099</v>
      </c>
      <c r="CM7" s="169">
        <v>985.74994749602001</v>
      </c>
      <c r="CN7" s="169">
        <v>310.226215565301</v>
      </c>
      <c r="CO7" s="169">
        <v>110.937471008475</v>
      </c>
      <c r="CP7" s="169"/>
      <c r="CQ7" s="170">
        <v>871.68092001197499</v>
      </c>
      <c r="CR7" s="170">
        <v>356.87127816050099</v>
      </c>
      <c r="CS7" s="170">
        <v>95.884497278246499</v>
      </c>
      <c r="CT7" s="170">
        <v>220.90885028289799</v>
      </c>
      <c r="CU7" s="170">
        <v>38.245612352064001</v>
      </c>
      <c r="CV7" s="170">
        <v>16.411024793487101</v>
      </c>
      <c r="CW7" s="170">
        <v>2908.7945567033898</v>
      </c>
      <c r="CX7" s="170">
        <v>15425.349979031</v>
      </c>
      <c r="CY7" s="170">
        <v>44.514728612570103</v>
      </c>
      <c r="CZ7" s="170">
        <v>781.94883182167996</v>
      </c>
      <c r="DA7" s="170">
        <v>881.77997287439996</v>
      </c>
      <c r="DB7" s="170">
        <v>3792.6534756535898</v>
      </c>
      <c r="DC7" s="170">
        <v>396.07276778867498</v>
      </c>
      <c r="DD7" s="170">
        <v>247.72315524386099</v>
      </c>
      <c r="DE7" s="170">
        <v>912.16861276563202</v>
      </c>
      <c r="DF7" s="170">
        <v>14435.710161953901</v>
      </c>
      <c r="DG7" s="170">
        <v>152.63601570365299</v>
      </c>
      <c r="DH7" s="170">
        <v>48.559173328019597</v>
      </c>
      <c r="DI7" s="170">
        <v>138.97781368135901</v>
      </c>
      <c r="DJ7" s="170">
        <v>380.15808181690898</v>
      </c>
      <c r="DK7" s="170">
        <v>865.29498011313001</v>
      </c>
      <c r="DL7" s="170">
        <v>1218.1519343586999</v>
      </c>
      <c r="DM7" s="170">
        <v>1312.93813688359</v>
      </c>
      <c r="DN7" s="170">
        <v>832.12669281822002</v>
      </c>
      <c r="DO7" s="170">
        <v>11230.3176145745</v>
      </c>
      <c r="DP7" s="170">
        <v>855.61394925217701</v>
      </c>
      <c r="DQ7" s="170">
        <v>5099.7813197774703</v>
      </c>
      <c r="DR7" s="170">
        <v>3985.4695204621598</v>
      </c>
      <c r="DS7" s="170">
        <v>96.135090614291499</v>
      </c>
      <c r="DT7" s="170">
        <v>68.5587690422322</v>
      </c>
      <c r="DU7" s="170">
        <v>856.23537247347895</v>
      </c>
      <c r="DV7" s="170">
        <v>419.75700846065502</v>
      </c>
      <c r="DW7" s="170">
        <v>93.407336502923798</v>
      </c>
      <c r="DX7" s="170">
        <v>45.915355442834297</v>
      </c>
      <c r="DY7" s="170">
        <v>155.59024466445001</v>
      </c>
      <c r="DZ7" s="170">
        <v>458.008270709469</v>
      </c>
      <c r="EA7" s="170">
        <v>76.831885478811003</v>
      </c>
      <c r="EB7" s="170">
        <v>39.411648999902603</v>
      </c>
      <c r="EC7" s="170">
        <v>670.23526341145396</v>
      </c>
      <c r="ED7" s="170">
        <v>2275.6590882927198</v>
      </c>
      <c r="EE7" s="170">
        <v>1218.2389350349599</v>
      </c>
      <c r="EF7" s="170">
        <v>2376.2962514350202</v>
      </c>
      <c r="EG7" s="170">
        <v>1867.81480617337</v>
      </c>
      <c r="EH7" s="170">
        <v>1305.56637558083</v>
      </c>
      <c r="EI7" s="170">
        <v>55.060726163496398</v>
      </c>
      <c r="EJ7" s="170">
        <v>217.77850985616499</v>
      </c>
      <c r="EK7" s="170">
        <v>206.23106041134301</v>
      </c>
      <c r="EL7" s="170">
        <v>57.453695043340701</v>
      </c>
      <c r="EM7" s="170">
        <v>22.6648931456022</v>
      </c>
      <c r="EN7" s="170">
        <v>183.21365455468799</v>
      </c>
      <c r="EO7" s="170">
        <v>178.35924394051901</v>
      </c>
      <c r="EP7" s="170"/>
      <c r="EQ7" s="170">
        <v>1775.7942282792701</v>
      </c>
      <c r="ER7" s="170">
        <v>12676.6591789916</v>
      </c>
      <c r="ES7" s="170">
        <v>3599.68829169227</v>
      </c>
      <c r="ET7" s="170">
        <v>34.215288740370802</v>
      </c>
      <c r="EU7" s="170">
        <v>152.98782348418601</v>
      </c>
      <c r="EV7" s="170">
        <v>97.205652148902004</v>
      </c>
      <c r="EW7" s="170">
        <v>576.72343322218899</v>
      </c>
      <c r="EX7" s="170">
        <v>1480.23056510944</v>
      </c>
      <c r="EY7" s="170">
        <v>2768.9993885251802</v>
      </c>
      <c r="EZ7" s="170">
        <v>106.665234365899</v>
      </c>
      <c r="FA7" s="170">
        <v>327.43901884280001</v>
      </c>
      <c r="FB7" s="170">
        <v>2323.0215678836698</v>
      </c>
      <c r="FC7" s="170">
        <v>42.261473310956497</v>
      </c>
      <c r="FD7" s="170">
        <v>2926.7416487803998</v>
      </c>
      <c r="FE7" s="170">
        <v>15425.349979031</v>
      </c>
      <c r="FF7" s="170">
        <v>80.908862764364898</v>
      </c>
      <c r="FG7" s="170">
        <v>504.75238159283901</v>
      </c>
      <c r="FH7" s="170">
        <v>54.968169709779303</v>
      </c>
      <c r="FI7" s="170">
        <v>217.16824335597099</v>
      </c>
    </row>
    <row r="8" spans="1:175" s="32" customFormat="1" ht="15">
      <c r="A8" s="9" t="s">
        <v>180</v>
      </c>
      <c r="B8" s="24" t="s">
        <v>184</v>
      </c>
      <c r="C8" s="169">
        <v>1496.39725463695</v>
      </c>
      <c r="D8" s="169">
        <v>30.9666211429012</v>
      </c>
      <c r="E8" s="169">
        <v>5282.7661611476697</v>
      </c>
      <c r="F8" s="169">
        <v>1707.27353749799</v>
      </c>
      <c r="G8" s="169">
        <v>178.85356598252801</v>
      </c>
      <c r="H8" s="169">
        <v>126.643756712962</v>
      </c>
      <c r="I8" s="169">
        <v>48.018956567610999</v>
      </c>
      <c r="J8" s="169">
        <v>13468.882988402</v>
      </c>
      <c r="K8" s="169">
        <v>8237.4498965972907</v>
      </c>
      <c r="L8" s="169">
        <v>716.47161622565397</v>
      </c>
      <c r="M8" s="169">
        <v>46.0496217929864</v>
      </c>
      <c r="N8" s="169">
        <v>120.539442288332</v>
      </c>
      <c r="O8" s="169">
        <v>55.7828796960316</v>
      </c>
      <c r="P8" s="169">
        <v>37.839001414015101</v>
      </c>
      <c r="Q8" s="169">
        <v>1</v>
      </c>
      <c r="R8" s="169">
        <v>68.201620729162499</v>
      </c>
      <c r="S8" s="169">
        <v>115.713440434882</v>
      </c>
      <c r="T8" s="169">
        <v>43.498817644552297</v>
      </c>
      <c r="U8" s="169"/>
      <c r="V8" s="169">
        <v>115672.241153314</v>
      </c>
      <c r="W8" s="169">
        <v>153030.87851397</v>
      </c>
      <c r="X8" s="169">
        <v>114547.627380006</v>
      </c>
      <c r="Y8" s="169">
        <v>839.03316952745195</v>
      </c>
      <c r="Z8" s="169">
        <v>4046.7223410923698</v>
      </c>
      <c r="AA8" s="169">
        <v>494945.20228916698</v>
      </c>
      <c r="AB8" s="169">
        <v>21303.394100656002</v>
      </c>
      <c r="AC8" s="169">
        <v>187265.65799979199</v>
      </c>
      <c r="AD8" s="169">
        <v>1121.9915516311801</v>
      </c>
      <c r="AE8" s="169">
        <v>7723.9922730265598</v>
      </c>
      <c r="AF8" s="169">
        <v>28208.551377289499</v>
      </c>
      <c r="AG8" s="169">
        <v>888.80571613613904</v>
      </c>
      <c r="AH8" s="169">
        <v>6740.6792015874298</v>
      </c>
      <c r="AI8" s="169">
        <v>19028.028312637802</v>
      </c>
      <c r="AJ8" s="169">
        <v>5124.7372268955196</v>
      </c>
      <c r="AK8" s="169">
        <v>317.20653655093702</v>
      </c>
      <c r="AL8" s="169">
        <v>648.48423078686301</v>
      </c>
      <c r="AM8" s="169">
        <v>9773.1296718457306</v>
      </c>
      <c r="AN8" s="169">
        <v>5250.9526140798098</v>
      </c>
      <c r="AO8" s="169">
        <v>64.720764037794197</v>
      </c>
      <c r="AP8" s="169">
        <v>648.51527774162798</v>
      </c>
      <c r="AQ8" s="169">
        <v>837.15019924543503</v>
      </c>
      <c r="AR8" s="169">
        <v>1727.3114071068401</v>
      </c>
      <c r="AS8" s="169">
        <v>12072.7661958602</v>
      </c>
      <c r="AT8" s="169">
        <v>7131.8869022847803</v>
      </c>
      <c r="AU8" s="169"/>
      <c r="AV8" s="169">
        <v>60.535713335814002</v>
      </c>
      <c r="AW8" s="169">
        <v>3688.5352008299701</v>
      </c>
      <c r="AX8" s="169">
        <v>819.77638358351203</v>
      </c>
      <c r="AY8" s="169">
        <v>486.43807368225998</v>
      </c>
      <c r="AZ8" s="169">
        <v>166.955206551884</v>
      </c>
      <c r="BA8" s="169">
        <v>14531.227198187</v>
      </c>
      <c r="BB8" s="169">
        <v>135884.87844872</v>
      </c>
      <c r="BC8" s="169">
        <v>99663.191388715597</v>
      </c>
      <c r="BD8" s="169">
        <v>10690.533768773401</v>
      </c>
      <c r="BE8" s="169">
        <v>2071.4151231619298</v>
      </c>
      <c r="BF8" s="169">
        <v>13526.0609733568</v>
      </c>
      <c r="BG8" s="169">
        <v>11122.1471149426</v>
      </c>
      <c r="BH8" s="169">
        <v>24370.944744002401</v>
      </c>
      <c r="BI8" s="169">
        <v>14053.773341051799</v>
      </c>
      <c r="BJ8" s="169">
        <v>510497.01257871598</v>
      </c>
      <c r="BK8" s="169">
        <v>446179.71469528199</v>
      </c>
      <c r="BL8" s="169">
        <v>95739.854537234001</v>
      </c>
      <c r="BM8" s="169">
        <v>62942.144506815603</v>
      </c>
      <c r="BN8" s="169">
        <v>8516.3657110847598</v>
      </c>
      <c r="BO8" s="169">
        <v>3815.56483738003</v>
      </c>
      <c r="BP8" s="169">
        <v>5385.5964303618202</v>
      </c>
      <c r="BQ8" s="169">
        <v>2768.06053559256</v>
      </c>
      <c r="BR8" s="169">
        <v>10553.569503367</v>
      </c>
      <c r="BS8" s="169">
        <v>11777.3201661039</v>
      </c>
      <c r="BT8" s="169">
        <v>10783.954725273201</v>
      </c>
      <c r="BU8" s="169">
        <v>4981.3839047343799</v>
      </c>
      <c r="BV8" s="169">
        <v>18274.5775703197</v>
      </c>
      <c r="BW8" s="169">
        <v>26984.7616289004</v>
      </c>
      <c r="BX8" s="169">
        <v>95341.593683757499</v>
      </c>
      <c r="BY8" s="169">
        <v>322981.19310936698</v>
      </c>
      <c r="BZ8" s="169">
        <v>71745.106042694402</v>
      </c>
      <c r="CA8" s="169">
        <v>25240.869798273001</v>
      </c>
      <c r="CB8" s="169">
        <v>5965.4425986787001</v>
      </c>
      <c r="CC8" s="169">
        <v>4190.0365198643703</v>
      </c>
      <c r="CD8" s="169">
        <v>23408.586829527401</v>
      </c>
      <c r="CE8" s="169">
        <v>39785.092584895297</v>
      </c>
      <c r="CF8" s="169">
        <v>44414.396217756599</v>
      </c>
      <c r="CG8" s="169">
        <v>1378.0071263207201</v>
      </c>
      <c r="CH8" s="169">
        <v>309.12174519494602</v>
      </c>
      <c r="CI8" s="169">
        <v>113.156909384451</v>
      </c>
      <c r="CJ8" s="169">
        <v>684.00640818248996</v>
      </c>
      <c r="CK8" s="169">
        <v>1689.1862455386999</v>
      </c>
      <c r="CL8" s="169">
        <v>114.189925523276</v>
      </c>
      <c r="CM8" s="169">
        <v>1935.11319496178</v>
      </c>
      <c r="CN8" s="169">
        <v>81.811748815826903</v>
      </c>
      <c r="CO8" s="169">
        <v>60.999262461304497</v>
      </c>
      <c r="CP8" s="169"/>
      <c r="CQ8" s="170">
        <v>383.04480784845703</v>
      </c>
      <c r="CR8" s="170">
        <v>216.64841095522701</v>
      </c>
      <c r="CS8" s="170">
        <v>259.754665143566</v>
      </c>
      <c r="CT8" s="170">
        <v>127.650139951976</v>
      </c>
      <c r="CU8" s="170">
        <v>11.919684220937</v>
      </c>
      <c r="CV8" s="170">
        <v>42.440403937725002</v>
      </c>
      <c r="CW8" s="170">
        <v>2605.8940883312898</v>
      </c>
      <c r="CX8" s="170">
        <v>7703.3215911446196</v>
      </c>
      <c r="CY8" s="170">
        <v>237.53074003027299</v>
      </c>
      <c r="CZ8" s="170">
        <v>593.81229900820097</v>
      </c>
      <c r="DA8" s="170">
        <v>130.29212636163399</v>
      </c>
      <c r="DB8" s="170">
        <v>5916.1404940864404</v>
      </c>
      <c r="DC8" s="170">
        <v>418.01113562814999</v>
      </c>
      <c r="DD8" s="170">
        <v>996.16056882089504</v>
      </c>
      <c r="DE8" s="170">
        <v>12291.019484908</v>
      </c>
      <c r="DF8" s="170">
        <v>15955.8288327666</v>
      </c>
      <c r="DG8" s="170">
        <v>1262.4688931810599</v>
      </c>
      <c r="DH8" s="170">
        <v>122.213905844222</v>
      </c>
      <c r="DI8" s="170">
        <v>98.441386004444496</v>
      </c>
      <c r="DJ8" s="170">
        <v>333.28284437621198</v>
      </c>
      <c r="DK8" s="170">
        <v>698.38356900394501</v>
      </c>
      <c r="DL8" s="170">
        <v>1251.0097537634799</v>
      </c>
      <c r="DM8" s="170">
        <v>2058.8517397466098</v>
      </c>
      <c r="DN8" s="170">
        <v>763.86351169139505</v>
      </c>
      <c r="DO8" s="170">
        <v>8231.5868206645191</v>
      </c>
      <c r="DP8" s="170">
        <v>10510.383546847799</v>
      </c>
      <c r="DQ8" s="170">
        <v>4489.88982548491</v>
      </c>
      <c r="DR8" s="170">
        <v>3065.1883742895998</v>
      </c>
      <c r="DS8" s="170">
        <v>380.037867194162</v>
      </c>
      <c r="DT8" s="170">
        <v>165.028102088509</v>
      </c>
      <c r="DU8" s="170">
        <v>1302.4093383803599</v>
      </c>
      <c r="DV8" s="170">
        <v>308.32493169398498</v>
      </c>
      <c r="DW8" s="170">
        <v>184.57127236458001</v>
      </c>
      <c r="DX8" s="170">
        <v>247.67134824792899</v>
      </c>
      <c r="DY8" s="170">
        <v>543.26880956048399</v>
      </c>
      <c r="DZ8" s="170">
        <v>901.429590134509</v>
      </c>
      <c r="EA8" s="170">
        <v>270.53895816581098</v>
      </c>
      <c r="EB8" s="170">
        <v>27.751045907789301</v>
      </c>
      <c r="EC8" s="170">
        <v>934.55566116629404</v>
      </c>
      <c r="ED8" s="170">
        <v>2212.2516170410399</v>
      </c>
      <c r="EE8" s="170">
        <v>1109.7743345371</v>
      </c>
      <c r="EF8" s="170">
        <v>1993.36842460408</v>
      </c>
      <c r="EG8" s="170">
        <v>1461.92413120273</v>
      </c>
      <c r="EH8" s="170">
        <v>511.25620507899703</v>
      </c>
      <c r="EI8" s="170">
        <v>143.84940555261301</v>
      </c>
      <c r="EJ8" s="170">
        <v>79.236274025012307</v>
      </c>
      <c r="EK8" s="170">
        <v>241.96241031989999</v>
      </c>
      <c r="EL8" s="170">
        <v>28.7907075543182</v>
      </c>
      <c r="EM8" s="170">
        <v>120.968585326416</v>
      </c>
      <c r="EN8" s="170">
        <v>76.432543282366396</v>
      </c>
      <c r="EO8" s="170">
        <v>105.908573036601</v>
      </c>
      <c r="EP8" s="170"/>
      <c r="EQ8" s="170">
        <v>960.33170619669204</v>
      </c>
      <c r="ER8" s="170">
        <v>18299.652666068501</v>
      </c>
      <c r="ES8" s="170">
        <v>5148.6637390721999</v>
      </c>
      <c r="ET8" s="170">
        <v>63.849852251092599</v>
      </c>
      <c r="EU8" s="170">
        <v>351.87816579897299</v>
      </c>
      <c r="EV8" s="170">
        <v>275.38180073942601</v>
      </c>
      <c r="EW8" s="170">
        <v>235.186080773973</v>
      </c>
      <c r="EX8" s="170">
        <v>1128.65221796725</v>
      </c>
      <c r="EY8" s="170">
        <v>1500.4779995173001</v>
      </c>
      <c r="EZ8" s="170">
        <v>1383.2453554297799</v>
      </c>
      <c r="FA8" s="170">
        <v>136.15423472565499</v>
      </c>
      <c r="FB8" s="170">
        <v>2516.45331542336</v>
      </c>
      <c r="FC8" s="170">
        <v>227.00157030531099</v>
      </c>
      <c r="FD8" s="170">
        <v>3086.3680343409901</v>
      </c>
      <c r="FE8" s="170">
        <v>7703.3215911446196</v>
      </c>
      <c r="FF8" s="170">
        <v>864.70028071877903</v>
      </c>
      <c r="FG8" s="170">
        <v>607.55684787996802</v>
      </c>
      <c r="FH8" s="170">
        <v>26.0936818101504</v>
      </c>
      <c r="FI8" s="170">
        <v>82.012536414416203</v>
      </c>
    </row>
    <row r="9" spans="1:175" s="32" customFormat="1" ht="15">
      <c r="A9" s="9" t="s">
        <v>183</v>
      </c>
      <c r="B9" s="24" t="s">
        <v>185</v>
      </c>
      <c r="C9" s="169">
        <v>1737.9866620176399</v>
      </c>
      <c r="D9" s="169">
        <v>97.120667753561904</v>
      </c>
      <c r="E9" s="169">
        <v>5645.3483820789697</v>
      </c>
      <c r="F9" s="169">
        <v>1886.5516641049701</v>
      </c>
      <c r="G9" s="169">
        <v>473.98500143695998</v>
      </c>
      <c r="H9" s="169">
        <v>46.749892804375897</v>
      </c>
      <c r="I9" s="169">
        <v>169.75544801704501</v>
      </c>
      <c r="J9" s="169">
        <v>10006.218813245499</v>
      </c>
      <c r="K9" s="169">
        <v>6288.6455664539599</v>
      </c>
      <c r="L9" s="169">
        <v>657.50490471585795</v>
      </c>
      <c r="M9" s="169">
        <v>179.012008264836</v>
      </c>
      <c r="N9" s="169">
        <v>39.937559531464402</v>
      </c>
      <c r="O9" s="169">
        <v>36.438196788319097</v>
      </c>
      <c r="P9" s="169">
        <v>69.778440323931505</v>
      </c>
      <c r="Q9" s="169">
        <v>1</v>
      </c>
      <c r="R9" s="169">
        <v>51.224701607256797</v>
      </c>
      <c r="S9" s="169">
        <v>180.53110551653199</v>
      </c>
      <c r="T9" s="169">
        <v>25.0150933763551</v>
      </c>
      <c r="U9" s="169"/>
      <c r="V9" s="169">
        <v>97589.652331755002</v>
      </c>
      <c r="W9" s="169">
        <v>123935.59823187299</v>
      </c>
      <c r="X9" s="169">
        <v>72890.400962662403</v>
      </c>
      <c r="Y9" s="169">
        <v>430.88419290442198</v>
      </c>
      <c r="Z9" s="169">
        <v>2877.3786415058898</v>
      </c>
      <c r="AA9" s="169">
        <v>417353.64576393302</v>
      </c>
      <c r="AB9" s="169">
        <v>24028.442471074901</v>
      </c>
      <c r="AC9" s="169">
        <v>226450.11615153801</v>
      </c>
      <c r="AD9" s="169">
        <v>2205.0261942025099</v>
      </c>
      <c r="AE9" s="169">
        <v>37669.450050154999</v>
      </c>
      <c r="AF9" s="169">
        <v>40229.758706391702</v>
      </c>
      <c r="AG9" s="169">
        <v>2528.9245418679202</v>
      </c>
      <c r="AH9" s="169">
        <v>4773.18925185846</v>
      </c>
      <c r="AI9" s="169">
        <v>13045.634207074199</v>
      </c>
      <c r="AJ9" s="169">
        <v>3178.2795735751201</v>
      </c>
      <c r="AK9" s="169">
        <v>243.51452632812101</v>
      </c>
      <c r="AL9" s="169">
        <v>381.57555528438502</v>
      </c>
      <c r="AM9" s="169">
        <v>7225.8873444453702</v>
      </c>
      <c r="AN9" s="169">
        <v>3264.46899551869</v>
      </c>
      <c r="AO9" s="169">
        <v>245.15895902690599</v>
      </c>
      <c r="AP9" s="169">
        <v>898.97265831446305</v>
      </c>
      <c r="AQ9" s="169">
        <v>527.14328776493198</v>
      </c>
      <c r="AR9" s="169">
        <v>1745.88864314135</v>
      </c>
      <c r="AS9" s="169">
        <v>13857.920864219899</v>
      </c>
      <c r="AT9" s="169">
        <v>3460.2897372613702</v>
      </c>
      <c r="AU9" s="169"/>
      <c r="AV9" s="169">
        <v>145.569776453077</v>
      </c>
      <c r="AW9" s="169">
        <v>2510.9816733780499</v>
      </c>
      <c r="AX9" s="169">
        <v>628.50183874621405</v>
      </c>
      <c r="AY9" s="169">
        <v>578.86982871907901</v>
      </c>
      <c r="AZ9" s="169">
        <v>182.18333631245</v>
      </c>
      <c r="BA9" s="169">
        <v>11221.148159156501</v>
      </c>
      <c r="BB9" s="169">
        <v>127771.047812551</v>
      </c>
      <c r="BC9" s="169">
        <v>99606.016774236094</v>
      </c>
      <c r="BD9" s="169">
        <v>12060.481074494601</v>
      </c>
      <c r="BE9" s="169">
        <v>1892.95790777194</v>
      </c>
      <c r="BF9" s="169">
        <v>11031.9843561794</v>
      </c>
      <c r="BG9" s="169">
        <v>9755.0965306422095</v>
      </c>
      <c r="BH9" s="169">
        <v>18119.646439668799</v>
      </c>
      <c r="BI9" s="169">
        <v>12833.5606584699</v>
      </c>
      <c r="BJ9" s="169">
        <v>366051.16919098498</v>
      </c>
      <c r="BK9" s="169">
        <v>325055.72634485498</v>
      </c>
      <c r="BL9" s="169">
        <v>80400.8608077674</v>
      </c>
      <c r="BM9" s="169">
        <v>61966.2785796795</v>
      </c>
      <c r="BN9" s="169">
        <v>9373.9230550009306</v>
      </c>
      <c r="BO9" s="169">
        <v>3259.7565233254099</v>
      </c>
      <c r="BP9" s="169">
        <v>3228.8019155841298</v>
      </c>
      <c r="BQ9" s="169">
        <v>3091.97649060599</v>
      </c>
      <c r="BR9" s="169">
        <v>14213.084870038099</v>
      </c>
      <c r="BS9" s="169">
        <v>14800.9193571208</v>
      </c>
      <c r="BT9" s="169">
        <v>10744.646951933501</v>
      </c>
      <c r="BU9" s="169">
        <v>2066.8210161996899</v>
      </c>
      <c r="BV9" s="169">
        <v>10084.393094199801</v>
      </c>
      <c r="BW9" s="169">
        <v>20982.142060878301</v>
      </c>
      <c r="BX9" s="169">
        <v>110897.062310693</v>
      </c>
      <c r="BY9" s="169">
        <v>342341.54579093499</v>
      </c>
      <c r="BZ9" s="169">
        <v>71524.887084692993</v>
      </c>
      <c r="CA9" s="169">
        <v>20229.6248506433</v>
      </c>
      <c r="CB9" s="169">
        <v>11075.890624926</v>
      </c>
      <c r="CC9" s="169">
        <v>7047.4577705544998</v>
      </c>
      <c r="CD9" s="169">
        <v>42868.591898553401</v>
      </c>
      <c r="CE9" s="169">
        <v>44139.731919773098</v>
      </c>
      <c r="CF9" s="169">
        <v>30629.238892690501</v>
      </c>
      <c r="CG9" s="169">
        <v>528.37375722261504</v>
      </c>
      <c r="CH9" s="169">
        <v>222.670557502272</v>
      </c>
      <c r="CI9" s="171">
        <f>SUM(AV9:CH9)</f>
        <v>1915163.621883139</v>
      </c>
      <c r="CJ9" s="169"/>
      <c r="CK9" s="169">
        <v>158.10135637575601</v>
      </c>
      <c r="CL9" s="169">
        <v>233.786002037836</v>
      </c>
      <c r="CM9" s="169">
        <v>904.91129126538203</v>
      </c>
      <c r="CN9" s="169">
        <v>234.482950258019</v>
      </c>
      <c r="CO9" s="169">
        <v>611.56398260423703</v>
      </c>
      <c r="CP9" s="169"/>
      <c r="CQ9" s="170">
        <v>542.80399454320195</v>
      </c>
      <c r="CR9" s="170">
        <v>228.335982108938</v>
      </c>
      <c r="CS9" s="170">
        <v>227.801085692463</v>
      </c>
      <c r="CT9" s="170">
        <v>135.55841595948499</v>
      </c>
      <c r="CU9" s="170">
        <v>98.995893833520597</v>
      </c>
      <c r="CV9" s="170">
        <v>100.89489770395799</v>
      </c>
      <c r="CW9" s="170">
        <v>2237.5320175206798</v>
      </c>
      <c r="CX9" s="170">
        <v>10902.663471985001</v>
      </c>
      <c r="CY9" s="170">
        <v>76.785838461178699</v>
      </c>
      <c r="CZ9" s="170">
        <v>473.56829101178499</v>
      </c>
      <c r="DA9" s="170">
        <v>162.68102799627701</v>
      </c>
      <c r="DB9" s="170">
        <v>5337.2759494729298</v>
      </c>
      <c r="DC9" s="170">
        <v>568.03360185971599</v>
      </c>
      <c r="DD9" s="170">
        <v>1040.6846825595801</v>
      </c>
      <c r="DE9" s="170">
        <v>13757.6841018338</v>
      </c>
      <c r="DF9" s="170">
        <v>17677.8547561696</v>
      </c>
      <c r="DG9" s="170">
        <v>1395.50285675695</v>
      </c>
      <c r="DH9" s="170">
        <v>218.14328016053699</v>
      </c>
      <c r="DI9" s="170">
        <v>143.73281296367699</v>
      </c>
      <c r="DJ9" s="170">
        <v>532.09672650824803</v>
      </c>
      <c r="DK9" s="170">
        <v>1012.5300368688301</v>
      </c>
      <c r="DL9" s="170">
        <v>565.09945069168498</v>
      </c>
      <c r="DM9" s="170">
        <v>2307.1555308885399</v>
      </c>
      <c r="DN9" s="170">
        <v>882.74372468252398</v>
      </c>
      <c r="DO9" s="170">
        <v>8542.0669756909392</v>
      </c>
      <c r="DP9" s="170">
        <v>9520.3062677460493</v>
      </c>
      <c r="DQ9" s="170">
        <v>4387.7468282968703</v>
      </c>
      <c r="DR9" s="170">
        <v>3912.9140398794798</v>
      </c>
      <c r="DS9" s="170">
        <v>523.04520128062597</v>
      </c>
      <c r="DT9" s="170">
        <v>72.975322362255298</v>
      </c>
      <c r="DU9" s="170">
        <v>1209.53093341814</v>
      </c>
      <c r="DV9" s="170">
        <v>53.570991826538403</v>
      </c>
      <c r="DW9" s="170">
        <v>228.343594576225</v>
      </c>
      <c r="DX9" s="170">
        <v>269.16796815930701</v>
      </c>
      <c r="DY9" s="170">
        <v>532.42933803757501</v>
      </c>
      <c r="DZ9" s="170">
        <v>495.77718555383899</v>
      </c>
      <c r="EA9" s="170">
        <v>356.35537662966499</v>
      </c>
      <c r="EB9" s="170">
        <v>32.360492906781303</v>
      </c>
      <c r="EC9" s="170">
        <v>624.458434895349</v>
      </c>
      <c r="ED9" s="170">
        <v>1857.1736835301101</v>
      </c>
      <c r="EE9" s="170">
        <v>1147.2192271712199</v>
      </c>
      <c r="EF9" s="170">
        <v>2086.7960985667601</v>
      </c>
      <c r="EG9" s="170">
        <v>1435.294495073</v>
      </c>
      <c r="EH9" s="170">
        <v>569.72043125268306</v>
      </c>
      <c r="EI9" s="170">
        <v>169.79622337422501</v>
      </c>
      <c r="EJ9" s="170">
        <v>91.575981337956307</v>
      </c>
      <c r="EK9" s="170">
        <v>125.90495753114701</v>
      </c>
      <c r="EL9" s="170">
        <v>36.255281612098997</v>
      </c>
      <c r="EM9" s="170">
        <v>205.315874035376</v>
      </c>
      <c r="EN9" s="170">
        <v>287.02313004923002</v>
      </c>
      <c r="EO9" s="170">
        <v>58.443131445527797</v>
      </c>
      <c r="EP9" s="170"/>
      <c r="EQ9" s="170">
        <v>990.66553173574096</v>
      </c>
      <c r="ER9" s="170">
        <v>14260.5834946021</v>
      </c>
      <c r="ES9" s="170">
        <v>2859.17497829786</v>
      </c>
      <c r="ET9" s="170">
        <v>49.458206319191802</v>
      </c>
      <c r="EU9" s="170">
        <v>364.41914206256803</v>
      </c>
      <c r="EV9" s="170">
        <v>64.169115491806593</v>
      </c>
      <c r="EW9" s="170">
        <v>774.67353468516296</v>
      </c>
      <c r="EX9" s="170">
        <v>1528.78105410187</v>
      </c>
      <c r="EY9" s="170">
        <v>3282.7934563936701</v>
      </c>
      <c r="EZ9" s="170">
        <v>1518.3180485145699</v>
      </c>
      <c r="FA9" s="170">
        <v>369.80171103275399</v>
      </c>
      <c r="FB9" s="170">
        <v>1855.19857314762</v>
      </c>
      <c r="FC9" s="170">
        <v>166.58621911034101</v>
      </c>
      <c r="FD9" s="170">
        <v>1828.07847322372</v>
      </c>
      <c r="FE9" s="170">
        <v>10902.663471985001</v>
      </c>
      <c r="FF9" s="170">
        <v>1930.6788716819301</v>
      </c>
      <c r="FG9" s="170">
        <v>677.13565897009903</v>
      </c>
      <c r="FH9" s="170">
        <v>54.318073454331703</v>
      </c>
      <c r="FI9" s="170">
        <v>159.165113866799</v>
      </c>
    </row>
    <row r="10" spans="1:175" s="32" customFormat="1" ht="15">
      <c r="A10" s="9" t="s">
        <v>182</v>
      </c>
      <c r="B10" s="24" t="s">
        <v>185</v>
      </c>
      <c r="C10" s="169">
        <v>1107.11190520334</v>
      </c>
      <c r="D10" s="169">
        <v>34.276647001954203</v>
      </c>
      <c r="E10" s="169">
        <v>4483.5492632141104</v>
      </c>
      <c r="F10" s="169">
        <v>93.976892450794296</v>
      </c>
      <c r="G10" s="169">
        <v>388.90449614362899</v>
      </c>
      <c r="H10" s="169">
        <v>215.18227567453201</v>
      </c>
      <c r="I10" s="169">
        <v>219.55229933747199</v>
      </c>
      <c r="J10" s="169">
        <v>13379.7163433856</v>
      </c>
      <c r="K10" s="169">
        <v>7510.6166107003601</v>
      </c>
      <c r="L10" s="169">
        <v>29.7958808484115</v>
      </c>
      <c r="M10" s="169">
        <v>55.441350161813901</v>
      </c>
      <c r="N10" s="169">
        <v>115.595816913014</v>
      </c>
      <c r="O10" s="169">
        <v>49.173808165223399</v>
      </c>
      <c r="P10" s="169">
        <v>31.955825946109499</v>
      </c>
      <c r="Q10" s="169">
        <v>1</v>
      </c>
      <c r="R10" s="169">
        <v>35.297292748720601</v>
      </c>
      <c r="S10" s="169">
        <v>221.81411593829699</v>
      </c>
      <c r="T10" s="169">
        <v>402.16837145446698</v>
      </c>
      <c r="U10" s="169"/>
      <c r="V10" s="169">
        <v>102923.42058063801</v>
      </c>
      <c r="W10" s="169">
        <v>115183.457004481</v>
      </c>
      <c r="X10" s="169">
        <v>67592.710201462905</v>
      </c>
      <c r="Y10" s="169">
        <v>501.16775681576098</v>
      </c>
      <c r="Z10" s="169">
        <v>3116.75200163918</v>
      </c>
      <c r="AA10" s="169">
        <v>386147.60568121402</v>
      </c>
      <c r="AB10" s="169">
        <v>20930.9751497773</v>
      </c>
      <c r="AC10" s="169">
        <v>213702.93278669301</v>
      </c>
      <c r="AD10" s="169">
        <v>969.71660506246894</v>
      </c>
      <c r="AE10" s="169">
        <v>14232.499912203701</v>
      </c>
      <c r="AF10" s="169">
        <v>25636.848971074</v>
      </c>
      <c r="AG10" s="169">
        <v>1451.98266800337</v>
      </c>
      <c r="AH10" s="169">
        <v>3286.5730743569302</v>
      </c>
      <c r="AI10" s="169">
        <v>10251.280056841</v>
      </c>
      <c r="AJ10" s="169">
        <v>1773.2863038778601</v>
      </c>
      <c r="AK10" s="169">
        <v>274.36611483892801</v>
      </c>
      <c r="AL10" s="169">
        <v>282.82746695351699</v>
      </c>
      <c r="AM10" s="169">
        <v>6034.1185348271501</v>
      </c>
      <c r="AN10" s="169">
        <v>1979.9508914795899</v>
      </c>
      <c r="AO10" s="169">
        <v>543.91885220502797</v>
      </c>
      <c r="AP10" s="169">
        <v>935.20708349703602</v>
      </c>
      <c r="AQ10" s="169">
        <v>565.82956461038304</v>
      </c>
      <c r="AR10" s="169">
        <v>2029.1564540946399</v>
      </c>
      <c r="AS10" s="169">
        <v>11933.262225994</v>
      </c>
      <c r="AT10" s="169">
        <v>8032.3744596608203</v>
      </c>
      <c r="AU10" s="169"/>
      <c r="AV10" s="169">
        <v>445.393132185686</v>
      </c>
      <c r="AW10" s="169">
        <v>3537.1029938042798</v>
      </c>
      <c r="AX10" s="169">
        <v>1118.69776338718</v>
      </c>
      <c r="AY10" s="169">
        <v>825.31763541309897</v>
      </c>
      <c r="AZ10" s="169">
        <v>435.03188681000597</v>
      </c>
      <c r="BA10" s="169">
        <v>3895.6057102100299</v>
      </c>
      <c r="BB10" s="169">
        <v>110345.59942555999</v>
      </c>
      <c r="BC10" s="169">
        <v>85026.502122546604</v>
      </c>
      <c r="BD10" s="169">
        <v>7921.0584431759798</v>
      </c>
      <c r="BE10" s="169">
        <v>1115.62512364438</v>
      </c>
      <c r="BF10" s="169">
        <v>9708.9539289625809</v>
      </c>
      <c r="BG10" s="169">
        <v>10199.923143763899</v>
      </c>
      <c r="BH10" s="169">
        <v>18689.804975192601</v>
      </c>
      <c r="BI10" s="169">
        <v>15024.9029765408</v>
      </c>
      <c r="BJ10" s="169">
        <v>509629.84813240601</v>
      </c>
      <c r="BK10" s="169">
        <v>386569.14536761702</v>
      </c>
      <c r="BL10" s="169">
        <v>74985.788108574197</v>
      </c>
      <c r="BM10" s="169">
        <v>43057.196602684497</v>
      </c>
      <c r="BN10" s="169">
        <v>4371.49545658841</v>
      </c>
      <c r="BO10" s="169">
        <v>2530.21300951489</v>
      </c>
      <c r="BP10" s="169">
        <v>4199.2241189270699</v>
      </c>
      <c r="BQ10" s="169">
        <v>4769.9131186907198</v>
      </c>
      <c r="BR10" s="169">
        <v>18816.016273058998</v>
      </c>
      <c r="BS10" s="169">
        <v>16238.0479918199</v>
      </c>
      <c r="BT10" s="169">
        <v>11077.0933659855</v>
      </c>
      <c r="BU10" s="169">
        <v>4006.92264431278</v>
      </c>
      <c r="BV10" s="169">
        <v>14257.950568779401</v>
      </c>
      <c r="BW10" s="169">
        <v>23306.958955426901</v>
      </c>
      <c r="BX10" s="169">
        <v>110955.273644417</v>
      </c>
      <c r="BY10" s="169">
        <v>305756.05696841597</v>
      </c>
      <c r="BZ10" s="169">
        <v>49226.589781802497</v>
      </c>
      <c r="CA10" s="169">
        <v>18949.911327544101</v>
      </c>
      <c r="CB10" s="169">
        <v>7699.55745966225</v>
      </c>
      <c r="CC10" s="169">
        <v>6299.2577034384003</v>
      </c>
      <c r="CD10" s="169">
        <v>37450.255817352503</v>
      </c>
      <c r="CE10" s="169">
        <v>40364.355630716898</v>
      </c>
      <c r="CF10" s="169">
        <v>40208.573430871198</v>
      </c>
      <c r="CG10" s="169">
        <v>700.61027271671105</v>
      </c>
      <c r="CH10" s="169">
        <v>149.81120012337499</v>
      </c>
      <c r="CI10" s="169">
        <v>111.81101761818699</v>
      </c>
      <c r="CJ10" s="169">
        <v>398.31256310530102</v>
      </c>
      <c r="CK10" s="169">
        <v>1454.5851827547999</v>
      </c>
      <c r="CL10" s="169">
        <v>349.40017211393501</v>
      </c>
      <c r="CM10" s="169">
        <v>1641.32102283635</v>
      </c>
      <c r="CN10" s="169">
        <v>33.248868940061001</v>
      </c>
      <c r="CO10" s="169">
        <v>109.335246284375</v>
      </c>
      <c r="CP10" s="169"/>
      <c r="CQ10" s="170">
        <v>337.656544829648</v>
      </c>
      <c r="CR10" s="170">
        <v>127.838163265438</v>
      </c>
      <c r="CS10" s="170">
        <v>132.97430066434501</v>
      </c>
      <c r="CT10" s="170">
        <v>122.05030854911099</v>
      </c>
      <c r="CU10" s="170" t="s">
        <v>159</v>
      </c>
      <c r="CV10" s="170">
        <v>16.309098434424101</v>
      </c>
      <c r="CW10" s="170">
        <v>2196.3374498704402</v>
      </c>
      <c r="CX10" s="170">
        <v>5877.23204342995</v>
      </c>
      <c r="CY10" s="170">
        <v>109.201721063774</v>
      </c>
      <c r="CZ10" s="170">
        <v>746.03731893672204</v>
      </c>
      <c r="DA10" s="170">
        <v>1784.97371532171</v>
      </c>
      <c r="DB10" s="170">
        <v>5573.8047966118802</v>
      </c>
      <c r="DC10" s="170">
        <v>440.473387467333</v>
      </c>
      <c r="DD10" s="170">
        <v>565.21839040424697</v>
      </c>
      <c r="DE10" s="170">
        <v>11574.026876329801</v>
      </c>
      <c r="DF10" s="170">
        <v>13527.161363167401</v>
      </c>
      <c r="DG10" s="170">
        <v>258.74523267728699</v>
      </c>
      <c r="DH10" s="170">
        <v>40.575917739521202</v>
      </c>
      <c r="DI10" s="170">
        <v>16.5279671769243</v>
      </c>
      <c r="DJ10" s="170">
        <v>269.61461076031202</v>
      </c>
      <c r="DK10" s="170">
        <v>785.45135664676604</v>
      </c>
      <c r="DL10" s="170">
        <v>1176.6004734144899</v>
      </c>
      <c r="DM10" s="170">
        <v>2428.3232363157599</v>
      </c>
      <c r="DN10" s="170">
        <v>895.57296666800801</v>
      </c>
      <c r="DO10" s="170">
        <v>9415.2730468300797</v>
      </c>
      <c r="DP10" s="170">
        <v>1031.7387732465299</v>
      </c>
      <c r="DQ10" s="170">
        <v>4921.1206729400201</v>
      </c>
      <c r="DR10" s="170">
        <v>3084.0416928818399</v>
      </c>
      <c r="DS10" s="170">
        <v>55.554003772962901</v>
      </c>
      <c r="DT10" s="170">
        <v>65.071618179277095</v>
      </c>
      <c r="DU10" s="170">
        <v>832.348151042224</v>
      </c>
      <c r="DV10" s="170">
        <v>115.528731226536</v>
      </c>
      <c r="DW10" s="170">
        <v>89.470615696143298</v>
      </c>
      <c r="DX10" s="170">
        <v>60.854867476269803</v>
      </c>
      <c r="DY10" s="170">
        <v>195.674757281376</v>
      </c>
      <c r="DZ10" s="170">
        <v>488.342913814545</v>
      </c>
      <c r="EA10" s="170">
        <v>166.98371418398199</v>
      </c>
      <c r="EB10" s="170">
        <v>19.639294600273001</v>
      </c>
      <c r="EC10" s="170">
        <v>824.72563205001495</v>
      </c>
      <c r="ED10" s="170">
        <v>2492.2927649844701</v>
      </c>
      <c r="EE10" s="170">
        <v>181.052756052863</v>
      </c>
      <c r="EF10" s="170">
        <v>2606.71130724574</v>
      </c>
      <c r="EG10" s="170">
        <v>1091.1865495806201</v>
      </c>
      <c r="EH10" s="170">
        <v>381.71589486910801</v>
      </c>
      <c r="EI10" s="170">
        <v>175.07584688847601</v>
      </c>
      <c r="EJ10" s="170">
        <v>101.340762669348</v>
      </c>
      <c r="EK10" s="170">
        <v>166.61381808686801</v>
      </c>
      <c r="EL10" s="170">
        <v>110.912220911912</v>
      </c>
      <c r="EM10" s="170">
        <v>87.214562835265397</v>
      </c>
      <c r="EN10" s="170">
        <v>128.35297947567</v>
      </c>
      <c r="EO10" s="170">
        <v>54.657397196955699</v>
      </c>
      <c r="EP10" s="170"/>
      <c r="EQ10" s="170">
        <v>1290.4339820094699</v>
      </c>
      <c r="ER10" s="170">
        <v>16878.4980729292</v>
      </c>
      <c r="ES10" s="170">
        <v>5267.7425709418403</v>
      </c>
      <c r="ET10" s="170">
        <v>50.679597318966799</v>
      </c>
      <c r="EU10" s="170">
        <v>230.161344992285</v>
      </c>
      <c r="EV10" s="170">
        <v>78.437860382663303</v>
      </c>
      <c r="EW10" s="170">
        <v>207.17958118521801</v>
      </c>
      <c r="EX10" s="170">
        <v>1745.3666774733899</v>
      </c>
      <c r="EY10" s="170">
        <v>5082.6743052624397</v>
      </c>
      <c r="EZ10" s="170">
        <v>148.06544001018599</v>
      </c>
      <c r="FA10" s="170">
        <v>248.76128096337899</v>
      </c>
      <c r="FB10" s="170">
        <v>129.522265004394</v>
      </c>
      <c r="FC10" s="170">
        <v>63.932561984742399</v>
      </c>
      <c r="FD10" s="170">
        <v>2749.6819171017</v>
      </c>
      <c r="FE10" s="170">
        <v>5877.23204342995</v>
      </c>
      <c r="FF10" s="170">
        <v>1178.84960794943</v>
      </c>
      <c r="FG10" s="170">
        <v>448.15797861997498</v>
      </c>
      <c r="FH10" s="170">
        <v>44.2169214733185</v>
      </c>
      <c r="FI10" s="170">
        <v>131.14039881659599</v>
      </c>
    </row>
    <row r="11" spans="1:175" s="32" customFormat="1" ht="15">
      <c r="A11" s="9" t="s">
        <v>181</v>
      </c>
      <c r="B11" s="24" t="s">
        <v>185</v>
      </c>
      <c r="C11" s="169">
        <v>5381.2262673570203</v>
      </c>
      <c r="D11" s="169">
        <v>506.654815180968</v>
      </c>
      <c r="E11" s="169">
        <v>15934.186236105101</v>
      </c>
      <c r="F11" s="169">
        <v>6718.5108285097604</v>
      </c>
      <c r="G11" s="169">
        <v>50.008671052685997</v>
      </c>
      <c r="H11" s="169">
        <v>531.10311283946498</v>
      </c>
      <c r="I11" s="169">
        <v>137.42012187499799</v>
      </c>
      <c r="J11" s="169">
        <v>19300.641348567598</v>
      </c>
      <c r="K11" s="169">
        <v>11711.644867020899</v>
      </c>
      <c r="L11" s="169">
        <v>1201.03459864102</v>
      </c>
      <c r="M11" s="169">
        <v>26.596762813686301</v>
      </c>
      <c r="N11" s="169">
        <v>249.067188769512</v>
      </c>
      <c r="O11" s="169">
        <v>26.969934416075301</v>
      </c>
      <c r="P11" s="169">
        <v>24.069639824146002</v>
      </c>
      <c r="Q11" s="169">
        <v>39.249392759631696</v>
      </c>
      <c r="R11" s="169">
        <v>38.038462624715997</v>
      </c>
      <c r="S11" s="169">
        <v>388.57699120267603</v>
      </c>
      <c r="T11" s="169">
        <v>560.74926566323199</v>
      </c>
      <c r="U11" s="169"/>
      <c r="V11" s="169">
        <v>83177.429632026106</v>
      </c>
      <c r="W11" s="169">
        <v>116727.997594552</v>
      </c>
      <c r="X11" s="169">
        <v>95878.692801070501</v>
      </c>
      <c r="Y11" s="169">
        <v>538.38117721230299</v>
      </c>
      <c r="Z11" s="169">
        <v>3244.4015330008701</v>
      </c>
      <c r="AA11" s="169">
        <v>357059.23708507302</v>
      </c>
      <c r="AB11" s="169">
        <v>21730.486316187002</v>
      </c>
      <c r="AC11" s="169">
        <v>212380.607899102</v>
      </c>
      <c r="AD11" s="169">
        <v>1697.52717735181</v>
      </c>
      <c r="AE11" s="169">
        <v>6838.6123342889996</v>
      </c>
      <c r="AF11" s="169">
        <v>20446.088824350802</v>
      </c>
      <c r="AG11" s="169">
        <v>1390.8426948722099</v>
      </c>
      <c r="AH11" s="169">
        <v>4405.2442956645</v>
      </c>
      <c r="AI11" s="169">
        <v>10729.5344736403</v>
      </c>
      <c r="AJ11" s="169">
        <v>3107.3868390614898</v>
      </c>
      <c r="AK11" s="169">
        <v>281.39005916000002</v>
      </c>
      <c r="AL11" s="169">
        <v>312.06446265283301</v>
      </c>
      <c r="AM11" s="169">
        <v>6782.9520793267402</v>
      </c>
      <c r="AN11" s="169">
        <v>3808.3659688175198</v>
      </c>
      <c r="AO11" s="169">
        <v>178.990678298841</v>
      </c>
      <c r="AP11" s="169">
        <v>408.53221082340002</v>
      </c>
      <c r="AQ11" s="169">
        <v>925.03232343760897</v>
      </c>
      <c r="AR11" s="169">
        <v>1774.6074385519901</v>
      </c>
      <c r="AS11" s="169">
        <v>18684.343655846202</v>
      </c>
      <c r="AT11" s="169">
        <v>5940.7793579830904</v>
      </c>
      <c r="AU11" s="169"/>
      <c r="AV11" s="169">
        <v>210.803365197972</v>
      </c>
      <c r="AW11" s="169">
        <v>4038.4428229404198</v>
      </c>
      <c r="AX11" s="169">
        <v>1407.01595264858</v>
      </c>
      <c r="AY11" s="169">
        <v>1336.5144834206601</v>
      </c>
      <c r="AZ11" s="169">
        <v>788.27352960283702</v>
      </c>
      <c r="BA11" s="169">
        <v>20947.866098351202</v>
      </c>
      <c r="BB11" s="169">
        <v>211611.49290024099</v>
      </c>
      <c r="BC11" s="169">
        <v>139866.953794145</v>
      </c>
      <c r="BD11" s="169">
        <v>19265.448086837801</v>
      </c>
      <c r="BE11" s="169">
        <v>2203.15958852018</v>
      </c>
      <c r="BF11" s="169">
        <v>15223.558843316399</v>
      </c>
      <c r="BG11" s="169">
        <v>11075.617932315999</v>
      </c>
      <c r="BH11" s="169">
        <v>21525.836788720499</v>
      </c>
      <c r="BI11" s="169">
        <v>14815.747094455301</v>
      </c>
      <c r="BJ11" s="169">
        <v>611460.34132651601</v>
      </c>
      <c r="BK11" s="169">
        <v>429567.38500918198</v>
      </c>
      <c r="BL11" s="169">
        <v>126967.74353194</v>
      </c>
      <c r="BM11" s="169">
        <v>81748.446638122696</v>
      </c>
      <c r="BN11" s="169">
        <v>11842.563996676499</v>
      </c>
      <c r="BO11" s="169">
        <v>5840.5854982456804</v>
      </c>
      <c r="BP11" s="169">
        <v>9302.0202150221594</v>
      </c>
      <c r="BQ11" s="169">
        <v>2850.6901183487198</v>
      </c>
      <c r="BR11" s="169">
        <v>12070.3033409772</v>
      </c>
      <c r="BS11" s="169">
        <v>11835.6810667762</v>
      </c>
      <c r="BT11" s="169">
        <v>9888.0162964619394</v>
      </c>
      <c r="BU11" s="169">
        <v>3059.2965153960599</v>
      </c>
      <c r="BV11" s="169">
        <v>15867.5351442224</v>
      </c>
      <c r="BW11" s="169">
        <v>34076.652632630801</v>
      </c>
      <c r="BX11" s="169">
        <v>123072.96168689799</v>
      </c>
      <c r="BY11" s="169">
        <v>346442.35955266701</v>
      </c>
      <c r="BZ11" s="169">
        <v>91630.645152902594</v>
      </c>
      <c r="CA11" s="169">
        <v>26948.1428104976</v>
      </c>
      <c r="CB11" s="169">
        <v>8795.5437682815591</v>
      </c>
      <c r="CC11" s="169">
        <v>6569.1396664674903</v>
      </c>
      <c r="CD11" s="169">
        <v>45233.479921602397</v>
      </c>
      <c r="CE11" s="169">
        <v>63914.872761682404</v>
      </c>
      <c r="CF11" s="169">
        <v>33731.095161169404</v>
      </c>
      <c r="CG11" s="169">
        <v>235.202328869865</v>
      </c>
      <c r="CH11" s="169">
        <v>110.806086693963</v>
      </c>
      <c r="CI11" s="169">
        <v>32.9219917155581</v>
      </c>
      <c r="CJ11" s="169">
        <v>247.625697944709</v>
      </c>
      <c r="CK11" s="169">
        <v>752.19499057334804</v>
      </c>
      <c r="CL11" s="169">
        <v>511.08496789933002</v>
      </c>
      <c r="CM11" s="169">
        <v>2399.27093891616</v>
      </c>
      <c r="CN11" s="169">
        <v>166.77081480929201</v>
      </c>
      <c r="CO11" s="169">
        <v>151.37018654980301</v>
      </c>
      <c r="CP11" s="169"/>
      <c r="CQ11" s="170">
        <v>378.39664318362401</v>
      </c>
      <c r="CR11" s="170">
        <v>156.99434634681501</v>
      </c>
      <c r="CS11" s="170">
        <v>376.80290033803902</v>
      </c>
      <c r="CT11" s="170">
        <v>19.238552918556199</v>
      </c>
      <c r="CU11" s="170">
        <v>21.576307539015499</v>
      </c>
      <c r="CV11" s="170">
        <v>34.5232316652924</v>
      </c>
      <c r="CW11" s="170">
        <v>2192.1617823337201</v>
      </c>
      <c r="CX11" s="170">
        <v>13073.475707720299</v>
      </c>
      <c r="CY11" s="170">
        <v>20.562519861776501</v>
      </c>
      <c r="CZ11" s="170">
        <v>657.09076144924802</v>
      </c>
      <c r="DA11" s="170">
        <v>904.00856990882596</v>
      </c>
      <c r="DB11" s="170">
        <v>3648.80037568432</v>
      </c>
      <c r="DC11" s="170">
        <v>320.85272041204098</v>
      </c>
      <c r="DD11" s="170">
        <v>547.134271799629</v>
      </c>
      <c r="DE11" s="170">
        <v>914.07448787552403</v>
      </c>
      <c r="DF11" s="170">
        <v>14416.1462284965</v>
      </c>
      <c r="DG11" s="170">
        <v>78.087144422597703</v>
      </c>
      <c r="DH11" s="170">
        <v>25.553112002601601</v>
      </c>
      <c r="DI11" s="170">
        <v>94.940862992672905</v>
      </c>
      <c r="DJ11" s="170">
        <v>40.963566755171797</v>
      </c>
      <c r="DK11" s="170">
        <v>784.12821344699205</v>
      </c>
      <c r="DL11" s="170">
        <v>881.30609973109699</v>
      </c>
      <c r="DM11" s="170">
        <v>1364.27013087147</v>
      </c>
      <c r="DN11" s="170">
        <v>754.67330806908706</v>
      </c>
      <c r="DO11" s="170">
        <v>10351.330595609001</v>
      </c>
      <c r="DP11" s="170">
        <v>886.91186499304695</v>
      </c>
      <c r="DQ11" s="170">
        <v>5138.56399351859</v>
      </c>
      <c r="DR11" s="170">
        <v>3913.9477334497201</v>
      </c>
      <c r="DS11" s="170">
        <v>42.3275972357211</v>
      </c>
      <c r="DT11" s="170">
        <v>116.89425464221</v>
      </c>
      <c r="DU11" s="170">
        <v>1108.9961712663401</v>
      </c>
      <c r="DV11" s="170">
        <v>111.43155791988301</v>
      </c>
      <c r="DW11" s="170">
        <v>75.7900801374076</v>
      </c>
      <c r="DX11" s="170">
        <v>70.510990698934194</v>
      </c>
      <c r="DY11" s="170">
        <v>190.102563668958</v>
      </c>
      <c r="DZ11" s="170">
        <v>491.59401659262397</v>
      </c>
      <c r="EA11" s="170">
        <v>170.42365716612301</v>
      </c>
      <c r="EB11" s="170">
        <v>19.608650407342701</v>
      </c>
      <c r="EC11" s="170">
        <v>762.77893743533502</v>
      </c>
      <c r="ED11" s="170">
        <v>2084.2427448682301</v>
      </c>
      <c r="EE11" s="170">
        <v>1182.33351002893</v>
      </c>
      <c r="EF11" s="170">
        <v>2097.56671548852</v>
      </c>
      <c r="EG11" s="170">
        <v>1646.45159748746</v>
      </c>
      <c r="EH11" s="170">
        <v>650.86635774250999</v>
      </c>
      <c r="EI11" s="170">
        <v>41.237162331446498</v>
      </c>
      <c r="EJ11" s="170">
        <v>217.47558350205401</v>
      </c>
      <c r="EK11" s="170">
        <v>272.91017967319698</v>
      </c>
      <c r="EL11" s="170">
        <v>61.472796038143699</v>
      </c>
      <c r="EM11" s="170">
        <v>296.69742640438301</v>
      </c>
      <c r="EN11" s="170">
        <v>217.22172101850799</v>
      </c>
      <c r="EO11" s="170">
        <v>86.501545563557798</v>
      </c>
      <c r="EP11" s="170"/>
      <c r="EQ11" s="170">
        <v>1007.71338929485</v>
      </c>
      <c r="ER11" s="170">
        <v>12948.2285908008</v>
      </c>
      <c r="ES11" s="170">
        <v>2173.2973749398102</v>
      </c>
      <c r="ET11" s="170">
        <v>56.135604124381601</v>
      </c>
      <c r="EU11" s="170">
        <v>311.641989699649</v>
      </c>
      <c r="EV11" s="170">
        <v>16.6691115929987</v>
      </c>
      <c r="EW11" s="170">
        <v>439.10569595408799</v>
      </c>
      <c r="EX11" s="170">
        <v>1577.7124854354599</v>
      </c>
      <c r="EY11" s="170">
        <v>4169.3648313025196</v>
      </c>
      <c r="EZ11" s="170">
        <v>1323.6364935618899</v>
      </c>
      <c r="FA11" s="170">
        <v>120.86620128840001</v>
      </c>
      <c r="FB11" s="170">
        <v>1636.8755112696799</v>
      </c>
      <c r="FC11" s="170">
        <v>33.109904566747701</v>
      </c>
      <c r="FD11" s="170">
        <v>2047.7125047950301</v>
      </c>
      <c r="FE11" s="170">
        <v>13073.475707720299</v>
      </c>
      <c r="FF11" s="170">
        <v>749.79433787408902</v>
      </c>
      <c r="FG11" s="170">
        <v>335.88409887643797</v>
      </c>
      <c r="FH11" s="170">
        <v>64.428539773333299</v>
      </c>
      <c r="FI11" s="170">
        <v>140.742954467479</v>
      </c>
    </row>
    <row r="12" spans="1:175" s="32" customFormat="1" ht="15">
      <c r="B12" s="20" t="s">
        <v>172</v>
      </c>
      <c r="C12" s="33">
        <f>AVERAGE(C6:C11)</f>
        <v>2973.2967208298746</v>
      </c>
      <c r="D12" s="33">
        <f t="shared" ref="D12:BQ12" si="0">AVERAGE(D6:D11)</f>
        <v>203.95304423173988</v>
      </c>
      <c r="E12" s="33">
        <f t="shared" si="0"/>
        <v>9150.6533060922593</v>
      </c>
      <c r="F12" s="33">
        <f t="shared" si="0"/>
        <v>3067.9530177471711</v>
      </c>
      <c r="G12" s="33">
        <f t="shared" si="0"/>
        <v>213.02829499426377</v>
      </c>
      <c r="H12" s="33">
        <f t="shared" si="0"/>
        <v>243.92408174060415</v>
      </c>
      <c r="I12" s="33">
        <f t="shared" si="0"/>
        <v>160.19540444117303</v>
      </c>
      <c r="J12" s="33">
        <f t="shared" si="0"/>
        <v>14844.522827179682</v>
      </c>
      <c r="K12" s="33">
        <f t="shared" si="0"/>
        <v>8915.9102518060863</v>
      </c>
      <c r="L12" s="33">
        <f t="shared" si="0"/>
        <v>785.87083923429793</v>
      </c>
      <c r="M12" s="33">
        <f t="shared" si="0"/>
        <v>92.489480544816217</v>
      </c>
      <c r="N12" s="33">
        <f t="shared" si="0"/>
        <v>110.58488246030724</v>
      </c>
      <c r="O12" s="33">
        <f t="shared" si="0"/>
        <v>37.629549086539896</v>
      </c>
      <c r="P12" s="33">
        <f t="shared" si="0"/>
        <v>33.573588866080037</v>
      </c>
      <c r="Q12" s="33">
        <f t="shared" si="0"/>
        <v>7.3748987932719494</v>
      </c>
      <c r="R12" s="33">
        <f t="shared" si="0"/>
        <v>46.716903402086594</v>
      </c>
      <c r="S12" s="33">
        <f t="shared" si="0"/>
        <v>221.78221995484202</v>
      </c>
      <c r="T12" s="33">
        <f t="shared" si="0"/>
        <v>245.71135212831493</v>
      </c>
      <c r="U12" s="33"/>
      <c r="V12" s="33">
        <f t="shared" si="0"/>
        <v>91561.371058009929</v>
      </c>
      <c r="W12" s="33">
        <f t="shared" si="0"/>
        <v>117908.14196785363</v>
      </c>
      <c r="X12" s="33">
        <f t="shared" si="0"/>
        <v>84743.433989324607</v>
      </c>
      <c r="Y12" s="33">
        <f t="shared" si="0"/>
        <v>548.86249454670201</v>
      </c>
      <c r="Z12" s="33">
        <f t="shared" si="0"/>
        <v>3252.3481176119035</v>
      </c>
      <c r="AA12" s="33">
        <f t="shared" si="0"/>
        <v>414760.88112972846</v>
      </c>
      <c r="AB12" s="33">
        <f t="shared" si="0"/>
        <v>22048.761983520784</v>
      </c>
      <c r="AC12" s="33">
        <f t="shared" si="0"/>
        <v>207174.66355043332</v>
      </c>
      <c r="AD12" s="33">
        <f t="shared" si="0"/>
        <v>1534.3929397549934</v>
      </c>
      <c r="AE12" s="33">
        <f t="shared" si="0"/>
        <v>14238.346455888182</v>
      </c>
      <c r="AF12" s="33">
        <f t="shared" si="0"/>
        <v>28260.479375464551</v>
      </c>
      <c r="AG12" s="33">
        <f t="shared" si="0"/>
        <v>1347.9482915472831</v>
      </c>
      <c r="AH12" s="33">
        <f t="shared" si="0"/>
        <v>4781.6405970916394</v>
      </c>
      <c r="AI12" s="33">
        <f t="shared" si="0"/>
        <v>12308.286088468079</v>
      </c>
      <c r="AJ12" s="33">
        <f t="shared" si="0"/>
        <v>3334.9855085421332</v>
      </c>
      <c r="AK12" s="33">
        <f t="shared" si="0"/>
        <v>333.89170135592934</v>
      </c>
      <c r="AL12" s="33">
        <f t="shared" si="0"/>
        <v>347.49753426535602</v>
      </c>
      <c r="AM12" s="33">
        <f t="shared" si="0"/>
        <v>7112.5893737345423</v>
      </c>
      <c r="AN12" s="33">
        <f t="shared" si="0"/>
        <v>3644.2577073966418</v>
      </c>
      <c r="AO12" s="33">
        <f t="shared" si="0"/>
        <v>323.24680517249857</v>
      </c>
      <c r="AP12" s="33">
        <f t="shared" si="0"/>
        <v>684.46641822911613</v>
      </c>
      <c r="AQ12" s="33">
        <f t="shared" si="0"/>
        <v>680.29516576919525</v>
      </c>
      <c r="AR12" s="33">
        <f t="shared" si="0"/>
        <v>1887.8662477688215</v>
      </c>
      <c r="AS12" s="33">
        <f t="shared" si="0"/>
        <v>14301.47496082575</v>
      </c>
      <c r="AT12" s="33">
        <f t="shared" si="0"/>
        <v>6875.7128834781033</v>
      </c>
      <c r="AU12" s="33"/>
      <c r="AV12" s="33">
        <f t="shared" si="0"/>
        <v>217.89623163191357</v>
      </c>
      <c r="AW12" s="33">
        <f t="shared" si="0"/>
        <v>3815.9950041132015</v>
      </c>
      <c r="AX12" s="33">
        <f t="shared" si="0"/>
        <v>1225.6314065472461</v>
      </c>
      <c r="AY12" s="33">
        <f t="shared" si="0"/>
        <v>781.75105421126455</v>
      </c>
      <c r="AZ12" s="33">
        <f t="shared" si="0"/>
        <v>337.61722460818584</v>
      </c>
      <c r="BA12" s="33">
        <f t="shared" si="0"/>
        <v>11564.723124441791</v>
      </c>
      <c r="BB12" s="33">
        <f t="shared" si="0"/>
        <v>147589.546482426</v>
      </c>
      <c r="BC12" s="33">
        <f t="shared" si="0"/>
        <v>104860.4558201242</v>
      </c>
      <c r="BD12" s="33">
        <f t="shared" si="0"/>
        <v>12564.749226299717</v>
      </c>
      <c r="BE12" s="33">
        <f t="shared" si="0"/>
        <v>1893.735134039415</v>
      </c>
      <c r="BF12" s="33">
        <f t="shared" si="0"/>
        <v>12292.235096511546</v>
      </c>
      <c r="BG12" s="33">
        <f t="shared" si="0"/>
        <v>10737.690571012276</v>
      </c>
      <c r="BH12" s="33">
        <f t="shared" si="0"/>
        <v>20039.656939739285</v>
      </c>
      <c r="BI12" s="33">
        <f t="shared" si="0"/>
        <v>13693.776595247151</v>
      </c>
      <c r="BJ12" s="33">
        <f t="shared" si="0"/>
        <v>484789.98618985346</v>
      </c>
      <c r="BK12" s="33">
        <f t="shared" si="0"/>
        <v>381806.69746953086</v>
      </c>
      <c r="BL12" s="33">
        <f t="shared" si="0"/>
        <v>91261.525957099046</v>
      </c>
      <c r="BM12" s="33">
        <f t="shared" si="0"/>
        <v>65609.944560366552</v>
      </c>
      <c r="BN12" s="33">
        <f t="shared" si="0"/>
        <v>8729.0321135766881</v>
      </c>
      <c r="BO12" s="33">
        <f t="shared" si="0"/>
        <v>3660.6534485136312</v>
      </c>
      <c r="BP12" s="33">
        <f t="shared" si="0"/>
        <v>5263.9502568395992</v>
      </c>
      <c r="BQ12" s="33">
        <f t="shared" si="0"/>
        <v>2986.9905261111085</v>
      </c>
      <c r="BR12" s="33">
        <f t="shared" ref="BR12:ED12" si="1">AVERAGE(BR6:BR11)</f>
        <v>13890.15139298205</v>
      </c>
      <c r="BS12" s="33">
        <f t="shared" si="1"/>
        <v>14306.646113226918</v>
      </c>
      <c r="BT12" s="33">
        <f t="shared" si="1"/>
        <v>10897.009166493277</v>
      </c>
      <c r="BU12" s="33">
        <f t="shared" si="1"/>
        <v>3600.8709691672539</v>
      </c>
      <c r="BV12" s="33">
        <f t="shared" si="1"/>
        <v>13106.495260059441</v>
      </c>
      <c r="BW12" s="33">
        <f t="shared" si="1"/>
        <v>24583.469516076057</v>
      </c>
      <c r="BX12" s="33">
        <f t="shared" si="1"/>
        <v>109509.63132061526</v>
      </c>
      <c r="BY12" s="33">
        <f t="shared" si="1"/>
        <v>348747.72034176695</v>
      </c>
      <c r="BZ12" s="33">
        <f t="shared" si="1"/>
        <v>74316.937246875706</v>
      </c>
      <c r="CA12" s="33">
        <f t="shared" si="1"/>
        <v>23248.467572284553</v>
      </c>
      <c r="CB12" s="33">
        <f t="shared" si="1"/>
        <v>7996.0255988664858</v>
      </c>
      <c r="CC12" s="33">
        <f t="shared" si="1"/>
        <v>6177.4095223968507</v>
      </c>
      <c r="CD12" s="33">
        <f t="shared" si="1"/>
        <v>37864.091062273917</v>
      </c>
      <c r="CE12" s="33">
        <f t="shared" si="1"/>
        <v>48923.050771204311</v>
      </c>
      <c r="CF12" s="33">
        <f t="shared" si="1"/>
        <v>36181.000832047583</v>
      </c>
      <c r="CG12" s="33">
        <f t="shared" si="1"/>
        <v>611.25903009600904</v>
      </c>
      <c r="CH12" s="33">
        <f t="shared" si="1"/>
        <v>159.13348296363586</v>
      </c>
      <c r="CI12" s="45">
        <f t="shared" si="1"/>
        <v>319261.83632536436</v>
      </c>
      <c r="CJ12" s="33">
        <f t="shared" si="1"/>
        <v>433.49210515918156</v>
      </c>
      <c r="CK12" s="33">
        <f t="shared" si="1"/>
        <v>1108.3257929671488</v>
      </c>
      <c r="CL12" s="33">
        <f t="shared" si="1"/>
        <v>275.20198023512597</v>
      </c>
      <c r="CM12" s="33">
        <f t="shared" si="1"/>
        <v>1633.4155623561753</v>
      </c>
      <c r="CN12" s="33">
        <f t="shared" si="1"/>
        <v>160.91137888608901</v>
      </c>
      <c r="CO12" s="33">
        <f t="shared" si="1"/>
        <v>187.42394876561025</v>
      </c>
      <c r="CP12" s="33"/>
      <c r="CQ12" s="33">
        <f t="shared" si="1"/>
        <v>434.14922536666836</v>
      </c>
      <c r="CR12" s="33">
        <f t="shared" si="1"/>
        <v>200.6062927004815</v>
      </c>
      <c r="CS12" s="33">
        <f t="shared" si="1"/>
        <v>230.49042737055376</v>
      </c>
      <c r="CT12" s="33">
        <f t="shared" si="1"/>
        <v>123.63626909429753</v>
      </c>
      <c r="CU12" s="33">
        <f t="shared" si="1"/>
        <v>38.627252494959997</v>
      </c>
      <c r="CV12" s="33">
        <f t="shared" si="1"/>
        <v>43.993560304561896</v>
      </c>
      <c r="CW12" s="33">
        <f t="shared" si="1"/>
        <v>2440.8973973715297</v>
      </c>
      <c r="CX12" s="33">
        <f t="shared" si="1"/>
        <v>10402.427105872661</v>
      </c>
      <c r="CY12" s="33">
        <f t="shared" si="1"/>
        <v>119.33432356261306</v>
      </c>
      <c r="CZ12" s="33">
        <f t="shared" si="1"/>
        <v>610.20870640915007</v>
      </c>
      <c r="DA12" s="33">
        <f t="shared" si="1"/>
        <v>828.79046791295616</v>
      </c>
      <c r="DB12" s="33">
        <f t="shared" si="1"/>
        <v>4749.7438915519333</v>
      </c>
      <c r="DC12" s="33">
        <f t="shared" si="1"/>
        <v>437.11895900976697</v>
      </c>
      <c r="DD12" s="33">
        <f t="shared" si="1"/>
        <v>710.29515505007419</v>
      </c>
      <c r="DE12" s="33">
        <f t="shared" si="1"/>
        <v>8632.6284440641084</v>
      </c>
      <c r="DF12" s="33">
        <f t="shared" si="1"/>
        <v>15144.240287447981</v>
      </c>
      <c r="DG12" s="33">
        <f t="shared" si="1"/>
        <v>696.70105559907461</v>
      </c>
      <c r="DH12" s="33">
        <f t="shared" si="1"/>
        <v>112.66809082832839</v>
      </c>
      <c r="DI12" s="33">
        <f t="shared" si="1"/>
        <v>87.167568127218317</v>
      </c>
      <c r="DJ12" s="33">
        <f t="shared" si="1"/>
        <v>322.26757795771863</v>
      </c>
      <c r="DK12" s="33">
        <f t="shared" si="1"/>
        <v>794.82700381451662</v>
      </c>
      <c r="DL12" s="33">
        <f t="shared" si="1"/>
        <v>957.47396958852676</v>
      </c>
      <c r="DM12" s="33">
        <f t="shared" si="1"/>
        <v>1939.0273907075582</v>
      </c>
      <c r="DN12" s="33">
        <f t="shared" si="1"/>
        <v>794.15200452024271</v>
      </c>
      <c r="DO12" s="33">
        <f t="shared" si="1"/>
        <v>9249.7138541565419</v>
      </c>
      <c r="DP12" s="33">
        <f t="shared" si="1"/>
        <v>5179.4286138351745</v>
      </c>
      <c r="DQ12" s="33">
        <f t="shared" si="1"/>
        <v>4751.465731346947</v>
      </c>
      <c r="DR12" s="33">
        <f t="shared" si="1"/>
        <v>3698.2835623410101</v>
      </c>
      <c r="DS12" s="33">
        <f t="shared" si="1"/>
        <v>277.28748417833486</v>
      </c>
      <c r="DT12" s="33">
        <f t="shared" si="1"/>
        <v>94.392601118525917</v>
      </c>
      <c r="DU12" s="33">
        <f t="shared" si="1"/>
        <v>1098.8054578777655</v>
      </c>
      <c r="DV12" s="33">
        <f t="shared" si="1"/>
        <v>237.88654657104237</v>
      </c>
      <c r="DW12" s="33">
        <f t="shared" si="1"/>
        <v>115.03378883626021</v>
      </c>
      <c r="DX12" s="33">
        <f t="shared" si="1"/>
        <v>200.14029430450907</v>
      </c>
      <c r="DY12" s="33">
        <f t="shared" si="1"/>
        <v>351.9232484967045</v>
      </c>
      <c r="DZ12" s="33">
        <f t="shared" si="1"/>
        <v>622.62331263917361</v>
      </c>
      <c r="EA12" s="33">
        <f t="shared" si="1"/>
        <v>235.85857927024821</v>
      </c>
      <c r="EB12" s="33">
        <f t="shared" si="1"/>
        <v>28.2116193890263</v>
      </c>
      <c r="EC12" s="33">
        <f t="shared" si="1"/>
        <v>721.98998577096847</v>
      </c>
      <c r="ED12" s="33">
        <f t="shared" si="1"/>
        <v>2180.7723345448949</v>
      </c>
      <c r="EE12" s="33">
        <f t="shared" ref="EE12:FI12" si="2">AVERAGE(EE6:EE11)</f>
        <v>1035.9933992389472</v>
      </c>
      <c r="EF12" s="33">
        <f t="shared" si="2"/>
        <v>2338.1907593220867</v>
      </c>
      <c r="EG12" s="33">
        <f t="shared" si="2"/>
        <v>1455.5883564360165</v>
      </c>
      <c r="EH12" s="33">
        <f t="shared" si="2"/>
        <v>661.58876486237023</v>
      </c>
      <c r="EI12" s="33">
        <f t="shared" si="2"/>
        <v>150.22733758246949</v>
      </c>
      <c r="EJ12" s="33">
        <f t="shared" si="2"/>
        <v>131.76043457882335</v>
      </c>
      <c r="EK12" s="33">
        <f t="shared" si="2"/>
        <v>193.04138591929117</v>
      </c>
      <c r="EL12" s="33">
        <f t="shared" si="2"/>
        <v>58.47358386248947</v>
      </c>
      <c r="EM12" s="33">
        <f t="shared" si="2"/>
        <v>149.77568963407177</v>
      </c>
      <c r="EN12" s="33">
        <f t="shared" si="2"/>
        <v>195.09537883309622</v>
      </c>
      <c r="EO12" s="33">
        <f t="shared" si="2"/>
        <v>98.509911605938058</v>
      </c>
      <c r="EP12" s="33"/>
      <c r="EQ12" s="33">
        <f t="shared" si="2"/>
        <v>1379.8156083126639</v>
      </c>
      <c r="ER12" s="33">
        <f t="shared" si="2"/>
        <v>16237.607411962235</v>
      </c>
      <c r="ES12" s="33">
        <f t="shared" si="2"/>
        <v>4021.8884653534628</v>
      </c>
      <c r="ET12" s="33">
        <f t="shared" si="2"/>
        <v>51.110582903272757</v>
      </c>
      <c r="EU12" s="33">
        <f t="shared" si="2"/>
        <v>321.00588755299469</v>
      </c>
      <c r="EV12" s="33">
        <f t="shared" si="2"/>
        <v>125.25562835027876</v>
      </c>
      <c r="EW12" s="33">
        <f t="shared" si="2"/>
        <v>407.71153112289534</v>
      </c>
      <c r="EX12" s="33">
        <f t="shared" si="2"/>
        <v>1490.17693974895</v>
      </c>
      <c r="EY12" s="33">
        <f t="shared" si="2"/>
        <v>3528.4171797603849</v>
      </c>
      <c r="EZ12" s="33">
        <f t="shared" si="2"/>
        <v>1045.3448452499042</v>
      </c>
      <c r="FA12" s="33">
        <f t="shared" si="2"/>
        <v>221.88894808634782</v>
      </c>
      <c r="FB12" s="33">
        <f t="shared" si="2"/>
        <v>1781.2226247438991</v>
      </c>
      <c r="FC12" s="33">
        <f t="shared" si="2"/>
        <v>128.06481539072561</v>
      </c>
      <c r="FD12" s="33">
        <f t="shared" si="2"/>
        <v>2679.7026165352418</v>
      </c>
      <c r="FE12" s="33">
        <f t="shared" si="2"/>
        <v>10402.427105872661</v>
      </c>
      <c r="FF12" s="33">
        <f t="shared" si="2"/>
        <v>1039.6702742009472</v>
      </c>
      <c r="FG12" s="33">
        <f t="shared" si="2"/>
        <v>584.60146075416924</v>
      </c>
      <c r="FH12" s="33">
        <f t="shared" si="2"/>
        <v>79.274313919364531</v>
      </c>
      <c r="FI12" s="33">
        <f t="shared" si="2"/>
        <v>143.74539484590036</v>
      </c>
    </row>
    <row r="13" spans="1:175" s="32" customFormat="1" ht="15">
      <c r="B13" s="20" t="s">
        <v>165</v>
      </c>
      <c r="C13" s="33">
        <f>_xlfn.STDEV.S(C6:C11)</f>
        <v>2007.91920928747</v>
      </c>
      <c r="D13" s="33">
        <f t="shared" ref="D13:BQ13" si="3">_xlfn.STDEV.S(D6:D11)</f>
        <v>201.85716984879701</v>
      </c>
      <c r="E13" s="33">
        <f t="shared" si="3"/>
        <v>5441.6005654793817</v>
      </c>
      <c r="F13" s="33">
        <f t="shared" si="3"/>
        <v>2391.1432541332501</v>
      </c>
      <c r="G13" s="33">
        <f t="shared" si="3"/>
        <v>178.144000871706</v>
      </c>
      <c r="H13" s="33">
        <f t="shared" si="3"/>
        <v>176.58179651013359</v>
      </c>
      <c r="I13" s="33">
        <f t="shared" si="3"/>
        <v>68.067305148874127</v>
      </c>
      <c r="J13" s="33">
        <f t="shared" si="3"/>
        <v>3283.298273828826</v>
      </c>
      <c r="K13" s="33">
        <f t="shared" si="3"/>
        <v>1955.2039134858583</v>
      </c>
      <c r="L13" s="33">
        <f t="shared" si="3"/>
        <v>495.91913791921331</v>
      </c>
      <c r="M13" s="33">
        <f t="shared" si="3"/>
        <v>84.172351121490252</v>
      </c>
      <c r="N13" s="33">
        <f t="shared" si="3"/>
        <v>86.045158989306486</v>
      </c>
      <c r="O13" s="33">
        <f t="shared" si="3"/>
        <v>21.318453153584098</v>
      </c>
      <c r="P13" s="33">
        <f t="shared" si="3"/>
        <v>22.330995372652009</v>
      </c>
      <c r="Q13" s="33">
        <f t="shared" si="3"/>
        <v>15.615249205400501</v>
      </c>
      <c r="R13" s="33">
        <f t="shared" si="3"/>
        <v>12.435472427296682</v>
      </c>
      <c r="S13" s="33">
        <f t="shared" si="3"/>
        <v>95.867131595950383</v>
      </c>
      <c r="T13" s="33">
        <f t="shared" si="3"/>
        <v>227.43242772347639</v>
      </c>
      <c r="U13" s="33"/>
      <c r="V13" s="33">
        <f t="shared" si="3"/>
        <v>16910.193230696357</v>
      </c>
      <c r="W13" s="33">
        <f t="shared" si="3"/>
        <v>21506.130006550924</v>
      </c>
      <c r="X13" s="33">
        <f t="shared" si="3"/>
        <v>18204.886739748672</v>
      </c>
      <c r="Y13" s="33">
        <f t="shared" si="3"/>
        <v>168.59699111525893</v>
      </c>
      <c r="Z13" s="33">
        <f t="shared" si="3"/>
        <v>407.56173439096011</v>
      </c>
      <c r="AA13" s="33">
        <f t="shared" si="3"/>
        <v>79696.772159590415</v>
      </c>
      <c r="AB13" s="33">
        <f t="shared" si="3"/>
        <v>1310.5502723406166</v>
      </c>
      <c r="AC13" s="33">
        <f t="shared" si="3"/>
        <v>15222.349153747908</v>
      </c>
      <c r="AD13" s="33">
        <f t="shared" si="3"/>
        <v>450.71667531785721</v>
      </c>
      <c r="AE13" s="33">
        <f t="shared" si="3"/>
        <v>11842.614524920249</v>
      </c>
      <c r="AF13" s="33">
        <f t="shared" si="3"/>
        <v>7026.2500963860857</v>
      </c>
      <c r="AG13" s="33">
        <f t="shared" si="3"/>
        <v>644.14099800854137</v>
      </c>
      <c r="AH13" s="33">
        <f t="shared" si="3"/>
        <v>1189.2550281978047</v>
      </c>
      <c r="AI13" s="33">
        <f t="shared" si="3"/>
        <v>3655.2083945150421</v>
      </c>
      <c r="AJ13" s="33">
        <f t="shared" si="3"/>
        <v>1235.6409734604631</v>
      </c>
      <c r="AK13" s="33">
        <f t="shared" si="3"/>
        <v>89.025317071221295</v>
      </c>
      <c r="AL13" s="33">
        <f t="shared" si="3"/>
        <v>164.69584741714775</v>
      </c>
      <c r="AM13" s="33">
        <f t="shared" si="3"/>
        <v>1773.0181409451247</v>
      </c>
      <c r="AN13" s="33">
        <f t="shared" si="3"/>
        <v>1254.178780917988</v>
      </c>
      <c r="AO13" s="33">
        <f t="shared" si="3"/>
        <v>217.53205045366497</v>
      </c>
      <c r="AP13" s="33">
        <f t="shared" si="3"/>
        <v>199.03715217229663</v>
      </c>
      <c r="AQ13" s="33">
        <f t="shared" si="3"/>
        <v>188.58590154312213</v>
      </c>
      <c r="AR13" s="33">
        <f t="shared" si="3"/>
        <v>502.12984317553173</v>
      </c>
      <c r="AS13" s="33">
        <f t="shared" si="3"/>
        <v>2513.3086146824403</v>
      </c>
      <c r="AT13" s="33">
        <f t="shared" si="3"/>
        <v>1911.1434394549731</v>
      </c>
      <c r="AU13" s="33"/>
      <c r="AV13" s="33">
        <f t="shared" si="3"/>
        <v>170.38354475474227</v>
      </c>
      <c r="AW13" s="33">
        <f t="shared" si="3"/>
        <v>1453.6636585556539</v>
      </c>
      <c r="AX13" s="33">
        <f t="shared" si="3"/>
        <v>665.52132486424773</v>
      </c>
      <c r="AY13" s="33">
        <f t="shared" si="3"/>
        <v>329.3186100864985</v>
      </c>
      <c r="AZ13" s="33">
        <f t="shared" si="3"/>
        <v>241.20089218024026</v>
      </c>
      <c r="BA13" s="33">
        <f t="shared" si="3"/>
        <v>7171.386060737791</v>
      </c>
      <c r="BB13" s="33">
        <f t="shared" si="3"/>
        <v>40149.019080285441</v>
      </c>
      <c r="BC13" s="33">
        <f t="shared" si="3"/>
        <v>25492.446882526052</v>
      </c>
      <c r="BD13" s="33">
        <f t="shared" si="3"/>
        <v>4935.9385495498645</v>
      </c>
      <c r="BE13" s="33">
        <f t="shared" si="3"/>
        <v>406.70387048976602</v>
      </c>
      <c r="BF13" s="33">
        <f t="shared" si="3"/>
        <v>2270.1661349360734</v>
      </c>
      <c r="BG13" s="33">
        <f t="shared" si="3"/>
        <v>1564.5616385793046</v>
      </c>
      <c r="BH13" s="33">
        <f t="shared" si="3"/>
        <v>4023.0397009864446</v>
      </c>
      <c r="BI13" s="33">
        <f t="shared" si="3"/>
        <v>1990.2983045534702</v>
      </c>
      <c r="BJ13" s="33">
        <f t="shared" si="3"/>
        <v>83530.330593665858</v>
      </c>
      <c r="BK13" s="33">
        <f t="shared" si="3"/>
        <v>52562.92786863722</v>
      </c>
      <c r="BL13" s="33">
        <f t="shared" si="3"/>
        <v>22225.786973131901</v>
      </c>
      <c r="BM13" s="33">
        <f t="shared" si="3"/>
        <v>13345.441867374868</v>
      </c>
      <c r="BN13" s="33">
        <f t="shared" si="3"/>
        <v>3281.3438719055762</v>
      </c>
      <c r="BO13" s="33">
        <f t="shared" si="3"/>
        <v>1244.3985227948358</v>
      </c>
      <c r="BP13" s="33">
        <f t="shared" si="3"/>
        <v>2132.866583500349</v>
      </c>
      <c r="BQ13" s="33">
        <f t="shared" si="3"/>
        <v>979.25933686568897</v>
      </c>
      <c r="BR13" s="33">
        <f t="shared" ref="BR13:ED13" si="4">_xlfn.STDEV.S(BR6:BR11)</f>
        <v>3081.343549487051</v>
      </c>
      <c r="BS13" s="33">
        <f t="shared" si="4"/>
        <v>3268.9005973434387</v>
      </c>
      <c r="BT13" s="33">
        <f t="shared" si="4"/>
        <v>1431.8979856301257</v>
      </c>
      <c r="BU13" s="33">
        <f t="shared" si="4"/>
        <v>1037.1446182146776</v>
      </c>
      <c r="BV13" s="33">
        <f t="shared" si="4"/>
        <v>3989.8881521009639</v>
      </c>
      <c r="BW13" s="33">
        <f t="shared" si="4"/>
        <v>5227.7047578229267</v>
      </c>
      <c r="BX13" s="33">
        <f t="shared" si="4"/>
        <v>8849.9899628683252</v>
      </c>
      <c r="BY13" s="33">
        <f t="shared" si="4"/>
        <v>42774.367288253088</v>
      </c>
      <c r="BZ13" s="33">
        <f t="shared" si="4"/>
        <v>14526.9767178986</v>
      </c>
      <c r="CA13" s="33">
        <f t="shared" si="4"/>
        <v>3323.428817509166</v>
      </c>
      <c r="CB13" s="33">
        <f t="shared" si="4"/>
        <v>1800.3230833333125</v>
      </c>
      <c r="CC13" s="33">
        <f t="shared" si="4"/>
        <v>1270.9155845122973</v>
      </c>
      <c r="CD13" s="33">
        <f t="shared" si="4"/>
        <v>7637.411812384421</v>
      </c>
      <c r="CE13" s="33">
        <f t="shared" si="4"/>
        <v>9723.7954609599801</v>
      </c>
      <c r="CF13" s="33">
        <f t="shared" si="4"/>
        <v>5179.6206902357408</v>
      </c>
      <c r="CG13" s="33">
        <f t="shared" si="4"/>
        <v>438.15135182148384</v>
      </c>
      <c r="CH13" s="33">
        <f t="shared" si="4"/>
        <v>90.796989444274601</v>
      </c>
      <c r="CI13" s="46">
        <f t="shared" si="4"/>
        <v>781829.0118550295</v>
      </c>
      <c r="CJ13" s="33">
        <f t="shared" si="4"/>
        <v>191.0024666279777</v>
      </c>
      <c r="CK13" s="33">
        <f t="shared" si="4"/>
        <v>561.66835495629743</v>
      </c>
      <c r="CL13" s="33">
        <f t="shared" si="4"/>
        <v>137.75084081093863</v>
      </c>
      <c r="CM13" s="33">
        <f t="shared" si="4"/>
        <v>586.21412354139852</v>
      </c>
      <c r="CN13" s="33">
        <f t="shared" si="4"/>
        <v>100.77676390785749</v>
      </c>
      <c r="CO13" s="33">
        <f t="shared" si="4"/>
        <v>210.04445637510727</v>
      </c>
      <c r="CP13" s="33"/>
      <c r="CQ13" s="33">
        <f t="shared" si="4"/>
        <v>259.15545611431594</v>
      </c>
      <c r="CR13" s="33">
        <f t="shared" si="4"/>
        <v>89.040080632292188</v>
      </c>
      <c r="CS13" s="33">
        <f t="shared" si="4"/>
        <v>103.35169813016992</v>
      </c>
      <c r="CT13" s="33">
        <f t="shared" si="4"/>
        <v>64.146397732765848</v>
      </c>
      <c r="CU13" s="33">
        <f t="shared" si="4"/>
        <v>35.042514375103927</v>
      </c>
      <c r="CV13" s="33">
        <f t="shared" si="4"/>
        <v>31.44914420119753</v>
      </c>
      <c r="CW13" s="33">
        <f t="shared" si="4"/>
        <v>287.49064457995922</v>
      </c>
      <c r="CX13" s="33">
        <f t="shared" si="4"/>
        <v>3501.935815475782</v>
      </c>
      <c r="CY13" s="33">
        <f t="shared" si="4"/>
        <v>92.647411122248286</v>
      </c>
      <c r="CZ13" s="33">
        <f t="shared" si="4"/>
        <v>148.08716515803209</v>
      </c>
      <c r="DA13" s="33">
        <f t="shared" si="4"/>
        <v>621.75160610320586</v>
      </c>
      <c r="DB13" s="33">
        <f t="shared" si="4"/>
        <v>978.08014795725273</v>
      </c>
      <c r="DC13" s="33">
        <f t="shared" si="4"/>
        <v>83.05944257407657</v>
      </c>
      <c r="DD13" s="33">
        <f t="shared" si="4"/>
        <v>308.67621496430286</v>
      </c>
      <c r="DE13" s="33">
        <f t="shared" si="4"/>
        <v>6021.2701190249654</v>
      </c>
      <c r="DF13" s="33">
        <f t="shared" si="4"/>
        <v>1470.3693809768738</v>
      </c>
      <c r="DG13" s="33">
        <f t="shared" si="4"/>
        <v>598.64049646602132</v>
      </c>
      <c r="DH13" s="33">
        <f t="shared" si="4"/>
        <v>89.263893625953003</v>
      </c>
      <c r="DI13" s="33">
        <f t="shared" si="4"/>
        <v>53.452248053216323</v>
      </c>
      <c r="DJ13" s="33">
        <f t="shared" si="4"/>
        <v>162.7603610523521</v>
      </c>
      <c r="DK13" s="33">
        <f t="shared" si="4"/>
        <v>135.15091470074788</v>
      </c>
      <c r="DL13" s="33">
        <f t="shared" si="4"/>
        <v>301.5936763177491</v>
      </c>
      <c r="DM13" s="33">
        <f t="shared" si="4"/>
        <v>481.99926012603669</v>
      </c>
      <c r="DN13" s="33">
        <f t="shared" si="4"/>
        <v>97.042637481074323</v>
      </c>
      <c r="DO13" s="33">
        <f t="shared" si="4"/>
        <v>1342.9526358188834</v>
      </c>
      <c r="DP13" s="33">
        <f t="shared" si="4"/>
        <v>4714.8347662116739</v>
      </c>
      <c r="DQ13" s="33">
        <f t="shared" si="4"/>
        <v>340.27591440258016</v>
      </c>
      <c r="DR13" s="33">
        <f t="shared" si="4"/>
        <v>496.7702690085348</v>
      </c>
      <c r="DS13" s="33">
        <f t="shared" si="4"/>
        <v>241.60250544134212</v>
      </c>
      <c r="DT13" s="33">
        <f t="shared" si="4"/>
        <v>39.385038770814454</v>
      </c>
      <c r="DU13" s="33">
        <f t="shared" si="4"/>
        <v>208.66298981740758</v>
      </c>
      <c r="DV13" s="33">
        <f t="shared" si="4"/>
        <v>164.72319185803889</v>
      </c>
      <c r="DW13" s="33">
        <f t="shared" si="4"/>
        <v>76.982429636232382</v>
      </c>
      <c r="DX13" s="33">
        <f t="shared" si="4"/>
        <v>179.44660084995098</v>
      </c>
      <c r="DY13" s="33">
        <f t="shared" si="4"/>
        <v>189.0303673669834</v>
      </c>
      <c r="DZ13" s="33">
        <f t="shared" si="4"/>
        <v>216.04870079465121</v>
      </c>
      <c r="EA13" s="33">
        <f t="shared" si="4"/>
        <v>117.57990112811125</v>
      </c>
      <c r="EB13" s="33">
        <f t="shared" si="4"/>
        <v>7.6888487456344503</v>
      </c>
      <c r="EC13" s="33">
        <f t="shared" si="4"/>
        <v>149.90754958446058</v>
      </c>
      <c r="ED13" s="33">
        <f t="shared" si="4"/>
        <v>210.42282340879791</v>
      </c>
      <c r="EE13" s="33">
        <f t="shared" ref="EE13:FI13" si="5">_xlfn.STDEV.S(EE6:EE11)</f>
        <v>428.92558663533106</v>
      </c>
      <c r="EF13" s="33">
        <f t="shared" si="5"/>
        <v>344.8724132444018</v>
      </c>
      <c r="EG13" s="33">
        <f t="shared" si="5"/>
        <v>279.32188032780175</v>
      </c>
      <c r="EH13" s="33">
        <f t="shared" si="5"/>
        <v>327.58264251278143</v>
      </c>
      <c r="EI13" s="33">
        <f t="shared" si="5"/>
        <v>99.570653461528636</v>
      </c>
      <c r="EJ13" s="33">
        <f t="shared" si="5"/>
        <v>66.94411137481886</v>
      </c>
      <c r="EK13" s="33">
        <f t="shared" si="5"/>
        <v>57.438723888583858</v>
      </c>
      <c r="EL13" s="33">
        <f t="shared" si="5"/>
        <v>28.77813890494734</v>
      </c>
      <c r="EM13" s="33">
        <f t="shared" si="5"/>
        <v>95.737301973653885</v>
      </c>
      <c r="EN13" s="33">
        <f t="shared" si="5"/>
        <v>83.119899174267729</v>
      </c>
      <c r="EO13" s="33">
        <f t="shared" si="5"/>
        <v>45.118917161720752</v>
      </c>
      <c r="EP13" s="33"/>
      <c r="EQ13" s="33">
        <f t="shared" si="5"/>
        <v>528.16135380695027</v>
      </c>
      <c r="ER13" s="33">
        <f t="shared" si="5"/>
        <v>3730.4214284556115</v>
      </c>
      <c r="ES13" s="33">
        <f t="shared" si="5"/>
        <v>1333.7673098103701</v>
      </c>
      <c r="ET13" s="33">
        <f t="shared" si="5"/>
        <v>9.7711981639324623</v>
      </c>
      <c r="EU13" s="33">
        <f t="shared" si="5"/>
        <v>124.11397350439397</v>
      </c>
      <c r="EV13" s="33">
        <f t="shared" si="5"/>
        <v>99.953271912389241</v>
      </c>
      <c r="EW13" s="33">
        <f t="shared" si="5"/>
        <v>233.21511924185944</v>
      </c>
      <c r="EX13" s="33">
        <f t="shared" si="5"/>
        <v>202.56889819349902</v>
      </c>
      <c r="EY13" s="33">
        <f t="shared" si="5"/>
        <v>1286.6997556950398</v>
      </c>
      <c r="EZ13" s="33">
        <f t="shared" si="5"/>
        <v>729.28144806600721</v>
      </c>
      <c r="FA13" s="33">
        <f t="shared" si="5"/>
        <v>109.59374867034127</v>
      </c>
      <c r="FB13" s="33">
        <f t="shared" si="5"/>
        <v>870.24078926641766</v>
      </c>
      <c r="FC13" s="33">
        <f t="shared" si="5"/>
        <v>93.065228601460916</v>
      </c>
      <c r="FD13" s="33">
        <f t="shared" si="5"/>
        <v>621.84752188585355</v>
      </c>
      <c r="FE13" s="33">
        <f t="shared" si="5"/>
        <v>3501.935815475782</v>
      </c>
      <c r="FF13" s="33">
        <f t="shared" si="5"/>
        <v>632.7577800462891</v>
      </c>
      <c r="FG13" s="33">
        <f t="shared" si="5"/>
        <v>208.85737696076683</v>
      </c>
      <c r="FH13" s="33">
        <f t="shared" si="5"/>
        <v>75.763526291136387</v>
      </c>
      <c r="FI13" s="33">
        <f t="shared" si="5"/>
        <v>44.135770251210666</v>
      </c>
    </row>
    <row r="14" spans="1:175" s="32" customFormat="1" ht="15">
      <c r="B14" s="20" t="s">
        <v>173</v>
      </c>
      <c r="C14" s="33">
        <f>MEDIAN(C6:C11)</f>
        <v>2122.4320716965849</v>
      </c>
      <c r="D14" s="33">
        <f t="shared" ref="D14:BQ14" si="6">MEDIAN(D6:D11)</f>
        <v>124.78370225355746</v>
      </c>
      <c r="E14" s="33">
        <f t="shared" si="6"/>
        <v>6498.8115529915349</v>
      </c>
      <c r="F14" s="33">
        <f t="shared" si="6"/>
        <v>2520.9093376219303</v>
      </c>
      <c r="G14" s="33">
        <f t="shared" si="6"/>
        <v>155.99674992822202</v>
      </c>
      <c r="H14" s="33">
        <f t="shared" si="6"/>
        <v>195.59076347562751</v>
      </c>
      <c r="I14" s="33">
        <f t="shared" si="6"/>
        <v>158.38491179490251</v>
      </c>
      <c r="J14" s="33">
        <f t="shared" si="6"/>
        <v>14543.532308068749</v>
      </c>
      <c r="K14" s="33">
        <f t="shared" si="6"/>
        <v>8929.9300192958999</v>
      </c>
      <c r="L14" s="33">
        <f t="shared" si="6"/>
        <v>686.9882604707559</v>
      </c>
      <c r="M14" s="33">
        <f t="shared" si="6"/>
        <v>50.745485977400151</v>
      </c>
      <c r="N14" s="33">
        <f t="shared" si="6"/>
        <v>118.067629600673</v>
      </c>
      <c r="O14" s="33">
        <f t="shared" si="6"/>
        <v>42.806002476771248</v>
      </c>
      <c r="P14" s="33">
        <f t="shared" si="6"/>
        <v>34.377225817193803</v>
      </c>
      <c r="Q14" s="33">
        <f t="shared" si="6"/>
        <v>1</v>
      </c>
      <c r="R14" s="33">
        <f t="shared" si="6"/>
        <v>43.823749201994247</v>
      </c>
      <c r="S14" s="33">
        <f t="shared" si="6"/>
        <v>201.17261072741451</v>
      </c>
      <c r="T14" s="33">
        <f t="shared" si="6"/>
        <v>221.41828231564159</v>
      </c>
      <c r="U14" s="33"/>
      <c r="V14" s="33">
        <f t="shared" si="6"/>
        <v>90383.540981890546</v>
      </c>
      <c r="W14" s="33">
        <f t="shared" si="6"/>
        <v>115955.7272995165</v>
      </c>
      <c r="X14" s="33">
        <f t="shared" si="6"/>
        <v>80000.328553561907</v>
      </c>
      <c r="Y14" s="33">
        <f t="shared" si="6"/>
        <v>519.77446701403198</v>
      </c>
      <c r="Z14" s="33">
        <f t="shared" si="6"/>
        <v>3132.9084203795651</v>
      </c>
      <c r="AA14" s="33">
        <f t="shared" si="6"/>
        <v>401750.62572257349</v>
      </c>
      <c r="AB14" s="33">
        <f t="shared" si="6"/>
        <v>21516.940208421503</v>
      </c>
      <c r="AC14" s="33">
        <f t="shared" si="6"/>
        <v>212696.27756065701</v>
      </c>
      <c r="AD14" s="33">
        <f t="shared" si="6"/>
        <v>1580.933288052425</v>
      </c>
      <c r="AE14" s="33">
        <f t="shared" si="6"/>
        <v>9709.9994685708298</v>
      </c>
      <c r="AF14" s="33">
        <f t="shared" si="6"/>
        <v>26922.700174181751</v>
      </c>
      <c r="AG14" s="33">
        <f t="shared" si="6"/>
        <v>1251.599381107555</v>
      </c>
      <c r="AH14" s="33">
        <f t="shared" si="6"/>
        <v>4589.21677376148</v>
      </c>
      <c r="AI14" s="33">
        <f t="shared" si="6"/>
        <v>11504.26182872635</v>
      </c>
      <c r="AJ14" s="33">
        <f t="shared" si="6"/>
        <v>3142.8332063183052</v>
      </c>
      <c r="AK14" s="33">
        <f t="shared" si="6"/>
        <v>299.29829785546849</v>
      </c>
      <c r="AL14" s="33">
        <f t="shared" si="6"/>
        <v>307.83074497738249</v>
      </c>
      <c r="AM14" s="33">
        <f t="shared" si="6"/>
        <v>7004.4197118860557</v>
      </c>
      <c r="AN14" s="33">
        <f t="shared" si="6"/>
        <v>3536.4174821681049</v>
      </c>
      <c r="AO14" s="33">
        <f t="shared" si="6"/>
        <v>262.426351223209</v>
      </c>
      <c r="AP14" s="33">
        <f t="shared" si="6"/>
        <v>628.77058940072402</v>
      </c>
      <c r="AQ14" s="33">
        <f t="shared" si="6"/>
        <v>666.85949366867703</v>
      </c>
      <c r="AR14" s="33">
        <f t="shared" si="6"/>
        <v>1760.2480408466699</v>
      </c>
      <c r="AS14" s="33">
        <f t="shared" si="6"/>
        <v>13827.9378613392</v>
      </c>
      <c r="AT14" s="33">
        <f t="shared" si="6"/>
        <v>7582.1306809728003</v>
      </c>
      <c r="AU14" s="33"/>
      <c r="AV14" s="33">
        <f t="shared" si="6"/>
        <v>178.18657082552448</v>
      </c>
      <c r="AW14" s="33">
        <f t="shared" si="6"/>
        <v>3612.8190973171249</v>
      </c>
      <c r="AX14" s="33">
        <f t="shared" si="6"/>
        <v>1014.123592954995</v>
      </c>
      <c r="AY14" s="33">
        <f t="shared" si="6"/>
        <v>702.09373206608893</v>
      </c>
      <c r="AZ14" s="33">
        <f t="shared" si="6"/>
        <v>226.62969418596902</v>
      </c>
      <c r="BA14" s="33">
        <f t="shared" si="6"/>
        <v>12876.187678671751</v>
      </c>
      <c r="BB14" s="33">
        <f t="shared" si="6"/>
        <v>131827.9631306355</v>
      </c>
      <c r="BC14" s="33">
        <f t="shared" si="6"/>
        <v>99634.604081475845</v>
      </c>
      <c r="BD14" s="33">
        <f t="shared" si="6"/>
        <v>11375.507421634</v>
      </c>
      <c r="BE14" s="33">
        <f t="shared" si="6"/>
        <v>1982.1865154669349</v>
      </c>
      <c r="BF14" s="33">
        <f t="shared" si="6"/>
        <v>12279.022664768101</v>
      </c>
      <c r="BG14" s="33">
        <f t="shared" si="6"/>
        <v>10637.770538039949</v>
      </c>
      <c r="BH14" s="33">
        <f t="shared" si="6"/>
        <v>20107.820881956548</v>
      </c>
      <c r="BI14" s="33">
        <f t="shared" si="6"/>
        <v>14434.76021775355</v>
      </c>
      <c r="BJ14" s="33">
        <f t="shared" si="6"/>
        <v>497399.77535715001</v>
      </c>
      <c r="BK14" s="33">
        <f t="shared" si="6"/>
        <v>386244.25326342101</v>
      </c>
      <c r="BL14" s="33">
        <f t="shared" si="6"/>
        <v>88070.357672500701</v>
      </c>
      <c r="BM14" s="33">
        <f t="shared" si="6"/>
        <v>65873.921413523101</v>
      </c>
      <c r="BN14" s="33">
        <f t="shared" si="6"/>
        <v>8945.1443830428452</v>
      </c>
      <c r="BO14" s="33">
        <f t="shared" si="6"/>
        <v>3537.6606803527202</v>
      </c>
      <c r="BP14" s="33">
        <f t="shared" si="6"/>
        <v>4737.6640997751701</v>
      </c>
      <c r="BQ14" s="33">
        <f t="shared" si="6"/>
        <v>2809.3753269706399</v>
      </c>
      <c r="BR14" s="33">
        <f t="shared" ref="BR14:ED14" si="7">MEDIAN(BR6:BR11)</f>
        <v>13141.69410550765</v>
      </c>
      <c r="BS14" s="33">
        <f t="shared" si="7"/>
        <v>13318.300211948499</v>
      </c>
      <c r="BT14" s="33">
        <f t="shared" si="7"/>
        <v>10764.300838603351</v>
      </c>
      <c r="BU14" s="33">
        <f t="shared" si="7"/>
        <v>3597.9395115592197</v>
      </c>
      <c r="BV14" s="33">
        <f t="shared" si="7"/>
        <v>13601.65902973895</v>
      </c>
      <c r="BW14" s="33">
        <f t="shared" si="7"/>
        <v>22630.104777929701</v>
      </c>
      <c r="BX14" s="33">
        <f t="shared" si="7"/>
        <v>109874.4921658775</v>
      </c>
      <c r="BY14" s="33">
        <f t="shared" si="7"/>
        <v>343731.58279617352</v>
      </c>
      <c r="BZ14" s="33">
        <f t="shared" si="7"/>
        <v>74543.839104220548</v>
      </c>
      <c r="CA14" s="33">
        <f t="shared" si="7"/>
        <v>23610.758711976901</v>
      </c>
      <c r="CB14" s="33">
        <f t="shared" si="7"/>
        <v>7748.0204243714306</v>
      </c>
      <c r="CC14" s="33">
        <f t="shared" si="7"/>
        <v>6434.1986849529458</v>
      </c>
      <c r="CD14" s="33">
        <f t="shared" si="7"/>
        <v>39111.8159533039</v>
      </c>
      <c r="CE14" s="33">
        <f t="shared" si="7"/>
        <v>46157.978323369796</v>
      </c>
      <c r="CF14" s="33">
        <f t="shared" si="7"/>
        <v>34619.001508676301</v>
      </c>
      <c r="CG14" s="33">
        <f t="shared" si="7"/>
        <v>601.3136872595046</v>
      </c>
      <c r="CH14" s="33">
        <f t="shared" si="7"/>
        <v>130.30864340866898</v>
      </c>
      <c r="CI14" s="33">
        <f t="shared" si="7"/>
        <v>112.483963501319</v>
      </c>
      <c r="CJ14" s="33">
        <f t="shared" si="7"/>
        <v>398.31256310530102</v>
      </c>
      <c r="CK14" s="33">
        <f t="shared" si="7"/>
        <v>1297.9434912801448</v>
      </c>
      <c r="CL14" s="33">
        <f t="shared" si="7"/>
        <v>233.65884328102851</v>
      </c>
      <c r="CM14" s="33">
        <f t="shared" si="7"/>
        <v>1787.7240007488549</v>
      </c>
      <c r="CN14" s="33">
        <f t="shared" si="7"/>
        <v>152.84924486866299</v>
      </c>
      <c r="CO14" s="33">
        <f t="shared" si="7"/>
        <v>110.13635864642501</v>
      </c>
      <c r="CP14" s="33"/>
      <c r="CQ14" s="33">
        <f t="shared" si="7"/>
        <v>380.72072551604049</v>
      </c>
      <c r="CR14" s="33">
        <f t="shared" si="7"/>
        <v>186.82137865102101</v>
      </c>
      <c r="CS14" s="33">
        <f t="shared" si="7"/>
        <v>243.7778754180145</v>
      </c>
      <c r="CT14" s="33">
        <f t="shared" si="7"/>
        <v>124.8502242505435</v>
      </c>
      <c r="CU14" s="33">
        <f t="shared" si="7"/>
        <v>22.398764529262898</v>
      </c>
      <c r="CV14" s="33">
        <f t="shared" si="7"/>
        <v>38.481817801508697</v>
      </c>
      <c r="CW14" s="33">
        <f t="shared" si="7"/>
        <v>2371.09825349517</v>
      </c>
      <c r="CX14" s="33">
        <f t="shared" si="7"/>
        <v>10167.59165695505</v>
      </c>
      <c r="CY14" s="33">
        <f t="shared" si="7"/>
        <v>92.99377976247635</v>
      </c>
      <c r="CZ14" s="33">
        <f t="shared" si="7"/>
        <v>625.45153022872455</v>
      </c>
      <c r="DA14" s="33">
        <f t="shared" si="7"/>
        <v>892.89427139161296</v>
      </c>
      <c r="DB14" s="33">
        <f t="shared" si="7"/>
        <v>4783.5321036376845</v>
      </c>
      <c r="DC14" s="33">
        <f t="shared" si="7"/>
        <v>429.24226154774146</v>
      </c>
      <c r="DD14" s="33">
        <f t="shared" si="7"/>
        <v>715.03412593823998</v>
      </c>
      <c r="DE14" s="33">
        <f t="shared" si="7"/>
        <v>11932.5231806189</v>
      </c>
      <c r="DF14" s="33">
        <f t="shared" si="7"/>
        <v>14644.225272043899</v>
      </c>
      <c r="DG14" s="33">
        <f t="shared" si="7"/>
        <v>645.75571176509357</v>
      </c>
      <c r="DH14" s="33">
        <f t="shared" si="7"/>
        <v>85.38653958612079</v>
      </c>
      <c r="DI14" s="33">
        <f t="shared" si="7"/>
        <v>96.691124498558708</v>
      </c>
      <c r="DJ14" s="33">
        <f t="shared" si="7"/>
        <v>355.38624095283546</v>
      </c>
      <c r="DK14" s="33">
        <f t="shared" si="7"/>
        <v>784.78978504687905</v>
      </c>
      <c r="DL14" s="33">
        <f t="shared" si="7"/>
        <v>1028.9532865727933</v>
      </c>
      <c r="DM14" s="33">
        <f t="shared" si="7"/>
        <v>2110.7386546429952</v>
      </c>
      <c r="DN14" s="33">
        <f t="shared" si="7"/>
        <v>797.99510225480753</v>
      </c>
      <c r="DO14" s="33">
        <f t="shared" si="7"/>
        <v>8978.6700112605104</v>
      </c>
      <c r="DP14" s="33">
        <f t="shared" si="7"/>
        <v>4651.678027085989</v>
      </c>
      <c r="DQ14" s="33">
        <f t="shared" si="7"/>
        <v>4705.5052492124651</v>
      </c>
      <c r="DR14" s="33">
        <f t="shared" si="7"/>
        <v>3913.4308866645997</v>
      </c>
      <c r="DS14" s="33">
        <f t="shared" si="7"/>
        <v>238.08647890422677</v>
      </c>
      <c r="DT14" s="33">
        <f t="shared" si="7"/>
        <v>75.401431379463602</v>
      </c>
      <c r="DU14" s="33">
        <f t="shared" si="7"/>
        <v>1159.26355234224</v>
      </c>
      <c r="DV14" s="33">
        <f t="shared" si="7"/>
        <v>211.92683146026047</v>
      </c>
      <c r="DW14" s="33">
        <f t="shared" si="7"/>
        <v>91.438976099533548</v>
      </c>
      <c r="DX14" s="33">
        <f t="shared" si="7"/>
        <v>159.09116947343159</v>
      </c>
      <c r="DY14" s="33">
        <f t="shared" si="7"/>
        <v>345.07426752437999</v>
      </c>
      <c r="DZ14" s="33">
        <f t="shared" si="7"/>
        <v>493.68560107323151</v>
      </c>
      <c r="EA14" s="33">
        <f t="shared" si="7"/>
        <v>220.48130766596699</v>
      </c>
      <c r="EB14" s="33">
        <f t="shared" si="7"/>
        <v>29.124814709929101</v>
      </c>
      <c r="EC14" s="33">
        <f t="shared" si="7"/>
        <v>716.50710042339449</v>
      </c>
      <c r="ED14" s="33">
        <f t="shared" si="7"/>
        <v>2187.6328627969197</v>
      </c>
      <c r="EE14" s="33">
        <f t="shared" ref="EE14:FI14" si="8">MEDIAN(EE6:EE11)</f>
        <v>1164.7763686000749</v>
      </c>
      <c r="EF14" s="33">
        <f t="shared" si="8"/>
        <v>2236.9314834617699</v>
      </c>
      <c r="EG14" s="33">
        <f t="shared" si="8"/>
        <v>1448.609313137865</v>
      </c>
      <c r="EH14" s="33">
        <f t="shared" si="8"/>
        <v>560.06387795138801</v>
      </c>
      <c r="EI14" s="33">
        <f t="shared" si="8"/>
        <v>156.82281446341901</v>
      </c>
      <c r="EJ14" s="33">
        <f t="shared" si="8"/>
        <v>96.458372003652158</v>
      </c>
      <c r="EK14" s="33">
        <f t="shared" si="8"/>
        <v>186.42243924910551</v>
      </c>
      <c r="EL14" s="33">
        <f t="shared" si="8"/>
        <v>56.705248529231952</v>
      </c>
      <c r="EM14" s="33">
        <f t="shared" si="8"/>
        <v>143.380690691902</v>
      </c>
      <c r="EN14" s="33">
        <f t="shared" si="8"/>
        <v>200.21768778659799</v>
      </c>
      <c r="EO14" s="33">
        <f t="shared" si="8"/>
        <v>96.205059300079398</v>
      </c>
      <c r="EP14" s="33"/>
      <c r="EQ14" s="33">
        <f t="shared" si="8"/>
        <v>1149.0736856521598</v>
      </c>
      <c r="ER14" s="33">
        <f t="shared" si="8"/>
        <v>15569.540783765649</v>
      </c>
      <c r="ES14" s="33">
        <f t="shared" si="8"/>
        <v>4341.2260644345351</v>
      </c>
      <c r="ET14" s="33">
        <f t="shared" si="8"/>
        <v>51.502272992299901</v>
      </c>
      <c r="EU14" s="33">
        <f t="shared" si="8"/>
        <v>331.76007774931099</v>
      </c>
      <c r="EV14" s="33">
        <f t="shared" si="8"/>
        <v>87.821756265782653</v>
      </c>
      <c r="EW14" s="33">
        <f t="shared" si="8"/>
        <v>337.1458883640305</v>
      </c>
      <c r="EX14" s="33">
        <f t="shared" si="8"/>
        <v>1504.54984625408</v>
      </c>
      <c r="EY14" s="33">
        <f t="shared" si="8"/>
        <v>3726.0791438480946</v>
      </c>
      <c r="EZ14" s="33">
        <f t="shared" si="8"/>
        <v>1353.4409244958349</v>
      </c>
      <c r="FA14" s="33">
        <f t="shared" si="8"/>
        <v>192.457757844517</v>
      </c>
      <c r="FB14" s="33">
        <f t="shared" si="8"/>
        <v>2040.7315444411452</v>
      </c>
      <c r="FC14" s="33">
        <f t="shared" si="8"/>
        <v>115.2593905475417</v>
      </c>
      <c r="FD14" s="33">
        <f t="shared" si="8"/>
        <v>2838.2117829410499</v>
      </c>
      <c r="FE14" s="33">
        <f t="shared" si="8"/>
        <v>10167.59165695505</v>
      </c>
      <c r="FF14" s="33">
        <f t="shared" si="8"/>
        <v>1021.7749443341045</v>
      </c>
      <c r="FG14" s="33">
        <f t="shared" si="8"/>
        <v>556.15461473640357</v>
      </c>
      <c r="FH14" s="33">
        <f t="shared" si="8"/>
        <v>54.6431215820555</v>
      </c>
      <c r="FI14" s="33">
        <f t="shared" si="8"/>
        <v>136.49303831080999</v>
      </c>
    </row>
    <row r="16" spans="1:175" ht="15">
      <c r="A16" s="17" t="s">
        <v>188</v>
      </c>
      <c r="B16" s="22"/>
    </row>
    <row r="17" spans="1:166" s="32" customFormat="1" ht="15">
      <c r="A17" s="9" t="s">
        <v>246</v>
      </c>
      <c r="B17" s="160" t="s">
        <v>186</v>
      </c>
      <c r="C17" s="164">
        <v>1520.4624336023501</v>
      </c>
      <c r="D17" s="164">
        <v>98.853006416023007</v>
      </c>
      <c r="E17" s="164">
        <v>4261.54023430901</v>
      </c>
      <c r="F17" s="164">
        <v>1876.3131057282001</v>
      </c>
      <c r="G17" s="164">
        <v>513.83753965895801</v>
      </c>
      <c r="H17" s="164">
        <v>447.334744033493</v>
      </c>
      <c r="I17" s="164">
        <v>470.27030355644098</v>
      </c>
      <c r="J17" s="164">
        <v>10515.5289810016</v>
      </c>
      <c r="K17" s="164">
        <v>4709.4717601796701</v>
      </c>
      <c r="L17" s="164">
        <v>575.93161132981902</v>
      </c>
      <c r="M17" s="164">
        <v>45.336883648725397</v>
      </c>
      <c r="N17" s="164">
        <v>132.31610094241799</v>
      </c>
      <c r="O17" s="164">
        <v>30.6123725506448</v>
      </c>
      <c r="P17" s="164">
        <v>41.488673936794903</v>
      </c>
      <c r="Q17" s="164">
        <v>1</v>
      </c>
      <c r="R17" s="164">
        <v>35.496079259546001</v>
      </c>
      <c r="S17" s="164">
        <v>92.217666988337797</v>
      </c>
      <c r="T17" s="164">
        <v>65.662313426542298</v>
      </c>
      <c r="U17" s="164"/>
      <c r="V17" s="164">
        <v>116245.82607714699</v>
      </c>
      <c r="W17" s="164">
        <v>148297.75545985499</v>
      </c>
      <c r="X17" s="164">
        <v>159712.56001839001</v>
      </c>
      <c r="Y17" s="164">
        <v>270.05652179695397</v>
      </c>
      <c r="Z17" s="164">
        <v>6363.1934439715997</v>
      </c>
      <c r="AA17" s="164">
        <v>825465.12128487299</v>
      </c>
      <c r="AB17" s="164">
        <v>15429.427090090599</v>
      </c>
      <c r="AC17" s="164">
        <v>145906.99362854299</v>
      </c>
      <c r="AD17" s="164">
        <v>7291.7762417414096</v>
      </c>
      <c r="AE17" s="164">
        <v>31772.821559287098</v>
      </c>
      <c r="AF17" s="164">
        <v>74095.598763866001</v>
      </c>
      <c r="AG17" s="164">
        <v>1993.5178981004699</v>
      </c>
      <c r="AH17" s="164">
        <v>5991.5098712736599</v>
      </c>
      <c r="AI17" s="164">
        <v>25388.003045581299</v>
      </c>
      <c r="AJ17" s="164">
        <v>7836.5815189163404</v>
      </c>
      <c r="AK17" s="164">
        <v>620.54588510843098</v>
      </c>
      <c r="AL17" s="164">
        <v>508.95755070610301</v>
      </c>
      <c r="AM17" s="164">
        <v>17453.969315450398</v>
      </c>
      <c r="AN17" s="164">
        <v>13130.765064291199</v>
      </c>
      <c r="AO17" s="164">
        <v>340.60829969228598</v>
      </c>
      <c r="AP17" s="164">
        <v>1393.61441058986</v>
      </c>
      <c r="AQ17" s="164">
        <v>1563.62298155128</v>
      </c>
      <c r="AR17" s="164">
        <v>2719.1184452053399</v>
      </c>
      <c r="AS17" s="164">
        <v>12689.569351026001</v>
      </c>
      <c r="AT17" s="164">
        <v>4551.8203901407596</v>
      </c>
      <c r="AU17" s="164"/>
      <c r="AV17" s="164">
        <v>53.220987581764398</v>
      </c>
      <c r="AW17" s="164">
        <v>3419.7136119237398</v>
      </c>
      <c r="AX17" s="164">
        <v>900.72546658547799</v>
      </c>
      <c r="AY17" s="164">
        <v>342.759631668189</v>
      </c>
      <c r="AZ17" s="164">
        <v>405.19182698550202</v>
      </c>
      <c r="BA17" s="164">
        <v>4026.3472747952901</v>
      </c>
      <c r="BB17" s="164">
        <v>109187.22329886199</v>
      </c>
      <c r="BC17" s="164">
        <v>65149.58995881</v>
      </c>
      <c r="BD17" s="164">
        <v>6364.5525718377403</v>
      </c>
      <c r="BE17" s="164">
        <v>3236.6990398462299</v>
      </c>
      <c r="BF17" s="164">
        <v>14124.818945462999</v>
      </c>
      <c r="BG17" s="164">
        <v>10031.816812266699</v>
      </c>
      <c r="BH17" s="164">
        <v>14007.4288511793</v>
      </c>
      <c r="BI17" s="164">
        <v>8606.2676450416402</v>
      </c>
      <c r="BJ17" s="164">
        <v>397227.87295836501</v>
      </c>
      <c r="BK17" s="164">
        <v>328269.944655967</v>
      </c>
      <c r="BL17" s="164">
        <v>66324.495192235001</v>
      </c>
      <c r="BM17" s="164">
        <v>48900.215917064299</v>
      </c>
      <c r="BN17" s="164">
        <v>8040.7432376217203</v>
      </c>
      <c r="BO17" s="164">
        <v>5332.8140561774599</v>
      </c>
      <c r="BP17" s="164">
        <v>3809.3763943993999</v>
      </c>
      <c r="BQ17" s="164">
        <v>2677.0618161480702</v>
      </c>
      <c r="BR17" s="164">
        <v>12215.9776018377</v>
      </c>
      <c r="BS17" s="164">
        <v>18976.554827636301</v>
      </c>
      <c r="BT17" s="164">
        <v>18176.795191195699</v>
      </c>
      <c r="BU17" s="164">
        <v>5999.8751747940596</v>
      </c>
      <c r="BV17" s="164">
        <v>18119.558306001902</v>
      </c>
      <c r="BW17" s="164">
        <v>26112.604811648602</v>
      </c>
      <c r="BX17" s="164">
        <v>105960.941828917</v>
      </c>
      <c r="BY17" s="164">
        <v>333852.04434587201</v>
      </c>
      <c r="BZ17" s="164">
        <v>82463.362816840905</v>
      </c>
      <c r="CA17" s="164">
        <v>24420.450585426501</v>
      </c>
      <c r="CB17" s="164">
        <v>11426.223061643501</v>
      </c>
      <c r="CC17" s="164">
        <v>10172.6519437811</v>
      </c>
      <c r="CD17" s="164">
        <v>34761.894998809999</v>
      </c>
      <c r="CE17" s="164">
        <v>50534.963411732599</v>
      </c>
      <c r="CF17" s="164">
        <v>47574.684240930997</v>
      </c>
      <c r="CG17" s="164">
        <v>307.057769601411</v>
      </c>
      <c r="CH17" s="164">
        <v>92.878475421083294</v>
      </c>
      <c r="CI17" s="164">
        <v>56.615472398304803</v>
      </c>
      <c r="CJ17" s="164">
        <v>751.53905234131696</v>
      </c>
      <c r="CK17" s="164">
        <v>1468.39087865428</v>
      </c>
      <c r="CL17" s="164">
        <v>238.101140740777</v>
      </c>
      <c r="CM17" s="164">
        <v>1433.57187386891</v>
      </c>
      <c r="CN17" s="164">
        <v>74.248359424989701</v>
      </c>
      <c r="CO17" s="164">
        <v>94.325478524967707</v>
      </c>
      <c r="CP17" s="164"/>
      <c r="CQ17" s="165">
        <v>474.20190573565498</v>
      </c>
      <c r="CR17" s="165">
        <v>249.02446431714901</v>
      </c>
      <c r="CS17" s="165">
        <v>216.00187843332699</v>
      </c>
      <c r="CT17" s="165">
        <v>88.675222787901404</v>
      </c>
      <c r="CU17" s="165">
        <v>0</v>
      </c>
      <c r="CV17" s="165">
        <v>32.697784711852101</v>
      </c>
      <c r="CW17" s="165">
        <v>4161.0989449723602</v>
      </c>
      <c r="CX17" s="165">
        <v>16904.343745221799</v>
      </c>
      <c r="CY17" s="165">
        <v>350.47815416008598</v>
      </c>
      <c r="CZ17" s="165">
        <v>852.113164223995</v>
      </c>
      <c r="DA17" s="165">
        <v>417.68192066025</v>
      </c>
      <c r="DB17" s="165">
        <v>4084.2241587056601</v>
      </c>
      <c r="DC17" s="165">
        <v>223.44913958908799</v>
      </c>
      <c r="DD17" s="165">
        <v>1176.2140979993901</v>
      </c>
      <c r="DE17" s="165">
        <v>13251.2955297464</v>
      </c>
      <c r="DF17" s="165">
        <v>18024.5034450485</v>
      </c>
      <c r="DG17" s="165">
        <v>1219.4563061404001</v>
      </c>
      <c r="DH17" s="165">
        <v>183.78262968755101</v>
      </c>
      <c r="DI17" s="165">
        <v>38.374594140939202</v>
      </c>
      <c r="DJ17" s="165">
        <v>430.42526202788798</v>
      </c>
      <c r="DK17" s="165">
        <v>596.97136220801701</v>
      </c>
      <c r="DL17" s="165">
        <v>384.48124971939501</v>
      </c>
      <c r="DM17" s="165">
        <v>1989.9830382820801</v>
      </c>
      <c r="DN17" s="165">
        <v>739.731777591737</v>
      </c>
      <c r="DO17" s="165">
        <v>9595.4403787861993</v>
      </c>
      <c r="DP17" s="165">
        <v>11078.4186311249</v>
      </c>
      <c r="DQ17" s="165">
        <v>4901.9386978988696</v>
      </c>
      <c r="DR17" s="165">
        <v>6133.6845000445001</v>
      </c>
      <c r="DS17" s="165">
        <v>1056.93105148473</v>
      </c>
      <c r="DT17" s="165">
        <v>169.86350299227601</v>
      </c>
      <c r="DU17" s="165">
        <v>1684.07537218523</v>
      </c>
      <c r="DV17" s="165">
        <v>716.41391535642799</v>
      </c>
      <c r="DW17" s="165">
        <v>207.20367356242201</v>
      </c>
      <c r="DX17" s="165">
        <v>383.38031864371197</v>
      </c>
      <c r="DY17" s="165">
        <v>810.64435464374799</v>
      </c>
      <c r="DZ17" s="165">
        <v>1277.5501838548901</v>
      </c>
      <c r="EA17" s="165">
        <v>642.36092191271905</v>
      </c>
      <c r="EB17" s="165">
        <v>50.216373402669397</v>
      </c>
      <c r="EC17" s="165">
        <v>876.07184316264704</v>
      </c>
      <c r="ED17" s="165">
        <v>2883.5522739777398</v>
      </c>
      <c r="EE17" s="165">
        <v>1761.4417610995099</v>
      </c>
      <c r="EF17" s="165">
        <v>3148.9900250626602</v>
      </c>
      <c r="EG17" s="165">
        <v>2300.8009047334999</v>
      </c>
      <c r="EH17" s="165">
        <v>797.95644333357097</v>
      </c>
      <c r="EI17" s="165">
        <v>224.733824712065</v>
      </c>
      <c r="EJ17" s="165">
        <v>131.53786842792101</v>
      </c>
      <c r="EK17" s="165">
        <v>423.21948575249201</v>
      </c>
      <c r="EL17" s="165">
        <v>58.364736828089001</v>
      </c>
      <c r="EM17" s="165">
        <v>275.52200065489598</v>
      </c>
      <c r="EN17" s="165">
        <v>335.50226561795898</v>
      </c>
      <c r="EO17" s="165">
        <v>503.35230062851599</v>
      </c>
      <c r="EP17" s="165"/>
      <c r="EQ17" s="165">
        <v>1249.41242322014</v>
      </c>
      <c r="ER17" s="165">
        <v>19328.478009799699</v>
      </c>
      <c r="ES17" s="165">
        <v>4804.8129763663401</v>
      </c>
      <c r="ET17" s="165">
        <v>46.654376658175103</v>
      </c>
      <c r="EU17" s="165">
        <v>731.39683910766598</v>
      </c>
      <c r="EV17" s="165">
        <v>186.23385415918801</v>
      </c>
      <c r="EW17" s="165">
        <v>685.04184257206396</v>
      </c>
      <c r="EX17" s="165">
        <v>1649.40906104744</v>
      </c>
      <c r="EY17" s="165">
        <v>5738.3848254610502</v>
      </c>
      <c r="EZ17" s="165">
        <v>2351.7058890537801</v>
      </c>
      <c r="FA17" s="165">
        <v>358.43803464747299</v>
      </c>
      <c r="FB17" s="165">
        <v>3393.59950163847</v>
      </c>
      <c r="FC17" s="165">
        <v>163.149649175316</v>
      </c>
      <c r="FD17" s="165">
        <v>3153.4035003455201</v>
      </c>
      <c r="FE17" s="165">
        <v>16904.343745221799</v>
      </c>
      <c r="FF17" s="165">
        <v>2731.2138778173799</v>
      </c>
      <c r="FG17" s="165">
        <v>1039.03108772155</v>
      </c>
      <c r="FH17" s="165">
        <v>217.04514842250799</v>
      </c>
      <c r="FI17" s="165">
        <v>486.091985001767</v>
      </c>
      <c r="FJ17" s="166"/>
    </row>
    <row r="18" spans="1:166" s="32" customFormat="1" ht="15">
      <c r="A18" s="9" t="s">
        <v>220</v>
      </c>
      <c r="B18" s="162" t="s">
        <v>187</v>
      </c>
      <c r="C18" s="164">
        <v>1250.1034078897801</v>
      </c>
      <c r="D18" s="164">
        <v>265.57626955322201</v>
      </c>
      <c r="E18" s="164">
        <v>3609.5838174038499</v>
      </c>
      <c r="F18" s="164">
        <v>3891.4518088978598</v>
      </c>
      <c r="G18" s="164">
        <v>153.377749665788</v>
      </c>
      <c r="H18" s="164">
        <v>169.056405933874</v>
      </c>
      <c r="I18" s="164">
        <v>266.19122374113198</v>
      </c>
      <c r="J18" s="164">
        <v>9178.9874202609699</v>
      </c>
      <c r="K18" s="164">
        <v>4714.5271460777803</v>
      </c>
      <c r="L18" s="164">
        <v>668.70487660906804</v>
      </c>
      <c r="M18" s="164">
        <v>49.343538530871598</v>
      </c>
      <c r="N18" s="164">
        <v>1</v>
      </c>
      <c r="O18" s="164">
        <v>1</v>
      </c>
      <c r="P18" s="164">
        <v>45.951565114885099</v>
      </c>
      <c r="Q18" s="164">
        <v>36.582344263019401</v>
      </c>
      <c r="R18" s="164">
        <v>100.946125000031</v>
      </c>
      <c r="S18" s="164">
        <v>42.471399861184302</v>
      </c>
      <c r="T18" s="164">
        <v>532.48648415212199</v>
      </c>
      <c r="U18" s="164"/>
      <c r="V18" s="164">
        <v>60882.728544490303</v>
      </c>
      <c r="W18" s="164">
        <v>113602.905004865</v>
      </c>
      <c r="X18" s="164">
        <v>165417.90635591399</v>
      </c>
      <c r="Y18" s="164">
        <v>90.442922299904396</v>
      </c>
      <c r="Z18" s="164">
        <v>1680.6813849534601</v>
      </c>
      <c r="AA18" s="164">
        <v>1522622.69361795</v>
      </c>
      <c r="AB18" s="164">
        <v>26559.647982788101</v>
      </c>
      <c r="AC18" s="164">
        <v>93756.678482034404</v>
      </c>
      <c r="AD18" s="164">
        <v>5497.5643684382603</v>
      </c>
      <c r="AE18" s="164">
        <v>41021.207383863599</v>
      </c>
      <c r="AF18" s="164">
        <v>69666.657077355499</v>
      </c>
      <c r="AG18" s="164">
        <v>1490.9099682452099</v>
      </c>
      <c r="AH18" s="164">
        <v>4045.8100768024801</v>
      </c>
      <c r="AI18" s="164">
        <v>3921.0152684028699</v>
      </c>
      <c r="AJ18" s="164">
        <v>779.63266710220603</v>
      </c>
      <c r="AK18" s="164">
        <v>642.90816697196601</v>
      </c>
      <c r="AL18" s="164">
        <v>264.01012992076198</v>
      </c>
      <c r="AM18" s="164">
        <v>2653.8251218385499</v>
      </c>
      <c r="AN18" s="164">
        <v>5700.0638950857201</v>
      </c>
      <c r="AO18" s="164">
        <v>37.042804916469798</v>
      </c>
      <c r="AP18" s="164">
        <v>888.82406819865901</v>
      </c>
      <c r="AQ18" s="164">
        <v>865.58212818588197</v>
      </c>
      <c r="AR18" s="164">
        <v>1977.27215310815</v>
      </c>
      <c r="AS18" s="164">
        <v>20568.092014239501</v>
      </c>
      <c r="AT18" s="164">
        <v>697.67151752526297</v>
      </c>
      <c r="AU18" s="164"/>
      <c r="AV18" s="164">
        <v>68.734527144541701</v>
      </c>
      <c r="AW18" s="164">
        <v>2880.75041113102</v>
      </c>
      <c r="AX18" s="164">
        <v>814.103996298673</v>
      </c>
      <c r="AY18" s="164">
        <v>387.55235791683901</v>
      </c>
      <c r="AZ18" s="164">
        <v>50.449796568927702</v>
      </c>
      <c r="BA18" s="164">
        <v>3584.63009982022</v>
      </c>
      <c r="BB18" s="164">
        <v>94546.665669823793</v>
      </c>
      <c r="BC18" s="164">
        <v>34867.921211146997</v>
      </c>
      <c r="BD18" s="164">
        <v>1230.20619217073</v>
      </c>
      <c r="BE18" s="164">
        <v>2587.7117647134501</v>
      </c>
      <c r="BF18" s="164">
        <v>5084.1700451428496</v>
      </c>
      <c r="BG18" s="164">
        <v>11422.980879328599</v>
      </c>
      <c r="BH18" s="164">
        <v>8839.7420543948101</v>
      </c>
      <c r="BI18" s="164">
        <v>6583.63862344668</v>
      </c>
      <c r="BJ18" s="164">
        <v>443022.72974607401</v>
      </c>
      <c r="BK18" s="164">
        <v>217900.488646023</v>
      </c>
      <c r="BL18" s="164">
        <v>47472.8124347712</v>
      </c>
      <c r="BM18" s="164">
        <v>24712.049410040599</v>
      </c>
      <c r="BN18" s="164">
        <v>2184.30869231306</v>
      </c>
      <c r="BO18" s="164">
        <v>8810.3360260255704</v>
      </c>
      <c r="BP18" s="164">
        <v>4873.50651318767</v>
      </c>
      <c r="BQ18" s="164">
        <v>2962.7854969921</v>
      </c>
      <c r="BR18" s="164">
        <v>10042.5041564605</v>
      </c>
      <c r="BS18" s="164">
        <v>9670.6277916371091</v>
      </c>
      <c r="BT18" s="164">
        <v>2661.4420757256098</v>
      </c>
      <c r="BU18" s="164">
        <v>4720.7730091732301</v>
      </c>
      <c r="BV18" s="164">
        <v>24476.351976981499</v>
      </c>
      <c r="BW18" s="164">
        <v>46479.000096960801</v>
      </c>
      <c r="BX18" s="164">
        <v>66435.4290571686</v>
      </c>
      <c r="BY18" s="164">
        <v>184229.91414774599</v>
      </c>
      <c r="BZ18" s="164">
        <v>45702.591119798999</v>
      </c>
      <c r="CA18" s="164">
        <v>10018.0466100717</v>
      </c>
      <c r="CB18" s="164">
        <v>8728.4769466368198</v>
      </c>
      <c r="CC18" s="164">
        <v>5660.3154386053902</v>
      </c>
      <c r="CD18" s="164">
        <v>46639.860284209499</v>
      </c>
      <c r="CE18" s="164">
        <v>34472.485586362498</v>
      </c>
      <c r="CF18" s="164">
        <v>23002.153636560899</v>
      </c>
      <c r="CG18" s="164">
        <v>665.262266496405</v>
      </c>
      <c r="CH18" s="164">
        <v>73.577959292849698</v>
      </c>
      <c r="CI18" s="164">
        <f t="shared" ref="CI18" si="9">SUM(AV18:CH18)</f>
        <v>1448567.086754364</v>
      </c>
      <c r="CJ18" s="167">
        <v>1</v>
      </c>
      <c r="CK18" s="167">
        <v>1</v>
      </c>
      <c r="CL18" s="164">
        <v>159.85505738263799</v>
      </c>
      <c r="CM18" s="164">
        <v>322.19007189506101</v>
      </c>
      <c r="CN18" s="164">
        <v>73.668380067231297</v>
      </c>
      <c r="CO18" s="164">
        <v>165.84358016135599</v>
      </c>
      <c r="CP18" s="164"/>
      <c r="CQ18" s="165">
        <v>184.228900691012</v>
      </c>
      <c r="CR18" s="165">
        <v>191.11233494026101</v>
      </c>
      <c r="CS18" s="165">
        <v>268.10415774170502</v>
      </c>
      <c r="CT18" s="165">
        <v>61.906584881247298</v>
      </c>
      <c r="CU18" s="165">
        <v>19.355383627089701</v>
      </c>
      <c r="CV18" s="165">
        <v>34.4631685843366</v>
      </c>
      <c r="CW18" s="165">
        <v>4107.8696796067998</v>
      </c>
      <c r="CX18" s="165">
        <v>24463.513270988999</v>
      </c>
      <c r="CY18" s="165">
        <v>79.8362402125898</v>
      </c>
      <c r="CZ18" s="165">
        <v>841.23886732672702</v>
      </c>
      <c r="DA18" s="165">
        <v>1044.7258196228099</v>
      </c>
      <c r="DB18" s="165">
        <v>3459.6182264086601</v>
      </c>
      <c r="DC18" s="165">
        <v>312.59058697225203</v>
      </c>
      <c r="DD18" s="165">
        <v>790.01910128984196</v>
      </c>
      <c r="DE18" s="165">
        <v>14665.4219412283</v>
      </c>
      <c r="DF18" s="165">
        <v>16884.851690059299</v>
      </c>
      <c r="DG18" s="165">
        <v>171.006966857447</v>
      </c>
      <c r="DH18" s="165">
        <v>110.47647473486499</v>
      </c>
      <c r="DI18" s="165">
        <v>44.934979019976197</v>
      </c>
      <c r="DJ18" s="165">
        <v>429.62856464226201</v>
      </c>
      <c r="DK18" s="165">
        <v>857.37103910334497</v>
      </c>
      <c r="DL18" s="165">
        <v>532.86698241277998</v>
      </c>
      <c r="DM18" s="165">
        <v>2045.97971540098</v>
      </c>
      <c r="DN18" s="165">
        <v>791.54821130949801</v>
      </c>
      <c r="DO18" s="165">
        <v>9141.0127182773304</v>
      </c>
      <c r="DP18" s="165">
        <v>10304.1767010203</v>
      </c>
      <c r="DQ18" s="165">
        <v>6003.5107240709704</v>
      </c>
      <c r="DR18" s="165">
        <v>4347.2354170383196</v>
      </c>
      <c r="DS18" s="165">
        <v>913.13786893990198</v>
      </c>
      <c r="DT18" s="165">
        <v>118.227640920326</v>
      </c>
      <c r="DU18" s="165">
        <v>1319.2365374233</v>
      </c>
      <c r="DV18" s="165">
        <v>192.186007724717</v>
      </c>
      <c r="DW18" s="165">
        <v>45.260128283374598</v>
      </c>
      <c r="DX18" s="165">
        <v>110.23452281354901</v>
      </c>
      <c r="DY18" s="165">
        <v>884.62221066781399</v>
      </c>
      <c r="DZ18" s="165">
        <v>1250.51014017189</v>
      </c>
      <c r="EA18" s="165">
        <v>632.11661104776397</v>
      </c>
      <c r="EB18" s="165">
        <v>53.068558702108398</v>
      </c>
      <c r="EC18" s="165">
        <v>1295.49019813369</v>
      </c>
      <c r="ED18" s="165">
        <v>4386.5523087620804</v>
      </c>
      <c r="EE18" s="165">
        <v>2040.96414954543</v>
      </c>
      <c r="EF18" s="165">
        <v>3206.4917243189202</v>
      </c>
      <c r="EG18" s="165">
        <v>2069.7064304617002</v>
      </c>
      <c r="EH18" s="165">
        <v>896.716257121431</v>
      </c>
      <c r="EI18" s="165">
        <v>213.98923803215899</v>
      </c>
      <c r="EJ18" s="165">
        <v>167.74736254020999</v>
      </c>
      <c r="EK18" s="165">
        <v>556.13531277193204</v>
      </c>
      <c r="EL18" s="165">
        <v>131.907393184477</v>
      </c>
      <c r="EM18" s="165">
        <v>402.00098600587802</v>
      </c>
      <c r="EN18" s="165">
        <v>118.378415749213</v>
      </c>
      <c r="EO18" s="165">
        <v>97.464207398201694</v>
      </c>
      <c r="EP18" s="165"/>
      <c r="EQ18" s="165">
        <v>3526.52826353816</v>
      </c>
      <c r="ER18" s="165">
        <v>23342.653811886201</v>
      </c>
      <c r="ES18" s="165">
        <v>8026.2802247385098</v>
      </c>
      <c r="ET18" s="165">
        <v>223.99343476403001</v>
      </c>
      <c r="EU18" s="165">
        <v>981.36461862164697</v>
      </c>
      <c r="EV18" s="165">
        <v>112.459396214268</v>
      </c>
      <c r="EW18" s="165">
        <v>593.54159056101503</v>
      </c>
      <c r="EX18" s="165">
        <v>2015.1141137975601</v>
      </c>
      <c r="EY18" s="165">
        <v>8149.28747056681</v>
      </c>
      <c r="EZ18" s="165">
        <v>2307.1057615844302</v>
      </c>
      <c r="FA18" s="165">
        <v>279.61515846318503</v>
      </c>
      <c r="FB18" s="165">
        <v>6327.63973825626</v>
      </c>
      <c r="FC18" s="165">
        <v>385.93664178177397</v>
      </c>
      <c r="FD18" s="165">
        <v>5391.7241848936101</v>
      </c>
      <c r="FE18" s="165">
        <v>24463.513270988999</v>
      </c>
      <c r="FF18" s="165">
        <v>238.130268192626</v>
      </c>
      <c r="FG18" s="165">
        <v>1748.8464222448999</v>
      </c>
      <c r="FH18" s="165">
        <v>284.09584588405602</v>
      </c>
      <c r="FI18" s="165">
        <v>81.926310706184694</v>
      </c>
      <c r="FJ18" s="166"/>
    </row>
    <row r="19" spans="1:166" s="32" customFormat="1" ht="15">
      <c r="A19" s="9" t="s">
        <v>247</v>
      </c>
      <c r="B19" s="160" t="s">
        <v>187</v>
      </c>
      <c r="C19" s="164">
        <v>553.48762858584496</v>
      </c>
      <c r="D19" s="164">
        <v>75.595984232292096</v>
      </c>
      <c r="E19" s="164">
        <v>2421.0221240638298</v>
      </c>
      <c r="F19" s="164">
        <v>1902.2576280184801</v>
      </c>
      <c r="G19" s="164">
        <v>52.496727106330397</v>
      </c>
      <c r="H19" s="164">
        <v>321.82798258984599</v>
      </c>
      <c r="I19" s="164">
        <v>355.944155205686</v>
      </c>
      <c r="J19" s="164">
        <v>6368.2553519823796</v>
      </c>
      <c r="K19" s="164">
        <v>3101.6106102183398</v>
      </c>
      <c r="L19" s="164">
        <v>93.207871499821493</v>
      </c>
      <c r="M19" s="164">
        <v>216.65454475505101</v>
      </c>
      <c r="N19" s="164">
        <v>270.48594464994898</v>
      </c>
      <c r="O19" s="164">
        <v>59.329771039760303</v>
      </c>
      <c r="P19" s="164">
        <v>36.699387224981301</v>
      </c>
      <c r="Q19" s="164">
        <v>1</v>
      </c>
      <c r="R19" s="164">
        <v>26.646100269119401</v>
      </c>
      <c r="S19" s="164">
        <v>44.117084053734601</v>
      </c>
      <c r="T19" s="164">
        <v>297.93509861196799</v>
      </c>
      <c r="U19" s="164"/>
      <c r="V19" s="164">
        <v>108981.413534152</v>
      </c>
      <c r="W19" s="164">
        <v>150085.02135375599</v>
      </c>
      <c r="X19" s="164">
        <v>243942.61834243999</v>
      </c>
      <c r="Y19" s="164">
        <v>639.75546080407298</v>
      </c>
      <c r="Z19" s="164">
        <v>6513.1460512860203</v>
      </c>
      <c r="AA19" s="164">
        <v>836894.44272085896</v>
      </c>
      <c r="AB19" s="164">
        <v>14435.5576257498</v>
      </c>
      <c r="AC19" s="164">
        <v>125608.02380623099</v>
      </c>
      <c r="AD19" s="164">
        <v>7418.3207497490303</v>
      </c>
      <c r="AE19" s="164">
        <v>23955.922319965699</v>
      </c>
      <c r="AF19" s="164">
        <v>77202.624102471003</v>
      </c>
      <c r="AG19" s="164">
        <v>799.25915837305797</v>
      </c>
      <c r="AH19" s="164">
        <v>5059.4786692294101</v>
      </c>
      <c r="AI19" s="164">
        <v>17211.814494583999</v>
      </c>
      <c r="AJ19" s="164">
        <v>5279.8314830633299</v>
      </c>
      <c r="AK19" s="164">
        <v>643.74246389090104</v>
      </c>
      <c r="AL19" s="164">
        <v>383.27164136267498</v>
      </c>
      <c r="AM19" s="164">
        <v>11837.4812438677</v>
      </c>
      <c r="AN19" s="164">
        <v>16947.903322089602</v>
      </c>
      <c r="AO19" s="164">
        <v>415.02124038587903</v>
      </c>
      <c r="AP19" s="164">
        <v>2254.27730601245</v>
      </c>
      <c r="AQ19" s="164">
        <v>1230.3903303807399</v>
      </c>
      <c r="AR19" s="164">
        <v>3294.56535167734</v>
      </c>
      <c r="AS19" s="164">
        <v>15522.883279587901</v>
      </c>
      <c r="AT19" s="164">
        <v>4291.5900148634901</v>
      </c>
      <c r="AU19" s="164"/>
      <c r="AV19" s="164">
        <v>67.821085135976304</v>
      </c>
      <c r="AW19" s="164">
        <v>4621.99278841656</v>
      </c>
      <c r="AX19" s="164">
        <v>1196.7616319082799</v>
      </c>
      <c r="AY19" s="164">
        <v>349.10460948475202</v>
      </c>
      <c r="AZ19" s="164">
        <v>220.64322113085299</v>
      </c>
      <c r="BA19" s="164">
        <v>7071.2662766197</v>
      </c>
      <c r="BB19" s="164">
        <v>167010.797142775</v>
      </c>
      <c r="BC19" s="164">
        <v>68479.315022495895</v>
      </c>
      <c r="BD19" s="164">
        <v>5245.8952329191497</v>
      </c>
      <c r="BE19" s="164">
        <v>3055.4258053092199</v>
      </c>
      <c r="BF19" s="164">
        <v>16717.3298285936</v>
      </c>
      <c r="BG19" s="164">
        <v>9957.7689541708205</v>
      </c>
      <c r="BH19" s="164">
        <v>13592.5409520997</v>
      </c>
      <c r="BI19" s="164">
        <v>7523.0739650742498</v>
      </c>
      <c r="BJ19" s="164">
        <v>442184.35775987699</v>
      </c>
      <c r="BK19" s="164">
        <v>350175.90509063</v>
      </c>
      <c r="BL19" s="164">
        <v>70068.497950047094</v>
      </c>
      <c r="BM19" s="164">
        <v>48720.372816648</v>
      </c>
      <c r="BN19" s="164">
        <v>5218.3692991241896</v>
      </c>
      <c r="BO19" s="164">
        <v>6091.2656265980304</v>
      </c>
      <c r="BP19" s="164">
        <v>6989.3386582361099</v>
      </c>
      <c r="BQ19" s="164">
        <v>3099.7775674105701</v>
      </c>
      <c r="BR19" s="164">
        <v>17569.7394615259</v>
      </c>
      <c r="BS19" s="164">
        <v>17031.336606446399</v>
      </c>
      <c r="BT19" s="164">
        <v>17681.659246503899</v>
      </c>
      <c r="BU19" s="164">
        <v>4141.8055421668696</v>
      </c>
      <c r="BV19" s="164">
        <v>26619.599796556999</v>
      </c>
      <c r="BW19" s="164">
        <v>44525.747686504801</v>
      </c>
      <c r="BX19" s="164">
        <v>99192.872539993405</v>
      </c>
      <c r="BY19" s="164">
        <v>360887.56013521401</v>
      </c>
      <c r="BZ19" s="164">
        <v>80795.5724273823</v>
      </c>
      <c r="CA19" s="164">
        <v>23672.957028666398</v>
      </c>
      <c r="CB19" s="164">
        <v>13330.4419790842</v>
      </c>
      <c r="CC19" s="164">
        <v>10209.3157316748</v>
      </c>
      <c r="CD19" s="164">
        <v>59293.940462827297</v>
      </c>
      <c r="CE19" s="164">
        <v>62326.183194278303</v>
      </c>
      <c r="CF19" s="164">
        <v>41269.334883728203</v>
      </c>
      <c r="CG19" s="164">
        <v>394.89897981623102</v>
      </c>
      <c r="CH19" s="164">
        <v>282.85443820396398</v>
      </c>
      <c r="CI19" s="164">
        <f>SUM(AV19:CH19)</f>
        <v>2116883.4414252783</v>
      </c>
      <c r="CJ19" s="167">
        <v>1</v>
      </c>
      <c r="CK19" s="164">
        <v>107.524390035153</v>
      </c>
      <c r="CL19" s="164">
        <v>675.28458739364601</v>
      </c>
      <c r="CM19" s="164">
        <v>2127.5227707111899</v>
      </c>
      <c r="CN19" s="164">
        <v>247.29795720615499</v>
      </c>
      <c r="CO19" s="164">
        <v>1766.07653575427</v>
      </c>
      <c r="CP19" s="164"/>
      <c r="CQ19" s="165">
        <v>653.83825540259795</v>
      </c>
      <c r="CR19" s="165">
        <v>369.17700539860999</v>
      </c>
      <c r="CS19" s="165">
        <v>473.96753638133401</v>
      </c>
      <c r="CT19" s="165">
        <v>122.894805123647</v>
      </c>
      <c r="CU19" s="165">
        <v>0</v>
      </c>
      <c r="CV19" s="165">
        <v>92.869465159628902</v>
      </c>
      <c r="CW19" s="165">
        <v>6166.4068748550599</v>
      </c>
      <c r="CX19" s="165">
        <v>14435.0137636492</v>
      </c>
      <c r="CY19" s="165">
        <v>81.634399391793806</v>
      </c>
      <c r="CZ19" s="165">
        <v>661.11916153871005</v>
      </c>
      <c r="DA19" s="165">
        <v>750.60152538332898</v>
      </c>
      <c r="DB19" s="165">
        <v>2161.2526771091002</v>
      </c>
      <c r="DC19" s="165">
        <v>76.888742190585802</v>
      </c>
      <c r="DD19" s="165">
        <v>505.55889860574803</v>
      </c>
      <c r="DE19" s="165">
        <v>14669.5651795379</v>
      </c>
      <c r="DF19" s="165">
        <v>15846.553303395</v>
      </c>
      <c r="DG19" s="165">
        <v>164.884064993724</v>
      </c>
      <c r="DH19" s="165">
        <v>40.138283167202403</v>
      </c>
      <c r="DI19" s="165">
        <v>120.74040447150701</v>
      </c>
      <c r="DJ19" s="165">
        <v>222.15606104714999</v>
      </c>
      <c r="DK19" s="165">
        <v>359.20905404496602</v>
      </c>
      <c r="DL19" s="165">
        <v>642.49471154799198</v>
      </c>
      <c r="DM19" s="165">
        <v>1728.8815826144501</v>
      </c>
      <c r="DN19" s="165">
        <v>635.17789038567298</v>
      </c>
      <c r="DO19" s="165">
        <v>6449.7724812480601</v>
      </c>
      <c r="DP19" s="165">
        <v>758.51338170657596</v>
      </c>
      <c r="DQ19" s="165">
        <v>5191.0145011833101</v>
      </c>
      <c r="DR19" s="165">
        <v>5816.2813033319298</v>
      </c>
      <c r="DS19" s="165">
        <v>144.08312607446101</v>
      </c>
      <c r="DT19" s="165">
        <v>85.262493071597902</v>
      </c>
      <c r="DU19" s="165">
        <v>1023.95565178239</v>
      </c>
      <c r="DV19" s="165">
        <v>179.758924282012</v>
      </c>
      <c r="DW19" s="165">
        <v>90.194876650363895</v>
      </c>
      <c r="DX19" s="165">
        <v>363.10040752003499</v>
      </c>
      <c r="DY19" s="165">
        <v>264.52664904706199</v>
      </c>
      <c r="DZ19" s="165">
        <v>877.08866035811002</v>
      </c>
      <c r="EA19" s="165">
        <v>643.04079451163796</v>
      </c>
      <c r="EB19" s="165">
        <v>35.925311584084298</v>
      </c>
      <c r="EC19" s="165">
        <v>525.26793105921297</v>
      </c>
      <c r="ED19" s="165">
        <v>3852.1119834531501</v>
      </c>
      <c r="EE19" s="165">
        <v>446.13940469194301</v>
      </c>
      <c r="EF19" s="165">
        <v>386.47260351877702</v>
      </c>
      <c r="EG19" s="165">
        <v>2347.4050202646999</v>
      </c>
      <c r="EH19" s="165">
        <v>873.7269653244</v>
      </c>
      <c r="EI19" s="165">
        <v>216.12793013119199</v>
      </c>
      <c r="EJ19" s="165">
        <v>58.015716841989303</v>
      </c>
      <c r="EK19" s="165">
        <v>355.98085321602503</v>
      </c>
      <c r="EL19" s="165">
        <v>42.919200878167203</v>
      </c>
      <c r="EM19" s="165">
        <v>411.70418553335901</v>
      </c>
      <c r="EN19" s="165">
        <v>77.335625075958106</v>
      </c>
      <c r="EO19" s="165">
        <v>189.39399102500099</v>
      </c>
      <c r="EP19" s="165"/>
      <c r="EQ19" s="165">
        <v>1643.4724547824701</v>
      </c>
      <c r="ER19" s="165">
        <v>18952.6004123356</v>
      </c>
      <c r="ES19" s="165">
        <v>6106.0139527103702</v>
      </c>
      <c r="ET19" s="165">
        <v>92.447757839887402</v>
      </c>
      <c r="EU19" s="165">
        <v>272.46114889971898</v>
      </c>
      <c r="EV19" s="165">
        <v>203.47734254077901</v>
      </c>
      <c r="EW19" s="165">
        <v>85.924967161295697</v>
      </c>
      <c r="EX19" s="165">
        <v>1146.4948707792701</v>
      </c>
      <c r="EY19" s="165">
        <v>6483.0360926312796</v>
      </c>
      <c r="EZ19" s="165">
        <v>306.96760917720798</v>
      </c>
      <c r="FA19" s="165">
        <v>236.88812664404301</v>
      </c>
      <c r="FB19" s="165">
        <v>4246.4283997439798</v>
      </c>
      <c r="FC19" s="165">
        <v>59.9544575765972</v>
      </c>
      <c r="FD19" s="165">
        <v>3184.0711430995698</v>
      </c>
      <c r="FE19" s="165">
        <v>14435.0137636492</v>
      </c>
      <c r="FF19" s="165">
        <v>193.92489409836199</v>
      </c>
      <c r="FG19" s="165">
        <v>1447.4496611023301</v>
      </c>
      <c r="FH19" s="165">
        <v>209.79113239415301</v>
      </c>
      <c r="FI19" s="165">
        <v>307.03206597481102</v>
      </c>
      <c r="FJ19" s="166"/>
    </row>
    <row r="20" spans="1:166" s="32" customFormat="1" ht="15">
      <c r="A20" s="9" t="s">
        <v>248</v>
      </c>
      <c r="B20" s="160" t="s">
        <v>187</v>
      </c>
      <c r="C20" s="164">
        <v>3177.3863208140501</v>
      </c>
      <c r="D20" s="164">
        <v>283.406907358463</v>
      </c>
      <c r="E20" s="164">
        <v>7112.1767800752696</v>
      </c>
      <c r="F20" s="164">
        <v>2845.9453911915002</v>
      </c>
      <c r="G20" s="164">
        <v>234.80697116463699</v>
      </c>
      <c r="H20" s="164">
        <v>533.10591552561596</v>
      </c>
      <c r="I20" s="164">
        <v>326.803356012503</v>
      </c>
      <c r="J20" s="164">
        <v>25559.373113316298</v>
      </c>
      <c r="K20" s="164">
        <v>14951.5559237589</v>
      </c>
      <c r="L20" s="164">
        <v>1291.6057896478401</v>
      </c>
      <c r="M20" s="164">
        <v>38.460287940968001</v>
      </c>
      <c r="N20" s="164">
        <v>166.09676914833699</v>
      </c>
      <c r="O20" s="164">
        <v>30.561481346442999</v>
      </c>
      <c r="P20" s="164">
        <v>29.361946592178001</v>
      </c>
      <c r="Q20" s="164">
        <v>1</v>
      </c>
      <c r="R20" s="164">
        <v>40.065446017979802</v>
      </c>
      <c r="S20" s="164">
        <v>300.25219340763499</v>
      </c>
      <c r="T20" s="164">
        <v>52.760915581258601</v>
      </c>
      <c r="U20" s="164"/>
      <c r="V20" s="164">
        <v>117157.82677490699</v>
      </c>
      <c r="W20" s="164">
        <v>138316.02346270601</v>
      </c>
      <c r="X20" s="164">
        <v>114736.350862229</v>
      </c>
      <c r="Y20" s="164">
        <v>252.20093735850901</v>
      </c>
      <c r="Z20" s="164">
        <v>4258.93212591258</v>
      </c>
      <c r="AA20" s="164">
        <v>760399.991662213</v>
      </c>
      <c r="AB20" s="164">
        <v>18772.871886970399</v>
      </c>
      <c r="AC20" s="164">
        <v>178433.76001802599</v>
      </c>
      <c r="AD20" s="164">
        <v>1959.4817274954301</v>
      </c>
      <c r="AE20" s="164">
        <v>11367.0449637726</v>
      </c>
      <c r="AF20" s="164">
        <v>50341.570530144898</v>
      </c>
      <c r="AG20" s="164">
        <v>1249.0663941072701</v>
      </c>
      <c r="AH20" s="164">
        <v>5968.6285445917601</v>
      </c>
      <c r="AI20" s="164">
        <v>12504.4461576218</v>
      </c>
      <c r="AJ20" s="164">
        <v>5291.8067324247504</v>
      </c>
      <c r="AK20" s="164">
        <v>696.33375126213502</v>
      </c>
      <c r="AL20" s="164">
        <v>172.18404193415199</v>
      </c>
      <c r="AM20" s="164">
        <v>9353.4431104544692</v>
      </c>
      <c r="AN20" s="164">
        <v>5046.2457356234299</v>
      </c>
      <c r="AO20" s="164">
        <v>193.65680776866199</v>
      </c>
      <c r="AP20" s="164">
        <v>853.98085719640301</v>
      </c>
      <c r="AQ20" s="164">
        <v>1292.4545553847699</v>
      </c>
      <c r="AR20" s="164">
        <v>2448.6610794502499</v>
      </c>
      <c r="AS20" s="164">
        <v>11341.8795440954</v>
      </c>
      <c r="AT20" s="164">
        <v>6242.2463874570703</v>
      </c>
      <c r="AU20" s="164"/>
      <c r="AV20" s="164">
        <v>179.05997325873099</v>
      </c>
      <c r="AW20" s="164">
        <v>2154.5663619161301</v>
      </c>
      <c r="AX20" s="164">
        <v>922.27490615038096</v>
      </c>
      <c r="AY20" s="164">
        <v>608.73046427926704</v>
      </c>
      <c r="AZ20" s="164">
        <v>356.49257735706999</v>
      </c>
      <c r="BA20" s="164">
        <v>3129.59456500231</v>
      </c>
      <c r="BB20" s="164">
        <v>87361.3495730633</v>
      </c>
      <c r="BC20" s="164">
        <v>65219.059645591798</v>
      </c>
      <c r="BD20" s="164">
        <v>5530.9648483000201</v>
      </c>
      <c r="BE20" s="164">
        <v>2385.6963775125</v>
      </c>
      <c r="BF20" s="164">
        <v>6298.0955435747101</v>
      </c>
      <c r="BG20" s="164">
        <v>17896.070428288102</v>
      </c>
      <c r="BH20" s="164">
        <v>23568.402772841499</v>
      </c>
      <c r="BI20" s="164">
        <v>11802.9232933077</v>
      </c>
      <c r="BJ20" s="164">
        <v>806989.88631434203</v>
      </c>
      <c r="BK20" s="164">
        <v>377259.34297600802</v>
      </c>
      <c r="BL20" s="164">
        <v>67749.647625445694</v>
      </c>
      <c r="BM20" s="164">
        <v>38291.789224056403</v>
      </c>
      <c r="BN20" s="164">
        <v>5360.2562981924902</v>
      </c>
      <c r="BO20" s="164">
        <v>4236.2368476372003</v>
      </c>
      <c r="BP20" s="164">
        <v>6673.3297190387702</v>
      </c>
      <c r="BQ20" s="164">
        <v>3781.9847790302401</v>
      </c>
      <c r="BR20" s="164">
        <v>17580.452646672398</v>
      </c>
      <c r="BS20" s="164">
        <v>16576.631565097301</v>
      </c>
      <c r="BT20" s="164">
        <v>9955.8514357264103</v>
      </c>
      <c r="BU20" s="164">
        <v>4895.6506265662902</v>
      </c>
      <c r="BV20" s="164">
        <v>12098.2027824132</v>
      </c>
      <c r="BW20" s="164">
        <v>34440.122409742697</v>
      </c>
      <c r="BX20" s="164">
        <v>86849.504283506598</v>
      </c>
      <c r="BY20" s="164">
        <v>314243.88553858601</v>
      </c>
      <c r="BZ20" s="164">
        <v>54234.218372817602</v>
      </c>
      <c r="CA20" s="164">
        <v>16590.3327456017</v>
      </c>
      <c r="CB20" s="164">
        <v>12169.111160623001</v>
      </c>
      <c r="CC20" s="164">
        <v>8233.2971167255291</v>
      </c>
      <c r="CD20" s="164">
        <v>45790.243365620001</v>
      </c>
      <c r="CE20" s="164">
        <v>43670.944678598702</v>
      </c>
      <c r="CF20" s="164">
        <v>33828.675317596499</v>
      </c>
      <c r="CG20" s="164">
        <v>622.98937393098799</v>
      </c>
      <c r="CH20" s="164">
        <v>66.0047707455319</v>
      </c>
      <c r="CI20" s="164">
        <v>136.30847662423301</v>
      </c>
      <c r="CJ20" s="164">
        <v>234.461793139946</v>
      </c>
      <c r="CK20" s="164">
        <v>1478.27191756105</v>
      </c>
      <c r="CL20" s="164">
        <v>275.10824886871097</v>
      </c>
      <c r="CM20" s="164">
        <v>1290.72450555111</v>
      </c>
      <c r="CN20" s="164">
        <v>75.656781610438699</v>
      </c>
      <c r="CO20" s="164">
        <v>57.599594410681497</v>
      </c>
      <c r="CP20" s="164"/>
      <c r="CQ20" s="165">
        <v>293.730195228583</v>
      </c>
      <c r="CR20" s="165">
        <v>244.235438917696</v>
      </c>
      <c r="CS20" s="165">
        <v>50.643315920212203</v>
      </c>
      <c r="CT20" s="165">
        <v>59.568187542540997</v>
      </c>
      <c r="CU20" s="165">
        <v>14.708605738883501</v>
      </c>
      <c r="CV20" s="165">
        <v>23.255082023101</v>
      </c>
      <c r="CW20" s="165">
        <v>2621.74810465975</v>
      </c>
      <c r="CX20" s="165">
        <v>8521.9065008583402</v>
      </c>
      <c r="CY20" s="165">
        <v>331.27600462476101</v>
      </c>
      <c r="CZ20" s="165">
        <v>701.10248582919496</v>
      </c>
      <c r="DA20" s="165">
        <v>1647.63442509231</v>
      </c>
      <c r="DB20" s="165">
        <v>6519.8157894592496</v>
      </c>
      <c r="DC20" s="165">
        <v>371.82147501023297</v>
      </c>
      <c r="DD20" s="165">
        <v>964.29926288101694</v>
      </c>
      <c r="DE20" s="165">
        <v>11365.311936419899</v>
      </c>
      <c r="DF20" s="165">
        <v>16347.9188420849</v>
      </c>
      <c r="DG20" s="165">
        <v>1229.95202332845</v>
      </c>
      <c r="DH20" s="165">
        <v>50.5209666826049</v>
      </c>
      <c r="DI20" s="165">
        <v>50.433963016281901</v>
      </c>
      <c r="DJ20" s="165">
        <v>379.30333438166701</v>
      </c>
      <c r="DK20" s="165">
        <v>1128.7075058301</v>
      </c>
      <c r="DL20" s="165">
        <v>1598.1319509673999</v>
      </c>
      <c r="DM20" s="165">
        <v>2348.31872100176</v>
      </c>
      <c r="DN20" s="165">
        <v>1213.8827891332</v>
      </c>
      <c r="DO20" s="165">
        <v>9836.4857103245395</v>
      </c>
      <c r="DP20" s="165">
        <v>14288.3757086279</v>
      </c>
      <c r="DQ20" s="165">
        <v>5686.8822816817801</v>
      </c>
      <c r="DR20" s="165">
        <v>3918.2430070560499</v>
      </c>
      <c r="DS20" s="165">
        <v>530.58137995448601</v>
      </c>
      <c r="DT20" s="165">
        <v>72.377479929248196</v>
      </c>
      <c r="DU20" s="165">
        <v>1911.7613430234701</v>
      </c>
      <c r="DV20" s="165">
        <v>151.343454292731</v>
      </c>
      <c r="DW20" s="165">
        <v>31.939553352551801</v>
      </c>
      <c r="DX20" s="165">
        <v>370.76668053999902</v>
      </c>
      <c r="DY20" s="165">
        <v>902.27543431097899</v>
      </c>
      <c r="DZ20" s="165">
        <v>968.00222983525202</v>
      </c>
      <c r="EA20" s="165">
        <v>236.46752855245001</v>
      </c>
      <c r="EB20" s="165">
        <v>93.556689845595002</v>
      </c>
      <c r="EC20" s="165">
        <v>911.52200737273404</v>
      </c>
      <c r="ED20" s="165">
        <v>2911.46928177361</v>
      </c>
      <c r="EE20" s="165">
        <v>1405.4963821231099</v>
      </c>
      <c r="EF20" s="165">
        <v>2715.7200797618698</v>
      </c>
      <c r="EG20" s="165">
        <v>1645.92218086452</v>
      </c>
      <c r="EH20" s="165">
        <v>1138.66306154585</v>
      </c>
      <c r="EI20" s="165">
        <v>182.76924471215</v>
      </c>
      <c r="EJ20" s="165">
        <v>216.77536640255099</v>
      </c>
      <c r="EK20" s="165">
        <v>288.74028988111201</v>
      </c>
      <c r="EL20" s="165">
        <v>48.001421290837499</v>
      </c>
      <c r="EM20" s="165">
        <v>304.91943441053297</v>
      </c>
      <c r="EN20" s="165">
        <v>158.05137727796401</v>
      </c>
      <c r="EO20" s="165">
        <v>187.01315183051099</v>
      </c>
      <c r="EP20" s="165"/>
      <c r="EQ20" s="165">
        <v>1551.9637145131001</v>
      </c>
      <c r="ER20" s="165">
        <v>17714.149266571701</v>
      </c>
      <c r="ES20" s="165">
        <v>3896.7150335925899</v>
      </c>
      <c r="ET20" s="165">
        <v>133.17682088680101</v>
      </c>
      <c r="EU20" s="165">
        <v>433.91853628217302</v>
      </c>
      <c r="EV20" s="165">
        <v>125.35394636700001</v>
      </c>
      <c r="EW20" s="165">
        <v>311.57146015932801</v>
      </c>
      <c r="EX20" s="165">
        <v>2197.2669470338001</v>
      </c>
      <c r="EY20" s="165">
        <v>5507.0401493646204</v>
      </c>
      <c r="EZ20" s="165">
        <v>1734.63474527413</v>
      </c>
      <c r="FA20" s="165">
        <v>174.21144772616901</v>
      </c>
      <c r="FB20" s="165">
        <v>2392.6946574907602</v>
      </c>
      <c r="FC20" s="165">
        <v>152.96639422346701</v>
      </c>
      <c r="FD20" s="165">
        <v>2437.5901351624998</v>
      </c>
      <c r="FE20" s="165">
        <v>8521.9065008583402</v>
      </c>
      <c r="FF20" s="165">
        <v>1658.9773705426301</v>
      </c>
      <c r="FG20" s="165">
        <v>675.33398255472798</v>
      </c>
      <c r="FH20" s="165">
        <v>87.137927498220805</v>
      </c>
      <c r="FI20" s="165">
        <v>176.80092711196701</v>
      </c>
      <c r="FJ20" s="166"/>
    </row>
    <row r="21" spans="1:166" s="32" customFormat="1" ht="15">
      <c r="A21" s="9" t="s">
        <v>245</v>
      </c>
      <c r="B21" s="160" t="s">
        <v>187</v>
      </c>
      <c r="C21" s="164">
        <v>504.63038276118903</v>
      </c>
      <c r="D21" s="164">
        <v>148.09515971447399</v>
      </c>
      <c r="E21" s="164">
        <v>3150.38218925206</v>
      </c>
      <c r="F21" s="164">
        <v>2497.65025949136</v>
      </c>
      <c r="G21" s="164">
        <v>199.12965970457699</v>
      </c>
      <c r="H21" s="164">
        <v>296.07430998879403</v>
      </c>
      <c r="I21" s="164">
        <v>351.10615584843498</v>
      </c>
      <c r="J21" s="164">
        <v>11122.410203459</v>
      </c>
      <c r="K21" s="164">
        <v>4557.8868111085803</v>
      </c>
      <c r="L21" s="164">
        <v>293.01782212892601</v>
      </c>
      <c r="M21" s="164">
        <v>76.259436678874394</v>
      </c>
      <c r="N21" s="164">
        <v>200.29307757256601</v>
      </c>
      <c r="O21" s="164">
        <v>1</v>
      </c>
      <c r="P21" s="164">
        <v>29.6407851600753</v>
      </c>
      <c r="Q21" s="164">
        <v>76.141750274157502</v>
      </c>
      <c r="R21" s="164">
        <v>29.8837946075977</v>
      </c>
      <c r="S21" s="164">
        <v>127.728725263097</v>
      </c>
      <c r="T21" s="164">
        <v>357.84485591185501</v>
      </c>
      <c r="U21" s="164"/>
      <c r="V21" s="164">
        <v>114376.494565977</v>
      </c>
      <c r="W21" s="164">
        <v>115058.477045117</v>
      </c>
      <c r="X21" s="164">
        <v>108555.15913241899</v>
      </c>
      <c r="Y21" s="164">
        <v>397.65106729452998</v>
      </c>
      <c r="Z21" s="164">
        <v>4068.2006951497101</v>
      </c>
      <c r="AA21" s="164">
        <v>576734.54592167598</v>
      </c>
      <c r="AB21" s="164">
        <v>16723.100232711098</v>
      </c>
      <c r="AC21" s="164">
        <v>165946.26733195901</v>
      </c>
      <c r="AD21" s="164">
        <v>2754.0152853080699</v>
      </c>
      <c r="AE21" s="164">
        <v>20577.489456826599</v>
      </c>
      <c r="AF21" s="164">
        <v>45799.757043327103</v>
      </c>
      <c r="AG21" s="164">
        <v>1785.8787997258601</v>
      </c>
      <c r="AH21" s="164">
        <v>4477.4695696794997</v>
      </c>
      <c r="AI21" s="164">
        <v>17242.3760907777</v>
      </c>
      <c r="AJ21" s="164">
        <v>3224.4403618639499</v>
      </c>
      <c r="AK21" s="164">
        <v>515.52104763123498</v>
      </c>
      <c r="AL21" s="164">
        <v>711.55070637967196</v>
      </c>
      <c r="AM21" s="164">
        <v>14683.060889180701</v>
      </c>
      <c r="AN21" s="164">
        <v>9296.2132435564799</v>
      </c>
      <c r="AO21" s="164">
        <v>462.93084528138098</v>
      </c>
      <c r="AP21" s="164">
        <v>765.94927349674197</v>
      </c>
      <c r="AQ21" s="164">
        <v>577.94351847513803</v>
      </c>
      <c r="AR21" s="164">
        <v>2126.5622059878501</v>
      </c>
      <c r="AS21" s="164">
        <v>17063.852180305799</v>
      </c>
      <c r="AT21" s="164">
        <v>3345.0329425011801</v>
      </c>
      <c r="AU21" s="164"/>
      <c r="AV21" s="164">
        <v>116.239147302935</v>
      </c>
      <c r="AW21" s="164">
        <v>3631.8207010874899</v>
      </c>
      <c r="AX21" s="164">
        <v>805.958116959888</v>
      </c>
      <c r="AY21" s="164">
        <v>361.27449451084601</v>
      </c>
      <c r="AZ21" s="164">
        <v>306.00683914077501</v>
      </c>
      <c r="BA21" s="164">
        <v>5693.7579778807703</v>
      </c>
      <c r="BB21" s="164">
        <v>112272.76927728399</v>
      </c>
      <c r="BC21" s="164">
        <v>61645.384738906199</v>
      </c>
      <c r="BD21" s="164">
        <v>5890.5209829519599</v>
      </c>
      <c r="BE21" s="164">
        <v>3765.4899920722501</v>
      </c>
      <c r="BF21" s="164">
        <v>13368.451551092699</v>
      </c>
      <c r="BG21" s="164">
        <v>10188.248494932701</v>
      </c>
      <c r="BH21" s="164">
        <v>14163.829221825001</v>
      </c>
      <c r="BI21" s="164">
        <v>9381.4391277573104</v>
      </c>
      <c r="BJ21" s="164">
        <v>674487.69312363595</v>
      </c>
      <c r="BK21" s="164">
        <v>349139.13179069897</v>
      </c>
      <c r="BL21" s="164">
        <v>77812.842868258696</v>
      </c>
      <c r="BM21" s="164">
        <v>48486.258281497401</v>
      </c>
      <c r="BN21" s="164">
        <v>4955.2929637099196</v>
      </c>
      <c r="BO21" s="164">
        <v>5317.3920996925999</v>
      </c>
      <c r="BP21" s="164">
        <v>7178.92818500254</v>
      </c>
      <c r="BQ21" s="164">
        <v>5206.9422125729197</v>
      </c>
      <c r="BR21" s="164">
        <v>16788.821170150801</v>
      </c>
      <c r="BS21" s="164">
        <v>16516.5570448078</v>
      </c>
      <c r="BT21" s="164">
        <v>16517.890991167998</v>
      </c>
      <c r="BU21" s="164">
        <v>4709.6753605090998</v>
      </c>
      <c r="BV21" s="164">
        <v>16017.2261189295</v>
      </c>
      <c r="BW21" s="164">
        <v>38331.666747807198</v>
      </c>
      <c r="BX21" s="164">
        <v>103535.691072085</v>
      </c>
      <c r="BY21" s="164">
        <v>348914.34053262701</v>
      </c>
      <c r="BZ21" s="164">
        <v>70489.955474232396</v>
      </c>
      <c r="CA21" s="164">
        <v>22033.220393486499</v>
      </c>
      <c r="CB21" s="164">
        <v>11011.702052205999</v>
      </c>
      <c r="CC21" s="164">
        <v>9438.3521452758105</v>
      </c>
      <c r="CD21" s="164">
        <v>49101.817923328301</v>
      </c>
      <c r="CE21" s="164">
        <v>54136.135806187202</v>
      </c>
      <c r="CF21" s="164">
        <v>43083.144143600097</v>
      </c>
      <c r="CG21" s="164">
        <v>180.63462912405899</v>
      </c>
      <c r="CH21" s="164">
        <v>130.428842814418</v>
      </c>
      <c r="CI21" s="164">
        <v>167.58326442499501</v>
      </c>
      <c r="CJ21" s="164">
        <v>509.33470392948902</v>
      </c>
      <c r="CK21" s="164">
        <v>1856.64500655245</v>
      </c>
      <c r="CL21" s="164">
        <v>134.45691918524199</v>
      </c>
      <c r="CM21" s="164">
        <v>494.039728990291</v>
      </c>
      <c r="CN21" s="164">
        <v>300.14314673577798</v>
      </c>
      <c r="CO21" s="164">
        <v>85.999164295840998</v>
      </c>
      <c r="CP21" s="164"/>
      <c r="CQ21" s="165">
        <v>175.47767297529401</v>
      </c>
      <c r="CR21" s="165">
        <v>212.759917481635</v>
      </c>
      <c r="CS21" s="165">
        <v>258.151990181484</v>
      </c>
      <c r="CT21" s="165">
        <v>401.675344943369</v>
      </c>
      <c r="CU21" s="165">
        <v>34.365183013876802</v>
      </c>
      <c r="CV21" s="165">
        <v>48.688117257921</v>
      </c>
      <c r="CW21" s="165">
        <v>3731.0867889138899</v>
      </c>
      <c r="CX21" s="165">
        <v>7937.4196754201503</v>
      </c>
      <c r="CY21" s="165">
        <v>311.589523545036</v>
      </c>
      <c r="CZ21" s="165">
        <v>816.94235804504501</v>
      </c>
      <c r="DA21" s="165">
        <v>159.02835909222401</v>
      </c>
      <c r="DB21" s="165">
        <v>3513.94768639637</v>
      </c>
      <c r="DC21" s="165">
        <v>82.564379131150204</v>
      </c>
      <c r="DD21" s="165">
        <v>1096.4323793368501</v>
      </c>
      <c r="DE21" s="165">
        <v>13418.8391481899</v>
      </c>
      <c r="DF21" s="165">
        <v>14953.249669487601</v>
      </c>
      <c r="DG21" s="165">
        <v>178.14874732102399</v>
      </c>
      <c r="DH21" s="165">
        <v>85.863313331735</v>
      </c>
      <c r="DI21" s="165">
        <v>204.75156663533099</v>
      </c>
      <c r="DJ21" s="165">
        <v>282.50671981472902</v>
      </c>
      <c r="DK21" s="165">
        <v>616.81756682828097</v>
      </c>
      <c r="DL21" s="165">
        <v>751.71204398884402</v>
      </c>
      <c r="DM21" s="165">
        <v>1893.2721124601401</v>
      </c>
      <c r="DN21" s="165">
        <v>983.73028019030198</v>
      </c>
      <c r="DO21" s="165">
        <v>10009.847361039099</v>
      </c>
      <c r="DP21" s="165">
        <v>11340.563773883299</v>
      </c>
      <c r="DQ21" s="165">
        <v>6461.2056971943603</v>
      </c>
      <c r="DR21" s="165">
        <v>4248.6000533401802</v>
      </c>
      <c r="DS21" s="165">
        <v>331.12938322762898</v>
      </c>
      <c r="DT21" s="165">
        <v>39.396696367354799</v>
      </c>
      <c r="DU21" s="165">
        <v>976.07316236760005</v>
      </c>
      <c r="DV21" s="165">
        <v>143.50822031585699</v>
      </c>
      <c r="DW21" s="165">
        <v>178.767947104071</v>
      </c>
      <c r="DX21" s="165">
        <v>297.97686187489899</v>
      </c>
      <c r="DY21" s="165">
        <v>1061.0845764088699</v>
      </c>
      <c r="DZ21" s="165">
        <v>958.37500548083597</v>
      </c>
      <c r="EA21" s="165">
        <v>467.54379401699998</v>
      </c>
      <c r="EB21" s="165">
        <v>41.485187667386498</v>
      </c>
      <c r="EC21" s="165">
        <v>1257.15960577238</v>
      </c>
      <c r="ED21" s="165">
        <v>3766.0128822418501</v>
      </c>
      <c r="EE21" s="165">
        <v>2068.5581452195302</v>
      </c>
      <c r="EF21" s="165">
        <v>2912.0806724223498</v>
      </c>
      <c r="EG21" s="165">
        <v>2076.95982643347</v>
      </c>
      <c r="EH21" s="165">
        <v>748.96488710348399</v>
      </c>
      <c r="EI21" s="165">
        <v>135.53934014203901</v>
      </c>
      <c r="EJ21" s="165">
        <v>86.1057061549065</v>
      </c>
      <c r="EK21" s="165">
        <v>367.42589554250497</v>
      </c>
      <c r="EL21" s="165">
        <v>107.201843674869</v>
      </c>
      <c r="EM21" s="165">
        <v>523.424880241393</v>
      </c>
      <c r="EN21" s="165">
        <v>478.957413038602</v>
      </c>
      <c r="EO21" s="165">
        <v>229.47904264994301</v>
      </c>
      <c r="EP21" s="165"/>
      <c r="EQ21" s="165">
        <v>1228.0665540130501</v>
      </c>
      <c r="ER21" s="165">
        <v>19535.799019073798</v>
      </c>
      <c r="ES21" s="165">
        <v>3719.72830271261</v>
      </c>
      <c r="ET21" s="165">
        <v>131.61016062971299</v>
      </c>
      <c r="EU21" s="165">
        <v>563.30344428722799</v>
      </c>
      <c r="EV21" s="165">
        <v>142.402073606204</v>
      </c>
      <c r="EW21" s="165">
        <v>188.76411450982101</v>
      </c>
      <c r="EX21" s="165">
        <v>1780.77257374799</v>
      </c>
      <c r="EY21" s="165">
        <v>6808.8210701941598</v>
      </c>
      <c r="EZ21" s="165">
        <v>3043.9768878333398</v>
      </c>
      <c r="FA21" s="165">
        <v>303.46311984531098</v>
      </c>
      <c r="FB21" s="165">
        <v>2704.0532127628999</v>
      </c>
      <c r="FC21" s="165">
        <v>210.63457495496999</v>
      </c>
      <c r="FD21" s="165">
        <v>2631.2775716695201</v>
      </c>
      <c r="FE21" s="165">
        <v>7937.4196754201503</v>
      </c>
      <c r="FF21" s="165">
        <v>987.47598759110599</v>
      </c>
      <c r="FG21" s="165">
        <v>895.05975024220299</v>
      </c>
      <c r="FH21" s="165">
        <v>119.563171235311</v>
      </c>
      <c r="FI21" s="165">
        <v>212.58534601376101</v>
      </c>
      <c r="FJ21" s="166"/>
    </row>
    <row r="22" spans="1:166" s="32" customFormat="1" ht="15">
      <c r="B22" s="20" t="s">
        <v>172</v>
      </c>
      <c r="C22" s="33">
        <f>AVERAGE(C17:C21)</f>
        <v>1401.2140347306429</v>
      </c>
      <c r="D22" s="33">
        <f t="shared" ref="D22:BQ22" si="10">AVERAGE(D17:D21)</f>
        <v>174.30546545489483</v>
      </c>
      <c r="E22" s="33">
        <f t="shared" si="10"/>
        <v>4110.9410290208043</v>
      </c>
      <c r="F22" s="33">
        <f t="shared" si="10"/>
        <v>2602.7236386654799</v>
      </c>
      <c r="G22" s="33">
        <f t="shared" si="10"/>
        <v>230.72972946005808</v>
      </c>
      <c r="H22" s="33">
        <f t="shared" si="10"/>
        <v>353.47987161432462</v>
      </c>
      <c r="I22" s="33">
        <f t="shared" si="10"/>
        <v>354.0630388728394</v>
      </c>
      <c r="J22" s="33">
        <f t="shared" si="10"/>
        <v>12548.911014004048</v>
      </c>
      <c r="K22" s="33">
        <f t="shared" si="10"/>
        <v>6407.0104502686536</v>
      </c>
      <c r="L22" s="33">
        <f t="shared" si="10"/>
        <v>584.493594243095</v>
      </c>
      <c r="M22" s="33">
        <f t="shared" si="10"/>
        <v>85.210938310898086</v>
      </c>
      <c r="N22" s="33">
        <f t="shared" si="10"/>
        <v>154.03837846265401</v>
      </c>
      <c r="O22" s="33">
        <f t="shared" si="10"/>
        <v>24.500724987369619</v>
      </c>
      <c r="P22" s="33">
        <f t="shared" si="10"/>
        <v>36.628471605782927</v>
      </c>
      <c r="Q22" s="33">
        <f t="shared" si="10"/>
        <v>23.144818907435383</v>
      </c>
      <c r="R22" s="33">
        <f t="shared" si="10"/>
        <v>46.607509030854786</v>
      </c>
      <c r="S22" s="33">
        <f t="shared" si="10"/>
        <v>121.35741391479773</v>
      </c>
      <c r="T22" s="33">
        <f t="shared" si="10"/>
        <v>261.33793353674918</v>
      </c>
      <c r="U22" s="33"/>
      <c r="V22" s="33">
        <f t="shared" si="10"/>
        <v>103528.85789933466</v>
      </c>
      <c r="W22" s="33">
        <f t="shared" si="10"/>
        <v>133072.03646525979</v>
      </c>
      <c r="X22" s="33">
        <f t="shared" si="10"/>
        <v>158472.91894227843</v>
      </c>
      <c r="Y22" s="33">
        <f t="shared" si="10"/>
        <v>330.0213819107941</v>
      </c>
      <c r="Z22" s="33">
        <f t="shared" si="10"/>
        <v>4576.8307402546734</v>
      </c>
      <c r="AA22" s="33">
        <f t="shared" si="10"/>
        <v>904423.35904151422</v>
      </c>
      <c r="AB22" s="33">
        <f t="shared" si="10"/>
        <v>18384.120963662001</v>
      </c>
      <c r="AC22" s="33">
        <f t="shared" si="10"/>
        <v>141930.34465335868</v>
      </c>
      <c r="AD22" s="33">
        <f t="shared" si="10"/>
        <v>4984.2316745464395</v>
      </c>
      <c r="AE22" s="33">
        <f t="shared" si="10"/>
        <v>25738.897136743119</v>
      </c>
      <c r="AF22" s="33">
        <f t="shared" si="10"/>
        <v>63421.241503432895</v>
      </c>
      <c r="AG22" s="33">
        <f t="shared" si="10"/>
        <v>1463.7264437103736</v>
      </c>
      <c r="AH22" s="33">
        <f t="shared" si="10"/>
        <v>5108.5793463153623</v>
      </c>
      <c r="AI22" s="33">
        <f t="shared" si="10"/>
        <v>15253.531011393536</v>
      </c>
      <c r="AJ22" s="33">
        <f t="shared" si="10"/>
        <v>4482.4585526741157</v>
      </c>
      <c r="AK22" s="33">
        <f t="shared" si="10"/>
        <v>623.81026297293363</v>
      </c>
      <c r="AL22" s="33">
        <f t="shared" si="10"/>
        <v>407.99481406067281</v>
      </c>
      <c r="AM22" s="33">
        <f t="shared" si="10"/>
        <v>11196.355936158363</v>
      </c>
      <c r="AN22" s="33">
        <f t="shared" si="10"/>
        <v>10024.238252129286</v>
      </c>
      <c r="AO22" s="33">
        <f t="shared" si="10"/>
        <v>289.85199960893556</v>
      </c>
      <c r="AP22" s="33">
        <f t="shared" si="10"/>
        <v>1231.3291830988228</v>
      </c>
      <c r="AQ22" s="33">
        <f t="shared" si="10"/>
        <v>1105.9987027955619</v>
      </c>
      <c r="AR22" s="33">
        <f t="shared" si="10"/>
        <v>2513.2358470857862</v>
      </c>
      <c r="AS22" s="33">
        <f t="shared" si="10"/>
        <v>15437.25527385092</v>
      </c>
      <c r="AT22" s="33">
        <f t="shared" si="10"/>
        <v>3825.6722504975528</v>
      </c>
      <c r="AU22" s="33"/>
      <c r="AV22" s="33">
        <f t="shared" si="10"/>
        <v>97.015144084789682</v>
      </c>
      <c r="AW22" s="33">
        <f t="shared" si="10"/>
        <v>3341.7687748949875</v>
      </c>
      <c r="AX22" s="33">
        <f t="shared" si="10"/>
        <v>927.96482358054004</v>
      </c>
      <c r="AY22" s="33">
        <f t="shared" si="10"/>
        <v>409.88431157197863</v>
      </c>
      <c r="AZ22" s="33">
        <f t="shared" si="10"/>
        <v>267.75685223662549</v>
      </c>
      <c r="BA22" s="33">
        <f t="shared" si="10"/>
        <v>4701.1192388236577</v>
      </c>
      <c r="BB22" s="33">
        <f t="shared" si="10"/>
        <v>114075.76099236163</v>
      </c>
      <c r="BC22" s="33">
        <f t="shared" si="10"/>
        <v>59072.254115390169</v>
      </c>
      <c r="BD22" s="33">
        <f t="shared" si="10"/>
        <v>4852.4279656359195</v>
      </c>
      <c r="BE22" s="33">
        <f t="shared" si="10"/>
        <v>3006.2045958907302</v>
      </c>
      <c r="BF22" s="33">
        <f t="shared" si="10"/>
        <v>11118.573182773373</v>
      </c>
      <c r="BG22" s="33">
        <f t="shared" si="10"/>
        <v>11899.377113797385</v>
      </c>
      <c r="BH22" s="33">
        <f t="shared" si="10"/>
        <v>14834.388770468062</v>
      </c>
      <c r="BI22" s="33">
        <f t="shared" si="10"/>
        <v>8779.4685309255165</v>
      </c>
      <c r="BJ22" s="33">
        <f t="shared" si="10"/>
        <v>552782.50798045879</v>
      </c>
      <c r="BK22" s="33">
        <f t="shared" si="10"/>
        <v>324548.9626318654</v>
      </c>
      <c r="BL22" s="33">
        <f t="shared" si="10"/>
        <v>65885.659214151528</v>
      </c>
      <c r="BM22" s="33">
        <f t="shared" si="10"/>
        <v>41822.137129861338</v>
      </c>
      <c r="BN22" s="33">
        <f t="shared" si="10"/>
        <v>5151.7940981922757</v>
      </c>
      <c r="BO22" s="33">
        <f t="shared" si="10"/>
        <v>5957.608931226172</v>
      </c>
      <c r="BP22" s="33">
        <f t="shared" si="10"/>
        <v>5904.8958939728982</v>
      </c>
      <c r="BQ22" s="33">
        <f t="shared" si="10"/>
        <v>3545.7103744307797</v>
      </c>
      <c r="BR22" s="33">
        <f t="shared" ref="BR22:ED22" si="11">AVERAGE(BR17:BR21)</f>
        <v>14839.499007329461</v>
      </c>
      <c r="BS22" s="33">
        <f t="shared" si="11"/>
        <v>15754.341567124979</v>
      </c>
      <c r="BT22" s="33">
        <f t="shared" si="11"/>
        <v>12998.727788063921</v>
      </c>
      <c r="BU22" s="33">
        <f t="shared" si="11"/>
        <v>4893.5559426419095</v>
      </c>
      <c r="BV22" s="33">
        <f t="shared" si="11"/>
        <v>19466.187796176619</v>
      </c>
      <c r="BW22" s="33">
        <f t="shared" si="11"/>
        <v>37977.828350532822</v>
      </c>
      <c r="BX22" s="33">
        <f t="shared" si="11"/>
        <v>92394.887756334123</v>
      </c>
      <c r="BY22" s="33">
        <f t="shared" si="11"/>
        <v>308425.54894000897</v>
      </c>
      <c r="BZ22" s="33">
        <f t="shared" si="11"/>
        <v>66737.140042214451</v>
      </c>
      <c r="CA22" s="33">
        <f t="shared" si="11"/>
        <v>19347.001472650558</v>
      </c>
      <c r="CB22" s="33">
        <f t="shared" si="11"/>
        <v>11333.191040038702</v>
      </c>
      <c r="CC22" s="33">
        <f t="shared" si="11"/>
        <v>8742.7864752125261</v>
      </c>
      <c r="CD22" s="33">
        <f t="shared" si="11"/>
        <v>47117.551406959028</v>
      </c>
      <c r="CE22" s="33">
        <f t="shared" si="11"/>
        <v>49028.142535431856</v>
      </c>
      <c r="CF22" s="33">
        <f t="shared" si="11"/>
        <v>37751.598444483345</v>
      </c>
      <c r="CG22" s="33">
        <f t="shared" si="11"/>
        <v>434.16860379381876</v>
      </c>
      <c r="CH22" s="33">
        <f t="shared" si="11"/>
        <v>129.14889729556938</v>
      </c>
      <c r="CI22" s="33">
        <f t="shared" si="11"/>
        <v>713162.20707861788</v>
      </c>
      <c r="CJ22" s="33">
        <f t="shared" si="11"/>
        <v>299.4671098821504</v>
      </c>
      <c r="CK22" s="33">
        <f t="shared" si="11"/>
        <v>982.36643856058652</v>
      </c>
      <c r="CL22" s="33">
        <f t="shared" si="11"/>
        <v>296.56119071420278</v>
      </c>
      <c r="CM22" s="33">
        <f t="shared" si="11"/>
        <v>1133.6097902033125</v>
      </c>
      <c r="CN22" s="33">
        <f t="shared" si="11"/>
        <v>154.20292500891853</v>
      </c>
      <c r="CO22" s="33">
        <f t="shared" si="11"/>
        <v>433.96887062942335</v>
      </c>
      <c r="CP22" s="33"/>
      <c r="CQ22" s="33">
        <f t="shared" si="11"/>
        <v>356.29538600662835</v>
      </c>
      <c r="CR22" s="33">
        <f t="shared" si="11"/>
        <v>253.26183221107021</v>
      </c>
      <c r="CS22" s="33">
        <f t="shared" si="11"/>
        <v>253.37377573161248</v>
      </c>
      <c r="CT22" s="33">
        <f t="shared" si="11"/>
        <v>146.94402905574117</v>
      </c>
      <c r="CU22" s="33">
        <f t="shared" si="11"/>
        <v>13.685834475970001</v>
      </c>
      <c r="CV22" s="33">
        <f t="shared" si="11"/>
        <v>46.394723547367917</v>
      </c>
      <c r="CW22" s="33">
        <f t="shared" si="11"/>
        <v>4157.6420786015715</v>
      </c>
      <c r="CX22" s="33">
        <f t="shared" si="11"/>
        <v>14452.439391227697</v>
      </c>
      <c r="CY22" s="33">
        <f t="shared" si="11"/>
        <v>230.96286438685334</v>
      </c>
      <c r="CZ22" s="33">
        <f t="shared" si="11"/>
        <v>774.50320739273445</v>
      </c>
      <c r="DA22" s="33">
        <f t="shared" si="11"/>
        <v>803.93440997018456</v>
      </c>
      <c r="DB22" s="33">
        <f t="shared" si="11"/>
        <v>3947.7717076158078</v>
      </c>
      <c r="DC22" s="33">
        <f t="shared" si="11"/>
        <v>213.46286457866182</v>
      </c>
      <c r="DD22" s="33">
        <f t="shared" si="11"/>
        <v>906.5047480225694</v>
      </c>
      <c r="DE22" s="33">
        <f t="shared" si="11"/>
        <v>13474.086747024479</v>
      </c>
      <c r="DF22" s="33">
        <f t="shared" si="11"/>
        <v>16411.41539001506</v>
      </c>
      <c r="DG22" s="33">
        <f t="shared" si="11"/>
        <v>592.68962172820898</v>
      </c>
      <c r="DH22" s="33">
        <f t="shared" si="11"/>
        <v>94.156333520791662</v>
      </c>
      <c r="DI22" s="33">
        <f t="shared" si="11"/>
        <v>91.847101456807053</v>
      </c>
      <c r="DJ22" s="33">
        <f t="shared" si="11"/>
        <v>348.80398838273925</v>
      </c>
      <c r="DK22" s="33">
        <f t="shared" si="11"/>
        <v>711.81530560294175</v>
      </c>
      <c r="DL22" s="33">
        <f t="shared" si="11"/>
        <v>781.93738772728216</v>
      </c>
      <c r="DM22" s="33">
        <f t="shared" si="11"/>
        <v>2001.287033951882</v>
      </c>
      <c r="DN22" s="33">
        <f t="shared" si="11"/>
        <v>872.81418972208189</v>
      </c>
      <c r="DO22" s="33">
        <f t="shared" si="11"/>
        <v>9006.5117299350459</v>
      </c>
      <c r="DP22" s="33">
        <f t="shared" si="11"/>
        <v>9554.0096392725936</v>
      </c>
      <c r="DQ22" s="33">
        <f t="shared" si="11"/>
        <v>5648.9103804058577</v>
      </c>
      <c r="DR22" s="33">
        <f t="shared" si="11"/>
        <v>4892.8088561621962</v>
      </c>
      <c r="DS22" s="33">
        <f t="shared" si="11"/>
        <v>595.17256193624144</v>
      </c>
      <c r="DT22" s="33">
        <f t="shared" si="11"/>
        <v>97.025562656160574</v>
      </c>
      <c r="DU22" s="33">
        <f t="shared" si="11"/>
        <v>1383.020413356398</v>
      </c>
      <c r="DV22" s="33">
        <f t="shared" si="11"/>
        <v>276.64210439434902</v>
      </c>
      <c r="DW22" s="33">
        <f t="shared" si="11"/>
        <v>110.67323579055667</v>
      </c>
      <c r="DX22" s="33">
        <f t="shared" si="11"/>
        <v>305.09175827843876</v>
      </c>
      <c r="DY22" s="33">
        <f t="shared" si="11"/>
        <v>784.63064501569454</v>
      </c>
      <c r="DZ22" s="33">
        <f t="shared" si="11"/>
        <v>1066.3052439401959</v>
      </c>
      <c r="EA22" s="33">
        <f t="shared" si="11"/>
        <v>524.30593000831425</v>
      </c>
      <c r="EB22" s="33">
        <f t="shared" si="11"/>
        <v>54.850424240368717</v>
      </c>
      <c r="EC22" s="33">
        <f t="shared" si="11"/>
        <v>973.10231710013284</v>
      </c>
      <c r="ED22" s="33">
        <f t="shared" si="11"/>
        <v>3559.9397460416862</v>
      </c>
      <c r="EE22" s="33">
        <f t="shared" ref="EE22:FI22" si="12">AVERAGE(EE17:EE21)</f>
        <v>1544.5199685359044</v>
      </c>
      <c r="EF22" s="33">
        <f t="shared" si="12"/>
        <v>2473.9510210169155</v>
      </c>
      <c r="EG22" s="33">
        <f t="shared" si="12"/>
        <v>2088.158872551578</v>
      </c>
      <c r="EH22" s="33">
        <f t="shared" si="12"/>
        <v>891.20552288574731</v>
      </c>
      <c r="EI22" s="33">
        <f t="shared" si="12"/>
        <v>194.631915545921</v>
      </c>
      <c r="EJ22" s="33">
        <f t="shared" si="12"/>
        <v>132.03640407351554</v>
      </c>
      <c r="EK22" s="33">
        <f t="shared" si="12"/>
        <v>398.30036743281323</v>
      </c>
      <c r="EL22" s="33">
        <f t="shared" si="12"/>
        <v>77.678919171287944</v>
      </c>
      <c r="EM22" s="33">
        <f t="shared" si="12"/>
        <v>383.51429736921182</v>
      </c>
      <c r="EN22" s="33">
        <f t="shared" si="12"/>
        <v>233.6450193519392</v>
      </c>
      <c r="EO22" s="33">
        <f t="shared" si="12"/>
        <v>241.34053870643453</v>
      </c>
      <c r="EP22" s="33"/>
      <c r="EQ22" s="33">
        <f t="shared" si="12"/>
        <v>1839.8886820133841</v>
      </c>
      <c r="ER22" s="33">
        <f t="shared" si="12"/>
        <v>19774.736103933403</v>
      </c>
      <c r="ES22" s="33">
        <f t="shared" si="12"/>
        <v>5310.7100980240848</v>
      </c>
      <c r="ET22" s="33">
        <f t="shared" si="12"/>
        <v>125.57651015572131</v>
      </c>
      <c r="EU22" s="33">
        <f t="shared" si="12"/>
        <v>596.48891743968659</v>
      </c>
      <c r="EV22" s="33">
        <f t="shared" si="12"/>
        <v>153.98532257748781</v>
      </c>
      <c r="EW22" s="33">
        <f t="shared" si="12"/>
        <v>372.96879499270472</v>
      </c>
      <c r="EX22" s="33">
        <f t="shared" si="12"/>
        <v>1757.8115132812122</v>
      </c>
      <c r="EY22" s="33">
        <f t="shared" si="12"/>
        <v>6537.3139216435839</v>
      </c>
      <c r="EZ22" s="33">
        <f t="shared" si="12"/>
        <v>1948.8781785845779</v>
      </c>
      <c r="FA22" s="33">
        <f t="shared" si="12"/>
        <v>270.52317746523619</v>
      </c>
      <c r="FB22" s="33">
        <f t="shared" si="12"/>
        <v>3812.8831019784739</v>
      </c>
      <c r="FC22" s="33">
        <f t="shared" si="12"/>
        <v>194.52834354242481</v>
      </c>
      <c r="FD22" s="33">
        <f t="shared" si="12"/>
        <v>3359.6133070341443</v>
      </c>
      <c r="FE22" s="33">
        <f t="shared" si="12"/>
        <v>14452.439391227697</v>
      </c>
      <c r="FF22" s="33">
        <f t="shared" si="12"/>
        <v>1161.9444796484208</v>
      </c>
      <c r="FG22" s="33">
        <f t="shared" si="12"/>
        <v>1161.1441807731424</v>
      </c>
      <c r="FH22" s="33">
        <f t="shared" si="12"/>
        <v>183.52664508684978</v>
      </c>
      <c r="FI22" s="33">
        <f t="shared" si="12"/>
        <v>252.88732696169814</v>
      </c>
    </row>
    <row r="23" spans="1:166" s="32" customFormat="1" ht="15">
      <c r="B23" s="20" t="s">
        <v>165</v>
      </c>
      <c r="C23" s="33">
        <f>_xlfn.STDEV.S(C17:C21)</f>
        <v>1085.6271110149328</v>
      </c>
      <c r="D23" s="33">
        <f t="shared" ref="D23:BQ23" si="13">_xlfn.STDEV.S(D17:D21)</f>
        <v>95.337688889870819</v>
      </c>
      <c r="E23" s="33">
        <f t="shared" si="13"/>
        <v>1806.9279452754931</v>
      </c>
      <c r="F23" s="33">
        <f t="shared" si="13"/>
        <v>829.05705881702477</v>
      </c>
      <c r="G23" s="33">
        <f t="shared" si="13"/>
        <v>172.42067191189858</v>
      </c>
      <c r="H23" s="33">
        <f t="shared" si="13"/>
        <v>140.87539530200823</v>
      </c>
      <c r="I23" s="33">
        <f t="shared" si="13"/>
        <v>74.129879814602205</v>
      </c>
      <c r="J23" s="33">
        <f t="shared" si="13"/>
        <v>7499.9760088351322</v>
      </c>
      <c r="K23" s="33">
        <f t="shared" si="13"/>
        <v>4824.4253808967187</v>
      </c>
      <c r="L23" s="33">
        <f t="shared" si="13"/>
        <v>456.47899503158379</v>
      </c>
      <c r="M23" s="33">
        <f t="shared" si="13"/>
        <v>74.865854981939364</v>
      </c>
      <c r="N23" s="33">
        <f t="shared" si="13"/>
        <v>99.671385399429141</v>
      </c>
      <c r="O23" s="33">
        <f t="shared" si="13"/>
        <v>24.452584742544321</v>
      </c>
      <c r="P23" s="33">
        <f t="shared" si="13"/>
        <v>7.2831451986719546</v>
      </c>
      <c r="Q23" s="33">
        <f t="shared" si="13"/>
        <v>33.393191054840585</v>
      </c>
      <c r="R23" s="33">
        <f t="shared" si="13"/>
        <v>30.810258475613711</v>
      </c>
      <c r="S23" s="33">
        <f t="shared" si="13"/>
        <v>106.16276696579965</v>
      </c>
      <c r="T23" s="33">
        <f t="shared" si="13"/>
        <v>203.69572638091469</v>
      </c>
      <c r="U23" s="33"/>
      <c r="V23" s="33">
        <f t="shared" si="13"/>
        <v>24049.760941635082</v>
      </c>
      <c r="W23" s="33">
        <f t="shared" si="13"/>
        <v>17693.918278275178</v>
      </c>
      <c r="X23" s="33">
        <f t="shared" si="13"/>
        <v>54220.635388158997</v>
      </c>
      <c r="Y23" s="33">
        <f t="shared" si="13"/>
        <v>204.66962300332048</v>
      </c>
      <c r="Z23" s="33">
        <f t="shared" si="13"/>
        <v>1980.3947733318869</v>
      </c>
      <c r="AA23" s="33">
        <f t="shared" si="13"/>
        <v>360932.01011928316</v>
      </c>
      <c r="AB23" s="33">
        <f t="shared" si="13"/>
        <v>4849.5032608893871</v>
      </c>
      <c r="AC23" s="33">
        <f t="shared" si="13"/>
        <v>33586.447723317433</v>
      </c>
      <c r="AD23" s="33">
        <f t="shared" si="13"/>
        <v>2531.6022295792445</v>
      </c>
      <c r="AE23" s="33">
        <f t="shared" si="13"/>
        <v>11250.850120585304</v>
      </c>
      <c r="AF23" s="33">
        <f t="shared" si="13"/>
        <v>14356.776555886894</v>
      </c>
      <c r="AG23" s="33">
        <f t="shared" si="13"/>
        <v>467.11769925158779</v>
      </c>
      <c r="AH23" s="33">
        <f t="shared" si="13"/>
        <v>873.13227552238845</v>
      </c>
      <c r="AI23" s="33">
        <f t="shared" si="13"/>
        <v>7849.8611924101751</v>
      </c>
      <c r="AJ23" s="33">
        <f t="shared" si="13"/>
        <v>2637.9214471875089</v>
      </c>
      <c r="AK23" s="33">
        <f t="shared" si="13"/>
        <v>66.631241258113008</v>
      </c>
      <c r="AL23" s="33">
        <f t="shared" si="13"/>
        <v>211.71277638498174</v>
      </c>
      <c r="AM23" s="33">
        <f t="shared" si="13"/>
        <v>5658.9981156353588</v>
      </c>
      <c r="AN23" s="33">
        <f t="shared" si="13"/>
        <v>5039.7559616830222</v>
      </c>
      <c r="AO23" s="33">
        <f t="shared" si="13"/>
        <v>174.1879957893008</v>
      </c>
      <c r="AP23" s="33">
        <f t="shared" si="13"/>
        <v>622.30204287984316</v>
      </c>
      <c r="AQ23" s="33">
        <f t="shared" si="13"/>
        <v>386.10278732465684</v>
      </c>
      <c r="AR23" s="33">
        <f t="shared" si="13"/>
        <v>522.9261242161765</v>
      </c>
      <c r="AS23" s="33">
        <f t="shared" si="13"/>
        <v>3650.360105740855</v>
      </c>
      <c r="AT23" s="33">
        <f t="shared" si="13"/>
        <v>2037.1305660872033</v>
      </c>
      <c r="AU23" s="33"/>
      <c r="AV23" s="33">
        <f t="shared" si="13"/>
        <v>51.650098766003744</v>
      </c>
      <c r="AW23" s="33">
        <f t="shared" si="13"/>
        <v>915.30958470551707</v>
      </c>
      <c r="AX23" s="33">
        <f t="shared" si="13"/>
        <v>158.804916758562</v>
      </c>
      <c r="AY23" s="33">
        <f t="shared" si="13"/>
        <v>112.47368331443192</v>
      </c>
      <c r="AZ23" s="33">
        <f t="shared" si="13"/>
        <v>139.34445932111711</v>
      </c>
      <c r="BA23" s="33">
        <f t="shared" si="13"/>
        <v>1641.2254300088471</v>
      </c>
      <c r="BB23" s="33">
        <f t="shared" si="13"/>
        <v>31322.164571383208</v>
      </c>
      <c r="BC23" s="33">
        <f t="shared" si="13"/>
        <v>13744.82408613269</v>
      </c>
      <c r="BD23" s="33">
        <f t="shared" si="13"/>
        <v>2067.5998951081829</v>
      </c>
      <c r="BE23" s="33">
        <f t="shared" si="13"/>
        <v>545.94675285855703</v>
      </c>
      <c r="BF23" s="33">
        <f t="shared" si="13"/>
        <v>5125.83086276011</v>
      </c>
      <c r="BG23" s="33">
        <f t="shared" si="13"/>
        <v>3404.881383982166</v>
      </c>
      <c r="BH23" s="33">
        <f t="shared" si="13"/>
        <v>5359.4423372342526</v>
      </c>
      <c r="BI23" s="33">
        <f t="shared" si="13"/>
        <v>1995.8608502455565</v>
      </c>
      <c r="BJ23" s="33">
        <f t="shared" si="13"/>
        <v>178822.50104311077</v>
      </c>
      <c r="BK23" s="33">
        <f t="shared" si="13"/>
        <v>62103.831415222754</v>
      </c>
      <c r="BL23" s="33">
        <f t="shared" si="13"/>
        <v>11207.740697207275</v>
      </c>
      <c r="BM23" s="33">
        <f t="shared" si="13"/>
        <v>10574.897443332186</v>
      </c>
      <c r="BN23" s="33">
        <f t="shared" si="13"/>
        <v>2075.9635236666099</v>
      </c>
      <c r="BO23" s="33">
        <f t="shared" si="13"/>
        <v>1726.2158082816447</v>
      </c>
      <c r="BP23" s="33">
        <f t="shared" si="13"/>
        <v>1486.9962137597834</v>
      </c>
      <c r="BQ23" s="33">
        <f t="shared" si="13"/>
        <v>1013.499458959699</v>
      </c>
      <c r="BR23" s="33">
        <f t="shared" ref="BR23:ED23" si="14">_xlfn.STDEV.S(BR17:BR21)</f>
        <v>3487.8690073439175</v>
      </c>
      <c r="BS23" s="33">
        <f t="shared" si="14"/>
        <v>3545.4929559904649</v>
      </c>
      <c r="BT23" s="33">
        <f t="shared" si="14"/>
        <v>6656.6754299731547</v>
      </c>
      <c r="BU23" s="33">
        <f t="shared" si="14"/>
        <v>680.57720104489817</v>
      </c>
      <c r="BV23" s="33">
        <f t="shared" si="14"/>
        <v>6005.6015344796315</v>
      </c>
      <c r="BW23" s="33">
        <f t="shared" si="14"/>
        <v>8194.0414823095471</v>
      </c>
      <c r="BX23" s="33">
        <f t="shared" si="14"/>
        <v>16271.237603158383</v>
      </c>
      <c r="BY23" s="33">
        <f t="shared" si="14"/>
        <v>71583.029193601877</v>
      </c>
      <c r="BZ23" s="33">
        <f t="shared" si="14"/>
        <v>16262.014990406842</v>
      </c>
      <c r="CA23" s="33">
        <f t="shared" si="14"/>
        <v>6047.6890371846002</v>
      </c>
      <c r="CB23" s="33">
        <f t="shared" si="14"/>
        <v>1701.7872514083467</v>
      </c>
      <c r="CC23" s="33">
        <f t="shared" si="14"/>
        <v>1900.0159221417493</v>
      </c>
      <c r="CD23" s="33">
        <f t="shared" si="14"/>
        <v>8758.6235329736828</v>
      </c>
      <c r="CE23" s="33">
        <f t="shared" si="14"/>
        <v>10556.594004080125</v>
      </c>
      <c r="CF23" s="33">
        <f t="shared" si="14"/>
        <v>9620.6589140706092</v>
      </c>
      <c r="CG23" s="33">
        <f t="shared" si="14"/>
        <v>206.78268062435018</v>
      </c>
      <c r="CH23" s="33">
        <f t="shared" si="14"/>
        <v>89.467710568807803</v>
      </c>
      <c r="CI23" s="33">
        <f t="shared" si="14"/>
        <v>1004557.1774732126</v>
      </c>
      <c r="CJ23" s="33">
        <f t="shared" si="14"/>
        <v>328.17844641200315</v>
      </c>
      <c r="CK23" s="33">
        <f t="shared" si="14"/>
        <v>862.39980744464413</v>
      </c>
      <c r="CL23" s="33">
        <f t="shared" si="14"/>
        <v>219.24619671019332</v>
      </c>
      <c r="CM23" s="33">
        <f t="shared" si="14"/>
        <v>736.54211025190989</v>
      </c>
      <c r="CN23" s="33">
        <f t="shared" si="14"/>
        <v>110.69471020214034</v>
      </c>
      <c r="CO23" s="33">
        <f t="shared" si="14"/>
        <v>745.73728371331879</v>
      </c>
      <c r="CP23" s="33"/>
      <c r="CQ23" s="33">
        <f t="shared" si="14"/>
        <v>205.33511045047973</v>
      </c>
      <c r="CR23" s="33">
        <f t="shared" si="14"/>
        <v>68.990440543268733</v>
      </c>
      <c r="CS23" s="33">
        <f t="shared" si="14"/>
        <v>151.16027980929226</v>
      </c>
      <c r="CT23" s="33">
        <f t="shared" si="14"/>
        <v>144.67858068951284</v>
      </c>
      <c r="CU23" s="33">
        <f t="shared" si="14"/>
        <v>14.451898103646542</v>
      </c>
      <c r="CV23" s="33">
        <f t="shared" si="14"/>
        <v>27.52531748140839</v>
      </c>
      <c r="CW23" s="33">
        <f t="shared" si="14"/>
        <v>1282.4337178432904</v>
      </c>
      <c r="CX23" s="33">
        <f t="shared" si="14"/>
        <v>6779.5730156991549</v>
      </c>
      <c r="CY23" s="33">
        <f t="shared" si="14"/>
        <v>137.82737006221717</v>
      </c>
      <c r="CZ23" s="33">
        <f t="shared" si="14"/>
        <v>87.352222345141683</v>
      </c>
      <c r="DA23" s="33">
        <f t="shared" si="14"/>
        <v>578.30558855484367</v>
      </c>
      <c r="DB23" s="33">
        <f t="shared" si="14"/>
        <v>1600.9510750893198</v>
      </c>
      <c r="DC23" s="33">
        <f t="shared" si="14"/>
        <v>133.03231274005219</v>
      </c>
      <c r="DD23" s="33">
        <f t="shared" si="14"/>
        <v>267.62021813038257</v>
      </c>
      <c r="DE23" s="33">
        <f t="shared" si="14"/>
        <v>1355.3659702334107</v>
      </c>
      <c r="DF23" s="33">
        <f t="shared" si="14"/>
        <v>1148.427540216657</v>
      </c>
      <c r="DG23" s="33">
        <f t="shared" si="14"/>
        <v>576.97873390801601</v>
      </c>
      <c r="DH23" s="33">
        <f t="shared" si="14"/>
        <v>57.423839040900688</v>
      </c>
      <c r="DI23" s="33">
        <f t="shared" si="14"/>
        <v>71.339584947656604</v>
      </c>
      <c r="DJ23" s="33">
        <f t="shared" si="14"/>
        <v>92.951438750739058</v>
      </c>
      <c r="DK23" s="33">
        <f t="shared" si="14"/>
        <v>292.20303237203228</v>
      </c>
      <c r="DL23" s="33">
        <f t="shared" si="14"/>
        <v>476.06166744723072</v>
      </c>
      <c r="DM23" s="33">
        <f t="shared" si="14"/>
        <v>228.26966568792918</v>
      </c>
      <c r="DN23" s="33">
        <f t="shared" si="14"/>
        <v>228.81011071252152</v>
      </c>
      <c r="DO23" s="33">
        <f t="shared" si="14"/>
        <v>1466.0646516990355</v>
      </c>
      <c r="DP23" s="33">
        <f t="shared" si="14"/>
        <v>5144.2522674920092</v>
      </c>
      <c r="DQ23" s="33">
        <f t="shared" si="14"/>
        <v>623.42647548984644</v>
      </c>
      <c r="DR23" s="33">
        <f t="shared" si="14"/>
        <v>1006.8524814510801</v>
      </c>
      <c r="DS23" s="33">
        <f t="shared" si="14"/>
        <v>384.60867751731837</v>
      </c>
      <c r="DT23" s="33">
        <f t="shared" si="14"/>
        <v>49.552693400622417</v>
      </c>
      <c r="DU23" s="33">
        <f t="shared" si="14"/>
        <v>408.90188611120936</v>
      </c>
      <c r="DV23" s="33">
        <f t="shared" si="14"/>
        <v>246.64894657048981</v>
      </c>
      <c r="DW23" s="33">
        <f t="shared" si="14"/>
        <v>78.822975239406389</v>
      </c>
      <c r="DX23" s="33">
        <f t="shared" si="14"/>
        <v>113.82800781092517</v>
      </c>
      <c r="DY23" s="33">
        <f t="shared" si="14"/>
        <v>304.73359904340595</v>
      </c>
      <c r="DZ23" s="33">
        <f t="shared" si="14"/>
        <v>184.16786018044573</v>
      </c>
      <c r="EA23" s="33">
        <f t="shared" si="14"/>
        <v>177.29282102169662</v>
      </c>
      <c r="EB23" s="33">
        <f t="shared" si="14"/>
        <v>22.69148467360602</v>
      </c>
      <c r="EC23" s="33">
        <f t="shared" si="14"/>
        <v>315.58880438968282</v>
      </c>
      <c r="ED23" s="33">
        <f t="shared" si="14"/>
        <v>649.83325515428862</v>
      </c>
      <c r="EE23" s="33">
        <f t="shared" ref="EE23:FI23" si="15">_xlfn.STDEV.S(EE17:EE21)</f>
        <v>669.68188720062903</v>
      </c>
      <c r="EF23" s="33">
        <f t="shared" si="15"/>
        <v>1183.2444328735357</v>
      </c>
      <c r="EG23" s="33">
        <f t="shared" si="15"/>
        <v>277.69785814887746</v>
      </c>
      <c r="EH23" s="33">
        <f t="shared" si="15"/>
        <v>150.41516787796684</v>
      </c>
      <c r="EI23" s="33">
        <f t="shared" si="15"/>
        <v>36.659122123651258</v>
      </c>
      <c r="EJ23" s="33">
        <f t="shared" si="15"/>
        <v>63.334240301987478</v>
      </c>
      <c r="EK23" s="33">
        <f t="shared" si="15"/>
        <v>100.3499094658508</v>
      </c>
      <c r="EL23" s="33">
        <f t="shared" si="15"/>
        <v>39.605428923604833</v>
      </c>
      <c r="EM23" s="33">
        <f t="shared" si="15"/>
        <v>98.171899345250381</v>
      </c>
      <c r="EN23" s="33">
        <f t="shared" si="15"/>
        <v>168.80942248599249</v>
      </c>
      <c r="EO23" s="33">
        <f t="shared" si="15"/>
        <v>154.22480828786411</v>
      </c>
      <c r="EP23" s="33"/>
      <c r="EQ23" s="33">
        <f t="shared" si="15"/>
        <v>960.36734218020206</v>
      </c>
      <c r="ER23" s="33">
        <f t="shared" si="15"/>
        <v>2115.9040146903812</v>
      </c>
      <c r="ES23" s="33">
        <f t="shared" si="15"/>
        <v>1788.3907813543838</v>
      </c>
      <c r="ET23" s="33">
        <f t="shared" si="15"/>
        <v>65.395485502474045</v>
      </c>
      <c r="EU23" s="33">
        <f t="shared" si="15"/>
        <v>273.33763550420645</v>
      </c>
      <c r="EV23" s="33">
        <f t="shared" si="15"/>
        <v>39.26753668739449</v>
      </c>
      <c r="EW23" s="33">
        <f t="shared" si="15"/>
        <v>257.94238760953937</v>
      </c>
      <c r="EX23" s="33">
        <f t="shared" si="15"/>
        <v>401.65658398532696</v>
      </c>
      <c r="EY23" s="33">
        <f t="shared" si="15"/>
        <v>1045.8098158170856</v>
      </c>
      <c r="EZ23" s="33">
        <f t="shared" si="15"/>
        <v>1028.5437418007989</v>
      </c>
      <c r="FA23" s="33">
        <f t="shared" si="15"/>
        <v>69.46940327388441</v>
      </c>
      <c r="FB23" s="33">
        <f t="shared" si="15"/>
        <v>1575.928309243958</v>
      </c>
      <c r="FC23" s="33">
        <f t="shared" si="15"/>
        <v>120.12357824394607</v>
      </c>
      <c r="FD23" s="33">
        <f t="shared" si="15"/>
        <v>1181.4622114656827</v>
      </c>
      <c r="FE23" s="33">
        <f t="shared" si="15"/>
        <v>6779.5730156991549</v>
      </c>
      <c r="FF23" s="33">
        <f t="shared" si="15"/>
        <v>1064.2581933766328</v>
      </c>
      <c r="FG23" s="33">
        <f t="shared" si="15"/>
        <v>432.74959071502019</v>
      </c>
      <c r="FH23" s="33">
        <f t="shared" si="15"/>
        <v>79.544937572896174</v>
      </c>
      <c r="FI23" s="33">
        <f t="shared" si="15"/>
        <v>153.26213188841089</v>
      </c>
    </row>
    <row r="24" spans="1:166" s="32" customFormat="1" ht="15">
      <c r="B24" s="20" t="s">
        <v>173</v>
      </c>
      <c r="C24" s="33">
        <f>MEDIAN(C17:C21)</f>
        <v>1250.1034078897801</v>
      </c>
      <c r="D24" s="33">
        <f t="shared" ref="D24:BQ24" si="16">MEDIAN(D17:D21)</f>
        <v>148.09515971447399</v>
      </c>
      <c r="E24" s="33">
        <f t="shared" si="16"/>
        <v>3609.5838174038499</v>
      </c>
      <c r="F24" s="33">
        <f t="shared" si="16"/>
        <v>2497.65025949136</v>
      </c>
      <c r="G24" s="33">
        <f t="shared" si="16"/>
        <v>199.12965970457699</v>
      </c>
      <c r="H24" s="33">
        <f t="shared" si="16"/>
        <v>321.82798258984599</v>
      </c>
      <c r="I24" s="33">
        <f t="shared" si="16"/>
        <v>351.10615584843498</v>
      </c>
      <c r="J24" s="33">
        <f t="shared" si="16"/>
        <v>10515.5289810016</v>
      </c>
      <c r="K24" s="33">
        <f t="shared" si="16"/>
        <v>4709.4717601796701</v>
      </c>
      <c r="L24" s="33">
        <f t="shared" si="16"/>
        <v>575.93161132981902</v>
      </c>
      <c r="M24" s="33">
        <f t="shared" si="16"/>
        <v>49.343538530871598</v>
      </c>
      <c r="N24" s="33">
        <f t="shared" si="16"/>
        <v>166.09676914833699</v>
      </c>
      <c r="O24" s="33">
        <f t="shared" si="16"/>
        <v>30.561481346442999</v>
      </c>
      <c r="P24" s="33">
        <f t="shared" si="16"/>
        <v>36.699387224981301</v>
      </c>
      <c r="Q24" s="33">
        <f t="shared" si="16"/>
        <v>1</v>
      </c>
      <c r="R24" s="33">
        <f t="shared" si="16"/>
        <v>35.496079259546001</v>
      </c>
      <c r="S24" s="33">
        <f t="shared" si="16"/>
        <v>92.217666988337797</v>
      </c>
      <c r="T24" s="33">
        <f t="shared" si="16"/>
        <v>297.93509861196799</v>
      </c>
      <c r="U24" s="33"/>
      <c r="V24" s="33">
        <f t="shared" si="16"/>
        <v>114376.494565977</v>
      </c>
      <c r="W24" s="33">
        <f t="shared" si="16"/>
        <v>138316.02346270601</v>
      </c>
      <c r="X24" s="33">
        <f t="shared" si="16"/>
        <v>159712.56001839001</v>
      </c>
      <c r="Y24" s="33">
        <f t="shared" si="16"/>
        <v>270.05652179695397</v>
      </c>
      <c r="Z24" s="33">
        <f t="shared" si="16"/>
        <v>4258.93212591258</v>
      </c>
      <c r="AA24" s="33">
        <f t="shared" si="16"/>
        <v>825465.12128487299</v>
      </c>
      <c r="AB24" s="33">
        <f t="shared" si="16"/>
        <v>16723.100232711098</v>
      </c>
      <c r="AC24" s="33">
        <f t="shared" si="16"/>
        <v>145906.99362854299</v>
      </c>
      <c r="AD24" s="33">
        <f t="shared" si="16"/>
        <v>5497.5643684382603</v>
      </c>
      <c r="AE24" s="33">
        <f t="shared" si="16"/>
        <v>23955.922319965699</v>
      </c>
      <c r="AF24" s="33">
        <f t="shared" si="16"/>
        <v>69666.657077355499</v>
      </c>
      <c r="AG24" s="33">
        <f t="shared" si="16"/>
        <v>1490.9099682452099</v>
      </c>
      <c r="AH24" s="33">
        <f t="shared" si="16"/>
        <v>5059.4786692294101</v>
      </c>
      <c r="AI24" s="33">
        <f t="shared" si="16"/>
        <v>17211.814494583999</v>
      </c>
      <c r="AJ24" s="33">
        <f t="shared" si="16"/>
        <v>5279.8314830633299</v>
      </c>
      <c r="AK24" s="33">
        <f t="shared" si="16"/>
        <v>642.90816697196601</v>
      </c>
      <c r="AL24" s="33">
        <f t="shared" si="16"/>
        <v>383.27164136267498</v>
      </c>
      <c r="AM24" s="33">
        <f t="shared" si="16"/>
        <v>11837.4812438677</v>
      </c>
      <c r="AN24" s="33">
        <f t="shared" si="16"/>
        <v>9296.2132435564799</v>
      </c>
      <c r="AO24" s="33">
        <f t="shared" si="16"/>
        <v>340.60829969228598</v>
      </c>
      <c r="AP24" s="33">
        <f t="shared" si="16"/>
        <v>888.82406819865901</v>
      </c>
      <c r="AQ24" s="33">
        <f t="shared" si="16"/>
        <v>1230.3903303807399</v>
      </c>
      <c r="AR24" s="33">
        <f t="shared" si="16"/>
        <v>2448.6610794502499</v>
      </c>
      <c r="AS24" s="33">
        <f t="shared" si="16"/>
        <v>15522.883279587901</v>
      </c>
      <c r="AT24" s="33">
        <f t="shared" si="16"/>
        <v>4291.5900148634901</v>
      </c>
      <c r="AU24" s="33"/>
      <c r="AV24" s="33">
        <f t="shared" si="16"/>
        <v>68.734527144541701</v>
      </c>
      <c r="AW24" s="33">
        <f t="shared" si="16"/>
        <v>3419.7136119237398</v>
      </c>
      <c r="AX24" s="33">
        <f t="shared" si="16"/>
        <v>900.72546658547799</v>
      </c>
      <c r="AY24" s="33">
        <f t="shared" si="16"/>
        <v>361.27449451084601</v>
      </c>
      <c r="AZ24" s="33">
        <f t="shared" si="16"/>
        <v>306.00683914077501</v>
      </c>
      <c r="BA24" s="33">
        <f t="shared" si="16"/>
        <v>4026.3472747952901</v>
      </c>
      <c r="BB24" s="33">
        <f t="shared" si="16"/>
        <v>109187.22329886199</v>
      </c>
      <c r="BC24" s="33">
        <f t="shared" si="16"/>
        <v>65149.58995881</v>
      </c>
      <c r="BD24" s="33">
        <f t="shared" si="16"/>
        <v>5530.9648483000201</v>
      </c>
      <c r="BE24" s="33">
        <f t="shared" si="16"/>
        <v>3055.4258053092199</v>
      </c>
      <c r="BF24" s="33">
        <f t="shared" si="16"/>
        <v>13368.451551092699</v>
      </c>
      <c r="BG24" s="33">
        <f t="shared" si="16"/>
        <v>10188.248494932701</v>
      </c>
      <c r="BH24" s="33">
        <f t="shared" si="16"/>
        <v>14007.4288511793</v>
      </c>
      <c r="BI24" s="33">
        <f t="shared" si="16"/>
        <v>8606.2676450416402</v>
      </c>
      <c r="BJ24" s="33">
        <f t="shared" si="16"/>
        <v>443022.72974607401</v>
      </c>
      <c r="BK24" s="33">
        <f t="shared" si="16"/>
        <v>349139.13179069897</v>
      </c>
      <c r="BL24" s="33">
        <f t="shared" si="16"/>
        <v>67749.647625445694</v>
      </c>
      <c r="BM24" s="33">
        <f t="shared" si="16"/>
        <v>48486.258281497401</v>
      </c>
      <c r="BN24" s="33">
        <f t="shared" si="16"/>
        <v>5218.3692991241896</v>
      </c>
      <c r="BO24" s="33">
        <f t="shared" si="16"/>
        <v>5332.8140561774599</v>
      </c>
      <c r="BP24" s="33">
        <f t="shared" si="16"/>
        <v>6673.3297190387702</v>
      </c>
      <c r="BQ24" s="33">
        <f t="shared" si="16"/>
        <v>3099.7775674105701</v>
      </c>
      <c r="BR24" s="33">
        <f t="shared" ref="BR24:ED24" si="17">MEDIAN(BR17:BR21)</f>
        <v>16788.821170150801</v>
      </c>
      <c r="BS24" s="33">
        <f t="shared" si="17"/>
        <v>16576.631565097301</v>
      </c>
      <c r="BT24" s="33">
        <f t="shared" si="17"/>
        <v>16517.890991167998</v>
      </c>
      <c r="BU24" s="33">
        <f t="shared" si="17"/>
        <v>4720.7730091732301</v>
      </c>
      <c r="BV24" s="33">
        <f t="shared" si="17"/>
        <v>18119.558306001902</v>
      </c>
      <c r="BW24" s="33">
        <f t="shared" si="17"/>
        <v>38331.666747807198</v>
      </c>
      <c r="BX24" s="33">
        <f t="shared" si="17"/>
        <v>99192.872539993405</v>
      </c>
      <c r="BY24" s="33">
        <f t="shared" si="17"/>
        <v>333852.04434587201</v>
      </c>
      <c r="BZ24" s="33">
        <f t="shared" si="17"/>
        <v>70489.955474232396</v>
      </c>
      <c r="CA24" s="33">
        <f t="shared" si="17"/>
        <v>22033.220393486499</v>
      </c>
      <c r="CB24" s="33">
        <f t="shared" si="17"/>
        <v>11426.223061643501</v>
      </c>
      <c r="CC24" s="33">
        <f t="shared" si="17"/>
        <v>9438.3521452758105</v>
      </c>
      <c r="CD24" s="33">
        <f t="shared" si="17"/>
        <v>46639.860284209499</v>
      </c>
      <c r="CE24" s="33">
        <f t="shared" si="17"/>
        <v>50534.963411732599</v>
      </c>
      <c r="CF24" s="33">
        <f t="shared" si="17"/>
        <v>41269.334883728203</v>
      </c>
      <c r="CG24" s="33">
        <f t="shared" si="17"/>
        <v>394.89897981623102</v>
      </c>
      <c r="CH24" s="33">
        <f t="shared" si="17"/>
        <v>92.878475421083294</v>
      </c>
      <c r="CI24" s="33">
        <f t="shared" si="17"/>
        <v>167.58326442499501</v>
      </c>
      <c r="CJ24" s="33">
        <f t="shared" si="17"/>
        <v>234.461793139946</v>
      </c>
      <c r="CK24" s="33">
        <f t="shared" si="17"/>
        <v>1468.39087865428</v>
      </c>
      <c r="CL24" s="33">
        <f t="shared" si="17"/>
        <v>238.101140740777</v>
      </c>
      <c r="CM24" s="33">
        <f t="shared" si="17"/>
        <v>1290.72450555111</v>
      </c>
      <c r="CN24" s="33">
        <f t="shared" si="17"/>
        <v>75.656781610438699</v>
      </c>
      <c r="CO24" s="33">
        <f t="shared" si="17"/>
        <v>94.325478524967707</v>
      </c>
      <c r="CP24" s="33"/>
      <c r="CQ24" s="33">
        <f t="shared" si="17"/>
        <v>293.730195228583</v>
      </c>
      <c r="CR24" s="33">
        <f t="shared" si="17"/>
        <v>244.235438917696</v>
      </c>
      <c r="CS24" s="33">
        <f t="shared" si="17"/>
        <v>258.151990181484</v>
      </c>
      <c r="CT24" s="33">
        <f t="shared" si="17"/>
        <v>88.675222787901404</v>
      </c>
      <c r="CU24" s="33">
        <f t="shared" si="17"/>
        <v>14.708605738883501</v>
      </c>
      <c r="CV24" s="33">
        <f t="shared" si="17"/>
        <v>34.4631685843366</v>
      </c>
      <c r="CW24" s="33">
        <f t="shared" si="17"/>
        <v>4107.8696796067998</v>
      </c>
      <c r="CX24" s="33">
        <f t="shared" si="17"/>
        <v>14435.0137636492</v>
      </c>
      <c r="CY24" s="33">
        <f t="shared" si="17"/>
        <v>311.589523545036</v>
      </c>
      <c r="CZ24" s="33">
        <f t="shared" si="17"/>
        <v>816.94235804504501</v>
      </c>
      <c r="DA24" s="33">
        <f t="shared" si="17"/>
        <v>750.60152538332898</v>
      </c>
      <c r="DB24" s="33">
        <f t="shared" si="17"/>
        <v>3513.94768639637</v>
      </c>
      <c r="DC24" s="33">
        <f t="shared" si="17"/>
        <v>223.44913958908799</v>
      </c>
      <c r="DD24" s="33">
        <f t="shared" si="17"/>
        <v>964.29926288101694</v>
      </c>
      <c r="DE24" s="33">
        <f t="shared" si="17"/>
        <v>13418.8391481899</v>
      </c>
      <c r="DF24" s="33">
        <f t="shared" si="17"/>
        <v>16347.9188420849</v>
      </c>
      <c r="DG24" s="33">
        <f t="shared" si="17"/>
        <v>178.14874732102399</v>
      </c>
      <c r="DH24" s="33">
        <f t="shared" si="17"/>
        <v>85.863313331735</v>
      </c>
      <c r="DI24" s="33">
        <f t="shared" si="17"/>
        <v>50.433963016281901</v>
      </c>
      <c r="DJ24" s="33">
        <f t="shared" si="17"/>
        <v>379.30333438166701</v>
      </c>
      <c r="DK24" s="33">
        <f t="shared" si="17"/>
        <v>616.81756682828097</v>
      </c>
      <c r="DL24" s="33">
        <f t="shared" si="17"/>
        <v>642.49471154799198</v>
      </c>
      <c r="DM24" s="33">
        <f t="shared" si="17"/>
        <v>1989.9830382820801</v>
      </c>
      <c r="DN24" s="33">
        <f t="shared" si="17"/>
        <v>791.54821130949801</v>
      </c>
      <c r="DO24" s="33">
        <f t="shared" si="17"/>
        <v>9595.4403787861993</v>
      </c>
      <c r="DP24" s="33">
        <f t="shared" si="17"/>
        <v>11078.4186311249</v>
      </c>
      <c r="DQ24" s="33">
        <f t="shared" si="17"/>
        <v>5686.8822816817801</v>
      </c>
      <c r="DR24" s="33">
        <f t="shared" si="17"/>
        <v>4347.2354170383196</v>
      </c>
      <c r="DS24" s="33">
        <f t="shared" si="17"/>
        <v>530.58137995448601</v>
      </c>
      <c r="DT24" s="33">
        <f t="shared" si="17"/>
        <v>85.262493071597902</v>
      </c>
      <c r="DU24" s="33">
        <f t="shared" si="17"/>
        <v>1319.2365374233</v>
      </c>
      <c r="DV24" s="33">
        <f t="shared" si="17"/>
        <v>179.758924282012</v>
      </c>
      <c r="DW24" s="33">
        <f t="shared" si="17"/>
        <v>90.194876650363895</v>
      </c>
      <c r="DX24" s="33">
        <f t="shared" si="17"/>
        <v>363.10040752003499</v>
      </c>
      <c r="DY24" s="33">
        <f t="shared" si="17"/>
        <v>884.62221066781399</v>
      </c>
      <c r="DZ24" s="33">
        <f t="shared" si="17"/>
        <v>968.00222983525202</v>
      </c>
      <c r="EA24" s="33">
        <f t="shared" si="17"/>
        <v>632.11661104776397</v>
      </c>
      <c r="EB24" s="33">
        <f t="shared" si="17"/>
        <v>50.216373402669397</v>
      </c>
      <c r="EC24" s="33">
        <f t="shared" si="17"/>
        <v>911.52200737273404</v>
      </c>
      <c r="ED24" s="33">
        <f t="shared" si="17"/>
        <v>3766.0128822418501</v>
      </c>
      <c r="EE24" s="33">
        <f t="shared" ref="EE24:FI24" si="18">MEDIAN(EE17:EE21)</f>
        <v>1761.4417610995099</v>
      </c>
      <c r="EF24" s="33">
        <f t="shared" si="18"/>
        <v>2912.0806724223498</v>
      </c>
      <c r="EG24" s="33">
        <f t="shared" si="18"/>
        <v>2076.95982643347</v>
      </c>
      <c r="EH24" s="33">
        <f t="shared" si="18"/>
        <v>873.7269653244</v>
      </c>
      <c r="EI24" s="33">
        <f t="shared" si="18"/>
        <v>213.98923803215899</v>
      </c>
      <c r="EJ24" s="33">
        <f t="shared" si="18"/>
        <v>131.53786842792101</v>
      </c>
      <c r="EK24" s="33">
        <f t="shared" si="18"/>
        <v>367.42589554250497</v>
      </c>
      <c r="EL24" s="33">
        <f t="shared" si="18"/>
        <v>58.364736828089001</v>
      </c>
      <c r="EM24" s="33">
        <f t="shared" si="18"/>
        <v>402.00098600587802</v>
      </c>
      <c r="EN24" s="33">
        <f t="shared" si="18"/>
        <v>158.05137727796401</v>
      </c>
      <c r="EO24" s="33">
        <f t="shared" si="18"/>
        <v>189.39399102500099</v>
      </c>
      <c r="EP24" s="33"/>
      <c r="EQ24" s="33">
        <f t="shared" si="18"/>
        <v>1551.9637145131001</v>
      </c>
      <c r="ER24" s="33">
        <f t="shared" si="18"/>
        <v>19328.478009799699</v>
      </c>
      <c r="ES24" s="33">
        <f t="shared" si="18"/>
        <v>4804.8129763663401</v>
      </c>
      <c r="ET24" s="33">
        <f t="shared" si="18"/>
        <v>131.61016062971299</v>
      </c>
      <c r="EU24" s="33">
        <f t="shared" si="18"/>
        <v>563.30344428722799</v>
      </c>
      <c r="EV24" s="33">
        <f t="shared" si="18"/>
        <v>142.402073606204</v>
      </c>
      <c r="EW24" s="33">
        <f t="shared" si="18"/>
        <v>311.57146015932801</v>
      </c>
      <c r="EX24" s="33">
        <f t="shared" si="18"/>
        <v>1780.77257374799</v>
      </c>
      <c r="EY24" s="33">
        <f t="shared" si="18"/>
        <v>6483.0360926312796</v>
      </c>
      <c r="EZ24" s="33">
        <f t="shared" si="18"/>
        <v>2307.1057615844302</v>
      </c>
      <c r="FA24" s="33">
        <f t="shared" si="18"/>
        <v>279.61515846318503</v>
      </c>
      <c r="FB24" s="33">
        <f t="shared" si="18"/>
        <v>3393.59950163847</v>
      </c>
      <c r="FC24" s="33">
        <f t="shared" si="18"/>
        <v>163.149649175316</v>
      </c>
      <c r="FD24" s="33">
        <f t="shared" si="18"/>
        <v>3153.4035003455201</v>
      </c>
      <c r="FE24" s="33">
        <f t="shared" si="18"/>
        <v>14435.0137636492</v>
      </c>
      <c r="FF24" s="33">
        <f t="shared" si="18"/>
        <v>987.47598759110599</v>
      </c>
      <c r="FG24" s="33">
        <f t="shared" si="18"/>
        <v>1039.03108772155</v>
      </c>
      <c r="FH24" s="33">
        <f t="shared" si="18"/>
        <v>209.79113239415301</v>
      </c>
      <c r="FI24" s="33">
        <f t="shared" si="18"/>
        <v>212.58534601376101</v>
      </c>
    </row>
    <row r="26" spans="1:166" ht="15">
      <c r="A26" s="25" t="s">
        <v>189</v>
      </c>
      <c r="B26" s="23" t="s">
        <v>176</v>
      </c>
      <c r="C26" s="27">
        <f t="shared" ref="C26:T26" si="19">_xlfn.T.TEST(C6:C11,C17:C21,2,3)</f>
        <v>0.13797473405558364</v>
      </c>
      <c r="D26" s="27">
        <f t="shared" si="19"/>
        <v>0.75818524000663312</v>
      </c>
      <c r="E26" s="27">
        <f t="shared" si="19"/>
        <v>7.5007732367217084E-2</v>
      </c>
      <c r="F26" s="27">
        <f t="shared" si="19"/>
        <v>0.67065847302407322</v>
      </c>
      <c r="G26" s="27">
        <f t="shared" si="19"/>
        <v>0.87116580339018035</v>
      </c>
      <c r="H26" s="27">
        <f t="shared" si="19"/>
        <v>0.28202959232552133</v>
      </c>
      <c r="I26" s="28">
        <f t="shared" si="19"/>
        <v>1.8640593463980274E-3</v>
      </c>
      <c r="J26" s="27">
        <f t="shared" si="19"/>
        <v>0.55163321997092729</v>
      </c>
      <c r="K26" s="27">
        <f t="shared" si="19"/>
        <v>0.32433026063270237</v>
      </c>
      <c r="L26" s="27">
        <f t="shared" si="19"/>
        <v>0.50162428469898113</v>
      </c>
      <c r="M26" s="27">
        <f t="shared" si="19"/>
        <v>0.88278728399970419</v>
      </c>
      <c r="N26" s="27">
        <f t="shared" si="19"/>
        <v>0.46577457285576696</v>
      </c>
      <c r="O26" s="27">
        <f t="shared" si="19"/>
        <v>0.37477020213831747</v>
      </c>
      <c r="P26" s="27">
        <f t="shared" si="19"/>
        <v>0.76264257103010458</v>
      </c>
      <c r="Q26" s="27">
        <f t="shared" si="19"/>
        <v>0.37258546971029055</v>
      </c>
      <c r="R26" s="27">
        <f t="shared" si="19"/>
        <v>0.99433947160012259</v>
      </c>
      <c r="S26" s="27">
        <f t="shared" si="19"/>
        <v>0.14019402459346825</v>
      </c>
      <c r="T26" s="27">
        <f t="shared" si="19"/>
        <v>0.90703688309959041</v>
      </c>
      <c r="U26" s="27"/>
      <c r="V26" s="27">
        <f t="shared" ref="V26:AT26" si="20">_xlfn.T.TEST(V6:V11,V17:V21,2,3)</f>
        <v>0.38014897904253331</v>
      </c>
      <c r="W26" s="27">
        <f t="shared" si="20"/>
        <v>0.23156138613294577</v>
      </c>
      <c r="X26" s="28">
        <f t="shared" si="20"/>
        <v>3.5590469934849045E-2</v>
      </c>
      <c r="Y26" s="27">
        <f t="shared" si="20"/>
        <v>9.3312721774788721E-2</v>
      </c>
      <c r="Z26" s="27">
        <f t="shared" si="20"/>
        <v>0.21098935631211374</v>
      </c>
      <c r="AA26" s="28">
        <f t="shared" si="20"/>
        <v>3.7150643351997331E-2</v>
      </c>
      <c r="AB26" s="27">
        <f t="shared" si="20"/>
        <v>0.1684346239747222</v>
      </c>
      <c r="AC26" s="28">
        <f t="shared" si="20"/>
        <v>8.8324124157213406E-3</v>
      </c>
      <c r="AD26" s="28">
        <f t="shared" si="20"/>
        <v>3.7107922764895218E-2</v>
      </c>
      <c r="AE26" s="27">
        <f t="shared" si="20"/>
        <v>0.13450527969085344</v>
      </c>
      <c r="AF26" s="28">
        <f t="shared" si="20"/>
        <v>3.0198570702836733E-3</v>
      </c>
      <c r="AG26" s="27">
        <f t="shared" si="20"/>
        <v>0.73831634768122711</v>
      </c>
      <c r="AH26" s="27">
        <f t="shared" si="20"/>
        <v>0.61257822061740919</v>
      </c>
      <c r="AI26" s="27">
        <f t="shared" si="20"/>
        <v>0.4722796237456407</v>
      </c>
      <c r="AJ26" s="27">
        <f t="shared" si="20"/>
        <v>0.40889173932582967</v>
      </c>
      <c r="AK26" s="28">
        <f t="shared" si="20"/>
        <v>1.7005796667643718E-4</v>
      </c>
      <c r="AL26" s="27">
        <f t="shared" si="20"/>
        <v>0.61737666549657233</v>
      </c>
      <c r="AM26" s="27">
        <f t="shared" si="20"/>
        <v>0.18574567295722752</v>
      </c>
      <c r="AN26" s="28">
        <f t="shared" si="20"/>
        <v>4.5594387480137069E-2</v>
      </c>
      <c r="AO26" s="27">
        <f t="shared" si="20"/>
        <v>0.78380891342671488</v>
      </c>
      <c r="AP26" s="27">
        <f t="shared" si="20"/>
        <v>0.12183704368880165</v>
      </c>
      <c r="AQ26" s="27">
        <f t="shared" si="20"/>
        <v>6.866382893986181E-2</v>
      </c>
      <c r="AR26" s="27">
        <f t="shared" si="20"/>
        <v>7.7089971384218567E-2</v>
      </c>
      <c r="AS26" s="27">
        <f t="shared" si="20"/>
        <v>0.57454452763534736</v>
      </c>
      <c r="AT26" s="28">
        <f t="shared" si="20"/>
        <v>3.325725164694119E-2</v>
      </c>
      <c r="AU26" s="28"/>
      <c r="AV26" s="27">
        <f t="shared" ref="AV26:CO26" si="21">_xlfn.T.TEST(AV6:AV11,AV17:AV21,2,3)</f>
        <v>0.14960600427387949</v>
      </c>
      <c r="AW26" s="27">
        <f t="shared" si="21"/>
        <v>0.52810482524080826</v>
      </c>
      <c r="AX26" s="27">
        <f t="shared" si="21"/>
        <v>0.33218516007962878</v>
      </c>
      <c r="AY26" s="28">
        <f t="shared" si="21"/>
        <v>3.9169901371189017E-2</v>
      </c>
      <c r="AZ26" s="27">
        <f t="shared" si="21"/>
        <v>0.56509517054131919</v>
      </c>
      <c r="BA26" s="27">
        <f t="shared" si="21"/>
        <v>6.6264800257194612E-2</v>
      </c>
      <c r="BB26" s="27">
        <f t="shared" si="21"/>
        <v>0.1545832590463212</v>
      </c>
      <c r="BC26" s="28">
        <f t="shared" si="21"/>
        <v>5.4553129833234161E-3</v>
      </c>
      <c r="BD26" s="28">
        <f t="shared" si="21"/>
        <v>1.0422052544435845E-2</v>
      </c>
      <c r="BE26" s="28">
        <f t="shared" si="21"/>
        <v>6.4746747169013462E-3</v>
      </c>
      <c r="BF26" s="27">
        <f t="shared" si="21"/>
        <v>0.6539386393059492</v>
      </c>
      <c r="BG26" s="27">
        <f t="shared" si="21"/>
        <v>0.51091711353669722</v>
      </c>
      <c r="BH26" s="27">
        <f t="shared" si="21"/>
        <v>0.11433092893783714</v>
      </c>
      <c r="BI26" s="28">
        <f t="shared" si="21"/>
        <v>3.0474511716618823E-3</v>
      </c>
      <c r="BJ26" s="27">
        <f t="shared" si="21"/>
        <v>0.46681782022346896</v>
      </c>
      <c r="BK26" s="27">
        <f t="shared" si="21"/>
        <v>0.14175073953023987</v>
      </c>
      <c r="BL26" s="28">
        <f t="shared" si="21"/>
        <v>4.1473284740955074E-2</v>
      </c>
      <c r="BM26" s="28">
        <f t="shared" si="21"/>
        <v>9.2820523862213039E-3</v>
      </c>
      <c r="BN26" s="27">
        <f t="shared" si="21"/>
        <v>5.7515793774508196E-2</v>
      </c>
      <c r="BO26" s="28">
        <f t="shared" si="21"/>
        <v>4.121246852866299E-2</v>
      </c>
      <c r="BP26" s="27">
        <f t="shared" si="21"/>
        <v>0.57324991329667696</v>
      </c>
      <c r="BQ26" s="27">
        <f t="shared" si="21"/>
        <v>0.38068119770174236</v>
      </c>
      <c r="BR26" s="27">
        <f t="shared" si="21"/>
        <v>0.64811917346233727</v>
      </c>
      <c r="BS26" s="27">
        <f t="shared" si="21"/>
        <v>0.50386989593045062</v>
      </c>
      <c r="BT26" s="27">
        <f t="shared" si="21"/>
        <v>0.52398962841073804</v>
      </c>
      <c r="BU26" s="28">
        <f t="shared" si="21"/>
        <v>3.6131029692286973E-2</v>
      </c>
      <c r="BV26" s="27">
        <f t="shared" si="21"/>
        <v>8.4045810487358832E-2</v>
      </c>
      <c r="BW26" s="28">
        <f t="shared" si="21"/>
        <v>1.7359604629313026E-2</v>
      </c>
      <c r="BX26" s="27">
        <f t="shared" si="21"/>
        <v>8.0314042640034902E-2</v>
      </c>
      <c r="BY26" s="27">
        <f t="shared" si="21"/>
        <v>0.30933087266805581</v>
      </c>
      <c r="BZ26" s="27">
        <f t="shared" si="21"/>
        <v>0.44207446239257897</v>
      </c>
      <c r="CA26" s="27">
        <f t="shared" si="21"/>
        <v>0.24500753666931629</v>
      </c>
      <c r="CB26" s="28">
        <f t="shared" si="21"/>
        <v>1.1971140947114817E-2</v>
      </c>
      <c r="CC26" s="28">
        <f t="shared" si="21"/>
        <v>3.7646311536641143E-2</v>
      </c>
      <c r="CD26" s="27">
        <f t="shared" si="21"/>
        <v>0.10137282071393917</v>
      </c>
      <c r="CE26" s="27">
        <f t="shared" si="21"/>
        <v>0.98680785236193191</v>
      </c>
      <c r="CF26" s="27">
        <f t="shared" si="21"/>
        <v>0.7545324566329179</v>
      </c>
      <c r="CG26" s="27">
        <f t="shared" si="21"/>
        <v>0.40691096310426511</v>
      </c>
      <c r="CH26" s="27">
        <f t="shared" si="21"/>
        <v>0.59633579095024425</v>
      </c>
      <c r="CI26" s="27">
        <f t="shared" si="21"/>
        <v>0.49633066588938568</v>
      </c>
      <c r="CJ26" s="27">
        <f t="shared" si="21"/>
        <v>0.45807034681518499</v>
      </c>
      <c r="CK26" s="27">
        <f t="shared" si="21"/>
        <v>0.78743846023514963</v>
      </c>
      <c r="CL26" s="27">
        <f t="shared" si="21"/>
        <v>0.85588211360168687</v>
      </c>
      <c r="CM26" s="27">
        <f t="shared" si="21"/>
        <v>0.25610750483090061</v>
      </c>
      <c r="CN26" s="27">
        <f t="shared" si="21"/>
        <v>0.91947709496608243</v>
      </c>
      <c r="CO26" s="27">
        <f t="shared" si="21"/>
        <v>0.50919476971881472</v>
      </c>
      <c r="CP26" s="27"/>
      <c r="CQ26" s="27">
        <f t="shared" ref="CQ26:DV26" si="22">_xlfn.T.TEST(CQ6:CQ11,CQ17:CQ21,2,3)</f>
        <v>0.59195222650334878</v>
      </c>
      <c r="CR26" s="27">
        <f t="shared" si="22"/>
        <v>0.29815437916043991</v>
      </c>
      <c r="CS26" s="27">
        <f t="shared" si="22"/>
        <v>0.78243499849702414</v>
      </c>
      <c r="CT26" s="27">
        <f t="shared" si="22"/>
        <v>0.75124249782619379</v>
      </c>
      <c r="CU26" s="27">
        <f t="shared" si="22"/>
        <v>0.19772501482229596</v>
      </c>
      <c r="CV26" s="27">
        <f t="shared" si="22"/>
        <v>0.89559929793411752</v>
      </c>
      <c r="CW26" s="28">
        <f t="shared" si="22"/>
        <v>3.8683112129161513E-2</v>
      </c>
      <c r="CX26" s="27">
        <f t="shared" si="22"/>
        <v>0.27430530903524597</v>
      </c>
      <c r="CY26" s="27">
        <f t="shared" si="22"/>
        <v>0.16780045165619945</v>
      </c>
      <c r="CZ26" s="27">
        <f t="shared" si="22"/>
        <v>5.0909950474201777E-2</v>
      </c>
      <c r="DA26" s="27">
        <f t="shared" si="22"/>
        <v>0.94683942314260505</v>
      </c>
      <c r="DB26" s="27">
        <f t="shared" si="22"/>
        <v>0.36355829354357361</v>
      </c>
      <c r="DC26" s="28">
        <f t="shared" si="22"/>
        <v>1.5353505193039935E-2</v>
      </c>
      <c r="DD26" s="27">
        <f t="shared" si="22"/>
        <v>0.28820120943708083</v>
      </c>
      <c r="DE26" s="27">
        <f t="shared" si="22"/>
        <v>0.10783798228641212</v>
      </c>
      <c r="DF26" s="27">
        <f t="shared" si="22"/>
        <v>0.14324033145772763</v>
      </c>
      <c r="DG26" s="27">
        <f t="shared" si="22"/>
        <v>0.77659728697250607</v>
      </c>
      <c r="DH26" s="27">
        <f t="shared" si="22"/>
        <v>0.68818388260599994</v>
      </c>
      <c r="DI26" s="27">
        <f t="shared" si="22"/>
        <v>0.90689003662549394</v>
      </c>
      <c r="DJ26" s="27">
        <f t="shared" si="22"/>
        <v>0.74351912299285516</v>
      </c>
      <c r="DK26" s="27">
        <f t="shared" si="22"/>
        <v>0.5819423959071548</v>
      </c>
      <c r="DL26" s="27">
        <f t="shared" si="22"/>
        <v>0.50006694426038445</v>
      </c>
      <c r="DM26" s="27">
        <f t="shared" si="22"/>
        <v>0.78652905145090357</v>
      </c>
      <c r="DN26" s="27">
        <f t="shared" si="22"/>
        <v>0.50437645773696804</v>
      </c>
      <c r="DO26" s="27">
        <f t="shared" si="22"/>
        <v>0.78295222808453635</v>
      </c>
      <c r="DP26" s="27">
        <f t="shared" si="22"/>
        <v>0.18149109219185861</v>
      </c>
      <c r="DQ26" s="28">
        <f t="shared" si="22"/>
        <v>2.8339668815801661E-2</v>
      </c>
      <c r="DR26" s="27">
        <f t="shared" si="22"/>
        <v>5.4850058414919571E-2</v>
      </c>
      <c r="DS26" s="27">
        <f t="shared" si="22"/>
        <v>0.15618953835353921</v>
      </c>
      <c r="DT26" s="27">
        <f t="shared" si="22"/>
        <v>0.92586655802396245</v>
      </c>
      <c r="DU26" s="27">
        <f t="shared" si="22"/>
        <v>0.21094246938603492</v>
      </c>
      <c r="DV26" s="27">
        <f t="shared" si="22"/>
        <v>0.77317330129998718</v>
      </c>
      <c r="DW26" s="27">
        <f t="shared" ref="DW26:EO26" si="23">_xlfn.T.TEST(DW6:DW11,DW17:DW21,2,3)</f>
        <v>0.92855812549222594</v>
      </c>
      <c r="DX26" s="27">
        <f t="shared" si="23"/>
        <v>0.2712540585004633</v>
      </c>
      <c r="DY26" s="28">
        <f t="shared" si="23"/>
        <v>3.0400582345063355E-2</v>
      </c>
      <c r="DZ26" s="28">
        <f t="shared" si="23"/>
        <v>5.1184833672993316E-3</v>
      </c>
      <c r="EA26" s="28">
        <f t="shared" si="23"/>
        <v>1.7861365306443628E-2</v>
      </c>
      <c r="EB26" s="28">
        <f t="shared" si="23"/>
        <v>5.6335918388853747E-2</v>
      </c>
      <c r="EC26" s="27">
        <f t="shared" si="23"/>
        <v>0.15829399539846767</v>
      </c>
      <c r="ED26" s="28">
        <f t="shared" si="23"/>
        <v>7.0938533200939347E-3</v>
      </c>
      <c r="EE26" s="27">
        <f t="shared" si="23"/>
        <v>0.18874727828681273</v>
      </c>
      <c r="EF26" s="27">
        <f t="shared" si="23"/>
        <v>0.81494193497386158</v>
      </c>
      <c r="EG26" s="28">
        <f t="shared" si="23"/>
        <v>4.8621537957229755E-3</v>
      </c>
      <c r="EH26" s="27">
        <f t="shared" si="23"/>
        <v>0.16736752910979813</v>
      </c>
      <c r="EI26" s="27">
        <f t="shared" si="23"/>
        <v>0.34701033943272935</v>
      </c>
      <c r="EJ26" s="27">
        <f t="shared" si="23"/>
        <v>0.99456189624839242</v>
      </c>
      <c r="EK26" s="28">
        <f t="shared" si="23"/>
        <v>6.4313810760811959E-3</v>
      </c>
      <c r="EL26" s="27">
        <f t="shared" si="23"/>
        <v>0.39550652424543775</v>
      </c>
      <c r="EM26" s="28">
        <f t="shared" si="23"/>
        <v>3.5675392292922087E-3</v>
      </c>
      <c r="EN26" s="27">
        <f t="shared" si="23"/>
        <v>0.65896615764975375</v>
      </c>
      <c r="EO26" s="27">
        <f t="shared" si="23"/>
        <v>0.10716234901904248</v>
      </c>
      <c r="EP26" s="27"/>
      <c r="EQ26" s="27">
        <f t="shared" ref="EQ26:FI26" si="24">_xlfn.T.TEST(EQ6:EQ11,EQ17:EQ21,2,3)</f>
        <v>0.37555961861637832</v>
      </c>
      <c r="ER26" s="27">
        <f t="shared" si="24"/>
        <v>8.3550106474209671E-2</v>
      </c>
      <c r="ES26" s="27">
        <f t="shared" si="24"/>
        <v>0.2228708239288249</v>
      </c>
      <c r="ET26" s="27">
        <f t="shared" si="24"/>
        <v>6.2948178569173605E-2</v>
      </c>
      <c r="EU26" s="27">
        <f t="shared" si="24"/>
        <v>8.8030362704763429E-2</v>
      </c>
      <c r="EV26" s="27">
        <f t="shared" si="24"/>
        <v>0.5392221687304094</v>
      </c>
      <c r="EW26" s="27">
        <f t="shared" si="24"/>
        <v>0.82198168657206405</v>
      </c>
      <c r="EX26" s="27">
        <f t="shared" si="24"/>
        <v>0.22737260280530625</v>
      </c>
      <c r="EY26" s="28">
        <f t="shared" si="24"/>
        <v>2.0559094505884189E-3</v>
      </c>
      <c r="EZ26" s="27">
        <f t="shared" si="24"/>
        <v>0.14275782406481158</v>
      </c>
      <c r="FA26" s="27">
        <f t="shared" si="24"/>
        <v>0.39647553737179853</v>
      </c>
      <c r="FB26" s="28">
        <f t="shared" si="24"/>
        <v>4.221273874109626E-2</v>
      </c>
      <c r="FC26" s="27">
        <f t="shared" si="24"/>
        <v>0.34391348433425567</v>
      </c>
      <c r="FD26" s="27">
        <f t="shared" si="24"/>
        <v>0.29151550195024106</v>
      </c>
      <c r="FE26" s="27">
        <f t="shared" si="24"/>
        <v>0.27430530903524597</v>
      </c>
      <c r="FF26" s="27">
        <f t="shared" si="24"/>
        <v>0.82854580855936832</v>
      </c>
      <c r="FG26" s="28">
        <f t="shared" si="24"/>
        <v>3.7293295697938239E-2</v>
      </c>
      <c r="FH26" s="27">
        <f t="shared" si="24"/>
        <v>5.6143696387576006E-2</v>
      </c>
      <c r="FI26" s="27">
        <f t="shared" si="24"/>
        <v>0.1897866917630803</v>
      </c>
    </row>
    <row r="28" spans="1:166" ht="30" customHeight="1"/>
    <row r="32" spans="1:166">
      <c r="A32" s="29"/>
      <c r="B32" s="29"/>
    </row>
    <row r="33" spans="1:175" ht="18">
      <c r="A33" s="30" t="s">
        <v>190</v>
      </c>
      <c r="B33" s="31"/>
      <c r="C33" s="8"/>
    </row>
    <row r="34" spans="1:175" s="40" customFormat="1" ht="89" customHeight="1">
      <c r="A34" s="13" t="s">
        <v>164</v>
      </c>
      <c r="B34" s="14" t="s">
        <v>0</v>
      </c>
      <c r="C34" s="14" t="s">
        <v>71</v>
      </c>
      <c r="D34" s="14" t="s">
        <v>72</v>
      </c>
      <c r="E34" s="14" t="s">
        <v>73</v>
      </c>
      <c r="F34" s="14" t="s">
        <v>74</v>
      </c>
      <c r="G34" s="14" t="s">
        <v>75</v>
      </c>
      <c r="H34" s="14" t="s">
        <v>76</v>
      </c>
      <c r="I34" s="14" t="s">
        <v>77</v>
      </c>
      <c r="J34" s="14" t="s">
        <v>78</v>
      </c>
      <c r="K34" s="14" t="s">
        <v>79</v>
      </c>
      <c r="L34" s="14" t="s">
        <v>80</v>
      </c>
      <c r="M34" s="14" t="s">
        <v>81</v>
      </c>
      <c r="N34" s="14" t="s">
        <v>82</v>
      </c>
      <c r="O34" s="14" t="s">
        <v>83</v>
      </c>
      <c r="P34" s="14" t="s">
        <v>84</v>
      </c>
      <c r="Q34" s="14" t="s">
        <v>85</v>
      </c>
      <c r="R34" s="14" t="s">
        <v>86</v>
      </c>
      <c r="S34" s="14" t="s">
        <v>87</v>
      </c>
      <c r="T34" s="14" t="s">
        <v>88</v>
      </c>
      <c r="U34" s="51" t="s">
        <v>194</v>
      </c>
      <c r="V34" s="14" t="s">
        <v>89</v>
      </c>
      <c r="W34" s="14" t="s">
        <v>90</v>
      </c>
      <c r="X34" s="14" t="s">
        <v>91</v>
      </c>
      <c r="Y34" s="14" t="s">
        <v>92</v>
      </c>
      <c r="Z34" s="14" t="s">
        <v>93</v>
      </c>
      <c r="AA34" s="14" t="s">
        <v>94</v>
      </c>
      <c r="AB34" s="14" t="s">
        <v>95</v>
      </c>
      <c r="AC34" s="14" t="s">
        <v>96</v>
      </c>
      <c r="AD34" s="14" t="s">
        <v>97</v>
      </c>
      <c r="AE34" s="14" t="s">
        <v>98</v>
      </c>
      <c r="AF34" s="14" t="s">
        <v>99</v>
      </c>
      <c r="AG34" s="14" t="s">
        <v>100</v>
      </c>
      <c r="AH34" s="14" t="s">
        <v>101</v>
      </c>
      <c r="AI34" s="14" t="s">
        <v>102</v>
      </c>
      <c r="AJ34" s="14" t="s">
        <v>103</v>
      </c>
      <c r="AK34" s="14" t="s">
        <v>104</v>
      </c>
      <c r="AL34" s="14" t="s">
        <v>105</v>
      </c>
      <c r="AM34" s="14" t="s">
        <v>106</v>
      </c>
      <c r="AN34" s="14" t="s">
        <v>107</v>
      </c>
      <c r="AO34" s="14" t="s">
        <v>108</v>
      </c>
      <c r="AP34" s="14" t="s">
        <v>109</v>
      </c>
      <c r="AQ34" s="14" t="s">
        <v>110</v>
      </c>
      <c r="AR34" s="14" t="s">
        <v>111</v>
      </c>
      <c r="AS34" s="14" t="s">
        <v>112</v>
      </c>
      <c r="AT34" s="14" t="s">
        <v>113</v>
      </c>
      <c r="AU34" s="51" t="s">
        <v>193</v>
      </c>
      <c r="AV34" s="14" t="s">
        <v>160</v>
      </c>
      <c r="AW34" s="14" t="s">
        <v>114</v>
      </c>
      <c r="AX34" s="14" t="s">
        <v>115</v>
      </c>
      <c r="AY34" s="14" t="s">
        <v>116</v>
      </c>
      <c r="AZ34" s="14" t="s">
        <v>117</v>
      </c>
      <c r="BA34" s="14" t="s">
        <v>118</v>
      </c>
      <c r="BB34" s="14" t="s">
        <v>119</v>
      </c>
      <c r="BC34" s="14" t="s">
        <v>120</v>
      </c>
      <c r="BD34" s="14" t="s">
        <v>121</v>
      </c>
      <c r="BE34" s="14" t="s">
        <v>122</v>
      </c>
      <c r="BF34" s="14" t="s">
        <v>123</v>
      </c>
      <c r="BG34" s="14" t="s">
        <v>124</v>
      </c>
      <c r="BH34" s="14" t="s">
        <v>125</v>
      </c>
      <c r="BI34" s="14" t="s">
        <v>126</v>
      </c>
      <c r="BJ34" s="14" t="s">
        <v>127</v>
      </c>
      <c r="BK34" s="14" t="s">
        <v>128</v>
      </c>
      <c r="BL34" s="14" t="s">
        <v>129</v>
      </c>
      <c r="BM34" s="14" t="s">
        <v>130</v>
      </c>
      <c r="BN34" s="14" t="s">
        <v>131</v>
      </c>
      <c r="BO34" s="14" t="s">
        <v>132</v>
      </c>
      <c r="BP34" s="14" t="s">
        <v>133</v>
      </c>
      <c r="BQ34" s="14" t="s">
        <v>134</v>
      </c>
      <c r="BR34" s="14" t="s">
        <v>135</v>
      </c>
      <c r="BS34" s="14" t="s">
        <v>136</v>
      </c>
      <c r="BT34" s="14" t="s">
        <v>137</v>
      </c>
      <c r="BU34" s="14" t="s">
        <v>138</v>
      </c>
      <c r="BV34" s="14" t="s">
        <v>139</v>
      </c>
      <c r="BW34" s="14" t="s">
        <v>140</v>
      </c>
      <c r="BX34" s="14" t="s">
        <v>141</v>
      </c>
      <c r="BY34" s="14" t="s">
        <v>142</v>
      </c>
      <c r="BZ34" s="14" t="s">
        <v>143</v>
      </c>
      <c r="CA34" s="14" t="s">
        <v>144</v>
      </c>
      <c r="CB34" s="14" t="s">
        <v>145</v>
      </c>
      <c r="CC34" s="14" t="s">
        <v>146</v>
      </c>
      <c r="CD34" s="14" t="s">
        <v>147</v>
      </c>
      <c r="CE34" s="14" t="s">
        <v>148</v>
      </c>
      <c r="CF34" s="14" t="s">
        <v>149</v>
      </c>
      <c r="CG34" s="14" t="s">
        <v>150</v>
      </c>
      <c r="CH34" s="14" t="s">
        <v>151</v>
      </c>
      <c r="CI34" s="14" t="s">
        <v>152</v>
      </c>
      <c r="CJ34" s="14" t="s">
        <v>153</v>
      </c>
      <c r="CK34" s="14" t="s">
        <v>154</v>
      </c>
      <c r="CL34" s="14" t="s">
        <v>155</v>
      </c>
      <c r="CM34" s="14" t="s">
        <v>156</v>
      </c>
      <c r="CN34" s="14" t="s">
        <v>157</v>
      </c>
      <c r="CO34" s="14" t="s">
        <v>158</v>
      </c>
      <c r="CP34" s="51" t="s">
        <v>192</v>
      </c>
      <c r="CQ34" s="14" t="s">
        <v>1</v>
      </c>
      <c r="CR34" s="14" t="s">
        <v>2</v>
      </c>
      <c r="CS34" s="14" t="s">
        <v>3</v>
      </c>
      <c r="CT34" s="14" t="s">
        <v>4</v>
      </c>
      <c r="CU34" s="14" t="s">
        <v>5</v>
      </c>
      <c r="CV34" s="14" t="s">
        <v>6</v>
      </c>
      <c r="CW34" s="14" t="s">
        <v>7</v>
      </c>
      <c r="CX34" s="14" t="s">
        <v>8</v>
      </c>
      <c r="CY34" s="14" t="s">
        <v>9</v>
      </c>
      <c r="CZ34" s="14" t="s">
        <v>10</v>
      </c>
      <c r="DA34" s="14" t="s">
        <v>11</v>
      </c>
      <c r="DB34" s="14" t="s">
        <v>12</v>
      </c>
      <c r="DC34" s="14" t="s">
        <v>13</v>
      </c>
      <c r="DD34" s="14" t="s">
        <v>14</v>
      </c>
      <c r="DE34" s="14" t="s">
        <v>15</v>
      </c>
      <c r="DF34" s="14" t="s">
        <v>16</v>
      </c>
      <c r="DG34" s="14" t="s">
        <v>17</v>
      </c>
      <c r="DH34" s="14" t="s">
        <v>18</v>
      </c>
      <c r="DI34" s="14" t="s">
        <v>19</v>
      </c>
      <c r="DJ34" s="14" t="s">
        <v>20</v>
      </c>
      <c r="DK34" s="14" t="s">
        <v>21</v>
      </c>
      <c r="DL34" s="14" t="s">
        <v>22</v>
      </c>
      <c r="DM34" s="14" t="s">
        <v>23</v>
      </c>
      <c r="DN34" s="14" t="s">
        <v>24</v>
      </c>
      <c r="DO34" s="14" t="s">
        <v>25</v>
      </c>
      <c r="DP34" s="14" t="s">
        <v>26</v>
      </c>
      <c r="DQ34" s="14" t="s">
        <v>27</v>
      </c>
      <c r="DR34" s="14" t="s">
        <v>28</v>
      </c>
      <c r="DS34" s="14" t="s">
        <v>29</v>
      </c>
      <c r="DT34" s="14" t="s">
        <v>30</v>
      </c>
      <c r="DU34" s="14" t="s">
        <v>31</v>
      </c>
      <c r="DV34" s="14" t="s">
        <v>32</v>
      </c>
      <c r="DW34" s="14" t="s">
        <v>33</v>
      </c>
      <c r="DX34" s="14" t="s">
        <v>34</v>
      </c>
      <c r="DY34" s="14" t="s">
        <v>35</v>
      </c>
      <c r="DZ34" s="14" t="s">
        <v>36</v>
      </c>
      <c r="EA34" s="14" t="s">
        <v>37</v>
      </c>
      <c r="EB34" s="14" t="s">
        <v>38</v>
      </c>
      <c r="EC34" s="14" t="s">
        <v>39</v>
      </c>
      <c r="ED34" s="14" t="s">
        <v>40</v>
      </c>
      <c r="EE34" s="14" t="s">
        <v>41</v>
      </c>
      <c r="EF34" s="14" t="s">
        <v>42</v>
      </c>
      <c r="EG34" s="14" t="s">
        <v>43</v>
      </c>
      <c r="EH34" s="14" t="s">
        <v>44</v>
      </c>
      <c r="EI34" s="14" t="s">
        <v>45</v>
      </c>
      <c r="EJ34" s="14" t="s">
        <v>46</v>
      </c>
      <c r="EK34" s="14" t="s">
        <v>47</v>
      </c>
      <c r="EL34" s="14" t="s">
        <v>48</v>
      </c>
      <c r="EM34" s="14" t="s">
        <v>49</v>
      </c>
      <c r="EN34" s="14" t="s">
        <v>50</v>
      </c>
      <c r="EO34" s="14" t="s">
        <v>51</v>
      </c>
      <c r="EP34" s="51" t="s">
        <v>191</v>
      </c>
      <c r="EQ34" s="14" t="s">
        <v>52</v>
      </c>
      <c r="ER34" s="14" t="s">
        <v>53</v>
      </c>
      <c r="ES34" s="14" t="s">
        <v>54</v>
      </c>
      <c r="ET34" s="14" t="s">
        <v>55</v>
      </c>
      <c r="EU34" s="14" t="s">
        <v>56</v>
      </c>
      <c r="EV34" s="14" t="s">
        <v>57</v>
      </c>
      <c r="EW34" s="14" t="s">
        <v>58</v>
      </c>
      <c r="EX34" s="14" t="s">
        <v>59</v>
      </c>
      <c r="EY34" s="14" t="s">
        <v>60</v>
      </c>
      <c r="EZ34" s="14" t="s">
        <v>61</v>
      </c>
      <c r="FA34" s="14" t="s">
        <v>62</v>
      </c>
      <c r="FB34" s="14" t="s">
        <v>63</v>
      </c>
      <c r="FC34" s="14" t="s">
        <v>64</v>
      </c>
      <c r="FD34" s="14" t="s">
        <v>65</v>
      </c>
      <c r="FE34" s="14" t="s">
        <v>66</v>
      </c>
      <c r="FF34" s="14" t="s">
        <v>67</v>
      </c>
      <c r="FG34" s="14" t="s">
        <v>68</v>
      </c>
      <c r="FH34" s="14" t="s">
        <v>69</v>
      </c>
      <c r="FI34" s="14" t="s">
        <v>70</v>
      </c>
      <c r="FJ34" s="63" t="s">
        <v>197</v>
      </c>
      <c r="FK34" s="39"/>
      <c r="FL34" s="39"/>
      <c r="FM34" s="39"/>
      <c r="FN34" s="39"/>
      <c r="FO34" s="39"/>
      <c r="FP34" s="39"/>
      <c r="FQ34" s="39"/>
      <c r="FR34" s="39"/>
      <c r="FS34" s="39"/>
    </row>
    <row r="35" spans="1:175" ht="15">
      <c r="A35" s="42" t="s">
        <v>177</v>
      </c>
      <c r="B35" s="22"/>
    </row>
    <row r="36" spans="1:175" ht="15">
      <c r="A36" s="9" t="s">
        <v>178</v>
      </c>
      <c r="B36" s="168" t="s">
        <v>184</v>
      </c>
      <c r="C36">
        <f t="shared" ref="C36:T36" si="25">LOG(C6)</f>
        <v>3.3991331092024279</v>
      </c>
      <c r="D36">
        <f t="shared" si="25"/>
        <v>2.183118132374124</v>
      </c>
      <c r="E36">
        <f t="shared" si="25"/>
        <v>3.866421726458372</v>
      </c>
      <c r="F36">
        <f t="shared" si="25"/>
        <v>3.4990361168471993</v>
      </c>
      <c r="G36">
        <f t="shared" si="25"/>
        <v>1.7265487406883986</v>
      </c>
      <c r="H36">
        <f t="shared" si="25"/>
        <v>2.2455108202739265</v>
      </c>
      <c r="I36">
        <f t="shared" si="25"/>
        <v>2.3791445093186554</v>
      </c>
      <c r="J36">
        <f t="shared" si="25"/>
        <v>4.1936304690412616</v>
      </c>
      <c r="K36">
        <f t="shared" si="25"/>
        <v>3.9832838641658852</v>
      </c>
      <c r="L36">
        <f t="shared" si="25"/>
        <v>2.8166746864400642</v>
      </c>
      <c r="M36">
        <f t="shared" si="25"/>
        <v>2.3405023389612873</v>
      </c>
      <c r="N36">
        <f t="shared" si="25"/>
        <v>0</v>
      </c>
      <c r="O36">
        <f t="shared" si="25"/>
        <v>0</v>
      </c>
      <c r="P36">
        <f t="shared" si="25"/>
        <v>0</v>
      </c>
      <c r="Q36">
        <f t="shared" si="25"/>
        <v>0</v>
      </c>
      <c r="R36">
        <f t="shared" si="25"/>
        <v>1.6955607859998862</v>
      </c>
      <c r="S36">
        <f t="shared" si="25"/>
        <v>2.2097325335996794</v>
      </c>
      <c r="T36">
        <f t="shared" si="25"/>
        <v>1.8626528614902789</v>
      </c>
      <c r="U36" s="47">
        <f>MEDIAN(C36:T36)</f>
        <v>2.2276216769368027</v>
      </c>
      <c r="V36">
        <f t="shared" ref="V36:AT36" si="26">LOG(V6)</f>
        <v>4.8409278608499431</v>
      </c>
      <c r="W36">
        <f t="shared" si="26"/>
        <v>4.9357243811940936</v>
      </c>
      <c r="X36">
        <f t="shared" si="26"/>
        <v>4.8478249975646204</v>
      </c>
      <c r="Y36">
        <f t="shared" si="26"/>
        <v>2.7954440191973933</v>
      </c>
      <c r="Z36">
        <f t="shared" si="26"/>
        <v>3.4885181924512767</v>
      </c>
      <c r="AA36">
        <f t="shared" si="26"/>
        <v>5.7155072596122354</v>
      </c>
      <c r="AB36">
        <f t="shared" si="26"/>
        <v>4.3677381081334445</v>
      </c>
      <c r="AC36">
        <f t="shared" si="26"/>
        <v>5.3284039624395403</v>
      </c>
      <c r="AD36">
        <f t="shared" si="26"/>
        <v>3.2424809785306361</v>
      </c>
      <c r="AE36">
        <f t="shared" si="26"/>
        <v>4.068037607064845</v>
      </c>
      <c r="AF36">
        <f t="shared" si="26"/>
        <v>4.5007312616551776</v>
      </c>
      <c r="AG36">
        <f t="shared" si="26"/>
        <v>2.8541712140822102</v>
      </c>
      <c r="AH36">
        <f t="shared" si="26"/>
        <v>3.6115895268260059</v>
      </c>
      <c r="AI36">
        <f t="shared" si="26"/>
        <v>3.9302484170832015</v>
      </c>
      <c r="AJ36">
        <f t="shared" si="26"/>
        <v>3.3869571168720221</v>
      </c>
      <c r="AK36">
        <f t="shared" si="26"/>
        <v>2.6669181963375941</v>
      </c>
      <c r="AL36">
        <f t="shared" si="26"/>
        <v>2.4822975148101096</v>
      </c>
      <c r="AM36">
        <f t="shared" si="26"/>
        <v>3.6663080891021536</v>
      </c>
      <c r="AN36">
        <f t="shared" si="26"/>
        <v>3.4325486950622222</v>
      </c>
      <c r="AO36">
        <f t="shared" si="26"/>
        <v>2.7972660405705891</v>
      </c>
      <c r="AP36">
        <f t="shared" si="26"/>
        <v>2.7846357629910954</v>
      </c>
      <c r="AQ36">
        <f t="shared" si="26"/>
        <v>2.8852986854520393</v>
      </c>
      <c r="AR36">
        <f t="shared" si="26"/>
        <v>3.4442810940026449</v>
      </c>
      <c r="AS36">
        <f t="shared" si="26"/>
        <v>4.1398147197702766</v>
      </c>
      <c r="AT36">
        <f t="shared" si="26"/>
        <v>3.9240253620629901</v>
      </c>
      <c r="AU36" s="48">
        <f>MEDIAN(V36:AT36)</f>
        <v>3.6115895268260059</v>
      </c>
      <c r="AV36">
        <f t="shared" ref="AV36:CO36" si="27">LOG(AV6)</f>
        <v>1.6495068501307468</v>
      </c>
      <c r="AW36">
        <f t="shared" si="27"/>
        <v>3.4165947775769858</v>
      </c>
      <c r="AX36">
        <f t="shared" si="27"/>
        <v>2.9588263024602841</v>
      </c>
      <c r="AY36">
        <f t="shared" si="27"/>
        <v>2.7066856797348504</v>
      </c>
      <c r="AZ36">
        <f t="shared" si="27"/>
        <v>2.3278087184787299</v>
      </c>
      <c r="BA36">
        <f t="shared" si="27"/>
        <v>3.4175219639036412</v>
      </c>
      <c r="BB36">
        <f t="shared" si="27"/>
        <v>5.0721813468043591</v>
      </c>
      <c r="BC36">
        <f t="shared" si="27"/>
        <v>4.8723272669975941</v>
      </c>
      <c r="BD36">
        <f t="shared" si="27"/>
        <v>3.883621063304</v>
      </c>
      <c r="BE36">
        <f t="shared" si="27"/>
        <v>3.3425034504555096</v>
      </c>
      <c r="BF36">
        <f t="shared" si="27"/>
        <v>4.0092682435562894</v>
      </c>
      <c r="BG36">
        <f t="shared" si="27"/>
        <v>3.947231166467724</v>
      </c>
      <c r="BH36">
        <f t="shared" si="27"/>
        <v>4.1369146119484288</v>
      </c>
      <c r="BI36">
        <f t="shared" si="27"/>
        <v>4.0031007907606169</v>
      </c>
      <c r="BJ36">
        <f t="shared" si="27"/>
        <v>5.6858936726307885</v>
      </c>
      <c r="BK36">
        <f t="shared" si="27"/>
        <v>5.5018105473497254</v>
      </c>
      <c r="BL36">
        <f t="shared" si="27"/>
        <v>4.8191253517077506</v>
      </c>
      <c r="BM36">
        <f t="shared" si="27"/>
        <v>4.8376244069354106</v>
      </c>
      <c r="BN36">
        <f t="shared" si="27"/>
        <v>3.7516410076322306</v>
      </c>
      <c r="BO36">
        <f t="shared" si="27"/>
        <v>3.3949164668092329</v>
      </c>
      <c r="BP36">
        <f t="shared" si="27"/>
        <v>3.6224165891767841</v>
      </c>
      <c r="BQ36">
        <f t="shared" si="27"/>
        <v>3.2538526567569632</v>
      </c>
      <c r="BR36">
        <f t="shared" si="27"/>
        <v>4.2020619850131666</v>
      </c>
      <c r="BS36">
        <f t="shared" si="27"/>
        <v>4.294355042944928</v>
      </c>
      <c r="BT36">
        <f t="shared" si="27"/>
        <v>4.130776210947591</v>
      </c>
      <c r="BU36">
        <f t="shared" si="27"/>
        <v>3.6336547941415653</v>
      </c>
      <c r="BV36">
        <f t="shared" si="27"/>
        <v>3.8578839229050321</v>
      </c>
      <c r="BW36">
        <f t="shared" si="27"/>
        <v>4.3052879668153325</v>
      </c>
      <c r="BX36">
        <f t="shared" si="27"/>
        <v>5.0368361018729502</v>
      </c>
      <c r="BY36">
        <f t="shared" si="27"/>
        <v>5.6333104111298464</v>
      </c>
      <c r="BZ36">
        <f t="shared" si="27"/>
        <v>4.8884186112179737</v>
      </c>
      <c r="CA36">
        <f t="shared" si="27"/>
        <v>4.3420404840891109</v>
      </c>
      <c r="CB36">
        <f t="shared" si="27"/>
        <v>3.8918987579343165</v>
      </c>
      <c r="CC36">
        <f t="shared" si="27"/>
        <v>3.8869354019568667</v>
      </c>
      <c r="CD36">
        <f t="shared" si="27"/>
        <v>4.5940754134847017</v>
      </c>
      <c r="CE36">
        <f t="shared" si="27"/>
        <v>4.6828327640208478</v>
      </c>
      <c r="CF36">
        <f t="shared" si="27"/>
        <v>4.5503128531107135</v>
      </c>
      <c r="CG36">
        <f t="shared" si="27"/>
        <v>2.1792848080146099</v>
      </c>
      <c r="CH36">
        <f t="shared" si="27"/>
        <v>1.866763867317051</v>
      </c>
      <c r="CI36">
        <f t="shared" si="27"/>
        <v>1.5140293657005062</v>
      </c>
      <c r="CJ36">
        <f t="shared" si="27"/>
        <v>2.7573786543676264</v>
      </c>
      <c r="CK36">
        <f t="shared" si="27"/>
        <v>3.0799170891404146</v>
      </c>
      <c r="CL36">
        <f t="shared" si="27"/>
        <v>2.3206013904003235</v>
      </c>
      <c r="CM36">
        <f t="shared" si="27"/>
        <v>3.2864849828398941</v>
      </c>
      <c r="CN36">
        <f t="shared" si="27"/>
        <v>2.1427887674894541</v>
      </c>
      <c r="CO36">
        <f t="shared" si="27"/>
        <v>1.9049185490765657</v>
      </c>
      <c r="CP36" s="48">
        <f>MEDIAN(AV36:CO36)</f>
        <v>3.8852782326304336</v>
      </c>
      <c r="CQ36">
        <f t="shared" ref="CQ36:DV36" si="28">LOG(CQ6)</f>
        <v>1.9605299563909306</v>
      </c>
      <c r="CR36">
        <f t="shared" si="28"/>
        <v>2.0679986492614537</v>
      </c>
      <c r="CS36">
        <f t="shared" si="28"/>
        <v>2.4619861440800657</v>
      </c>
      <c r="CT36">
        <f t="shared" si="28"/>
        <v>2.0659953141413112</v>
      </c>
      <c r="CU36">
        <f t="shared" si="28"/>
        <v>1.3502240641858978</v>
      </c>
      <c r="CV36">
        <f t="shared" si="28"/>
        <v>1.7274005788899931</v>
      </c>
      <c r="CW36">
        <f t="shared" si="28"/>
        <v>3.3987495584943721</v>
      </c>
      <c r="CX36">
        <f t="shared" si="28"/>
        <v>3.9746277274409652</v>
      </c>
      <c r="CY36">
        <f t="shared" si="28"/>
        <v>2.3568103093830008</v>
      </c>
      <c r="CZ36">
        <f t="shared" si="28"/>
        <v>2.6115052950469826</v>
      </c>
      <c r="DA36">
        <f t="shared" si="28"/>
        <v>3.0449344420945637</v>
      </c>
      <c r="DB36">
        <f t="shared" si="28"/>
        <v>3.6263186272403716</v>
      </c>
      <c r="DC36">
        <f t="shared" si="28"/>
        <v>2.6805803727740978</v>
      </c>
      <c r="DD36">
        <f t="shared" si="28"/>
        <v>2.9369407201890207</v>
      </c>
      <c r="DE36">
        <f t="shared" si="28"/>
        <v>4.0915543112872248</v>
      </c>
      <c r="DF36">
        <f t="shared" si="28"/>
        <v>4.1718065898849135</v>
      </c>
      <c r="DG36">
        <f t="shared" si="28"/>
        <v>3.0140020122111544</v>
      </c>
      <c r="DH36">
        <f t="shared" si="28"/>
        <v>2.3443198640677667</v>
      </c>
      <c r="DI36">
        <f t="shared" si="28"/>
        <v>1.4826530366559796</v>
      </c>
      <c r="DJ36">
        <f t="shared" si="28"/>
        <v>2.5769050343081368</v>
      </c>
      <c r="DK36">
        <f t="shared" si="28"/>
        <v>2.7946092326309784</v>
      </c>
      <c r="DL36">
        <f t="shared" si="28"/>
        <v>2.8146977134952604</v>
      </c>
      <c r="DM36">
        <f t="shared" si="28"/>
        <v>3.3349813335124803</v>
      </c>
      <c r="DN36">
        <f t="shared" si="28"/>
        <v>2.8034105584180651</v>
      </c>
      <c r="DO36">
        <f t="shared" si="28"/>
        <v>3.8880507074420039</v>
      </c>
      <c r="DP36">
        <f t="shared" si="28"/>
        <v>3.9175904318635784</v>
      </c>
      <c r="DQ36">
        <f t="shared" si="28"/>
        <v>3.6504718582216165</v>
      </c>
      <c r="DR36">
        <f t="shared" si="28"/>
        <v>3.6261493603531383</v>
      </c>
      <c r="DS36">
        <f t="shared" si="28"/>
        <v>2.7532958431819234</v>
      </c>
      <c r="DT36">
        <f t="shared" si="28"/>
        <v>1.8911333055479351</v>
      </c>
      <c r="DU36">
        <f t="shared" si="28"/>
        <v>3.1083325194853741</v>
      </c>
      <c r="DV36">
        <f t="shared" si="28"/>
        <v>2.621909244785765</v>
      </c>
      <c r="DW36">
        <f t="shared" ref="DW36:EO36" si="29">LOG(DW6)</f>
        <v>1.2699757987720353</v>
      </c>
      <c r="DX36">
        <f t="shared" si="29"/>
        <v>2.704769105195107</v>
      </c>
      <c r="DY36">
        <f t="shared" si="29"/>
        <v>2.6941432656543638</v>
      </c>
      <c r="DZ36">
        <f t="shared" si="29"/>
        <v>2.9545261071619131</v>
      </c>
      <c r="EA36">
        <f t="shared" si="29"/>
        <v>2.5728923688730991</v>
      </c>
      <c r="EB36">
        <f t="shared" si="29"/>
        <v>1.484279669275389</v>
      </c>
      <c r="EC36">
        <f t="shared" si="29"/>
        <v>2.7119640406287111</v>
      </c>
      <c r="ED36">
        <f t="shared" si="29"/>
        <v>3.3350593521929728</v>
      </c>
      <c r="EE36">
        <f t="shared" si="29"/>
        <v>3.1390416750097678</v>
      </c>
      <c r="EF36">
        <f t="shared" si="29"/>
        <v>3.4576405857172805</v>
      </c>
      <c r="EG36">
        <f t="shared" si="29"/>
        <v>3.0902081499808034</v>
      </c>
      <c r="EH36">
        <f t="shared" si="29"/>
        <v>2.7406842047222786</v>
      </c>
      <c r="EI36">
        <f t="shared" si="29"/>
        <v>2.5001605094521913</v>
      </c>
      <c r="EJ36">
        <f t="shared" si="29"/>
        <v>1.9198909587795681</v>
      </c>
      <c r="EK36">
        <f t="shared" si="29"/>
        <v>2.1602460430114254</v>
      </c>
      <c r="EL36">
        <f t="shared" si="29"/>
        <v>1.7478528861830496</v>
      </c>
      <c r="EM36">
        <f t="shared" si="29"/>
        <v>2.2195656558855741</v>
      </c>
      <c r="EN36">
        <f t="shared" si="29"/>
        <v>2.4445572805682199</v>
      </c>
      <c r="EO36">
        <f t="shared" si="29"/>
        <v>2.0301525629630817</v>
      </c>
      <c r="EP36" s="48">
        <f>MEDIAN(CP36:EO36)</f>
        <v>2.7083665729119089</v>
      </c>
      <c r="EQ36">
        <f t="shared" ref="EQ36:FI36" si="30">LOG(EQ6)</f>
        <v>3.3529452049933894</v>
      </c>
      <c r="ER36">
        <f t="shared" si="30"/>
        <v>4.3495110794977849</v>
      </c>
      <c r="ES36">
        <f t="shared" si="30"/>
        <v>3.7060999313447156</v>
      </c>
      <c r="ET36">
        <f t="shared" si="30"/>
        <v>1.71870881093823</v>
      </c>
      <c r="EU36">
        <f t="shared" si="30"/>
        <v>2.7117624136778749</v>
      </c>
      <c r="EV36">
        <f t="shared" si="30"/>
        <v>2.3417712042434951</v>
      </c>
      <c r="EW36">
        <f t="shared" si="30"/>
        <v>2.3291961671532864</v>
      </c>
      <c r="EX36">
        <f t="shared" si="30"/>
        <v>3.1703552072916157</v>
      </c>
      <c r="EY36">
        <f t="shared" si="30"/>
        <v>3.6401029387370381</v>
      </c>
      <c r="EZ36">
        <f t="shared" si="30"/>
        <v>3.2533715696649224</v>
      </c>
      <c r="FA36">
        <f t="shared" si="30"/>
        <v>2.1082647076550778</v>
      </c>
      <c r="FB36">
        <f t="shared" si="30"/>
        <v>3.3475767641761469</v>
      </c>
      <c r="FC36">
        <f t="shared" si="30"/>
        <v>2.3719856797362864</v>
      </c>
      <c r="FD36">
        <f t="shared" si="30"/>
        <v>3.5365121222123559</v>
      </c>
      <c r="FE36">
        <f t="shared" si="30"/>
        <v>3.9746277274409652</v>
      </c>
      <c r="FF36">
        <f t="shared" si="30"/>
        <v>3.1562733698403487</v>
      </c>
      <c r="FG36">
        <f t="shared" si="30"/>
        <v>2.9704035068564116</v>
      </c>
      <c r="FH36">
        <f t="shared" si="30"/>
        <v>2.3647769897200526</v>
      </c>
      <c r="FI36">
        <f t="shared" si="30"/>
        <v>2.1213730940291251</v>
      </c>
      <c r="FJ36" s="62">
        <f>MEDIAN(EQ36:FI36)</f>
        <v>3.1562733698403487</v>
      </c>
    </row>
    <row r="37" spans="1:175" ht="15">
      <c r="A37" s="9" t="s">
        <v>179</v>
      </c>
      <c r="B37" s="24" t="s">
        <v>184</v>
      </c>
      <c r="C37">
        <f t="shared" ref="C37:T37" si="31">LOG(C7)</f>
        <v>3.7489768540135593</v>
      </c>
      <c r="D37">
        <f t="shared" si="31"/>
        <v>2.6044990515870552</v>
      </c>
      <c r="E37">
        <f t="shared" si="31"/>
        <v>4.2096703427479483</v>
      </c>
      <c r="F37">
        <f t="shared" si="31"/>
        <v>3.685395792554417</v>
      </c>
      <c r="G37">
        <f t="shared" si="31"/>
        <v>2.1243083369163842</v>
      </c>
      <c r="H37">
        <f t="shared" si="31"/>
        <v>2.5656898874923901</v>
      </c>
      <c r="I37">
        <f t="shared" si="31"/>
        <v>2.167359803637098</v>
      </c>
      <c r="J37">
        <f t="shared" si="31"/>
        <v>4.2378827938126671</v>
      </c>
      <c r="K37">
        <f t="shared" si="31"/>
        <v>4.0053819247058824</v>
      </c>
      <c r="L37">
        <f t="shared" si="31"/>
        <v>3.1627925686945648</v>
      </c>
      <c r="M37">
        <f t="shared" si="31"/>
        <v>1.4595097588013666</v>
      </c>
      <c r="N37">
        <f t="shared" si="31"/>
        <v>2.137889644916501</v>
      </c>
      <c r="O37">
        <f t="shared" si="31"/>
        <v>1.7513751575563834</v>
      </c>
      <c r="P37">
        <f t="shared" si="31"/>
        <v>1.5658315994576906</v>
      </c>
      <c r="Q37">
        <f t="shared" si="31"/>
        <v>0</v>
      </c>
      <c r="R37">
        <f t="shared" si="31"/>
        <v>1.5789863569288878</v>
      </c>
      <c r="S37">
        <f t="shared" si="31"/>
        <v>2.4182623483095669</v>
      </c>
      <c r="T37">
        <f t="shared" si="31"/>
        <v>2.5681419716141134</v>
      </c>
      <c r="U37" s="47">
        <f t="shared" ref="U37:U41" si="32">MEDIAN(C37:T37)</f>
        <v>2.4919761179009785</v>
      </c>
      <c r="V37">
        <f t="shared" ref="V37:AT37" si="33">LOG(V7)</f>
        <v>4.906735848262235</v>
      </c>
      <c r="W37">
        <f t="shared" si="33"/>
        <v>5.050487314994955</v>
      </c>
      <c r="X37">
        <f t="shared" si="33"/>
        <v>4.9400692907679673</v>
      </c>
      <c r="Y37">
        <f t="shared" si="33"/>
        <v>2.5555004967174031</v>
      </c>
      <c r="Z37">
        <f t="shared" si="33"/>
        <v>3.4981816028347352</v>
      </c>
      <c r="AA37">
        <f t="shared" si="33"/>
        <v>5.4964497783730026</v>
      </c>
      <c r="AB37">
        <f t="shared" si="33"/>
        <v>4.3217798231145146</v>
      </c>
      <c r="AC37">
        <f t="shared" si="33"/>
        <v>5.2792943476466032</v>
      </c>
      <c r="AD37">
        <f t="shared" si="33"/>
        <v>3.165641747434472</v>
      </c>
      <c r="AE37">
        <f t="shared" si="33"/>
        <v>3.8615055864611336</v>
      </c>
      <c r="AF37">
        <f t="shared" si="33"/>
        <v>4.3685762078366919</v>
      </c>
      <c r="AG37">
        <f t="shared" si="33"/>
        <v>3.0462438280100588</v>
      </c>
      <c r="AH37">
        <f t="shared" si="33"/>
        <v>3.7320250529426224</v>
      </c>
      <c r="AI37">
        <f t="shared" si="33"/>
        <v>4.0891626168083182</v>
      </c>
      <c r="AJ37">
        <f t="shared" si="33"/>
        <v>3.642331242817165</v>
      </c>
      <c r="AK37">
        <f t="shared" si="33"/>
        <v>2.6257703632287428</v>
      </c>
      <c r="AL37">
        <f t="shared" si="33"/>
        <v>2.1943379869963122</v>
      </c>
      <c r="AM37">
        <f t="shared" si="33"/>
        <v>3.9149611266361144</v>
      </c>
      <c r="AN37">
        <f t="shared" si="33"/>
        <v>3.6861383346541072</v>
      </c>
      <c r="AO37">
        <f t="shared" si="33"/>
        <v>2.4466827515743432</v>
      </c>
      <c r="AP37">
        <f t="shared" si="33"/>
        <v>2.7828632976197647</v>
      </c>
      <c r="AQ37">
        <f t="shared" si="33"/>
        <v>2.6615535424292927</v>
      </c>
      <c r="AR37">
        <f t="shared" si="33"/>
        <v>3.1033659723280898</v>
      </c>
      <c r="AS37">
        <f t="shared" si="33"/>
        <v>4.1892825765017898</v>
      </c>
      <c r="AT37">
        <f t="shared" si="33"/>
        <v>3.9187565291852819</v>
      </c>
      <c r="AU37" s="48">
        <f t="shared" ref="AU37:AU41" si="34">MEDIAN(V37:AT37)</f>
        <v>3.7320250529426224</v>
      </c>
      <c r="AV37">
        <f t="shared" ref="AV37:CO37" si="35">LOG(AV7)</f>
        <v>2.6025566881810831</v>
      </c>
      <c r="AW37">
        <f t="shared" si="35"/>
        <v>3.8136598444538996</v>
      </c>
      <c r="AX37">
        <f t="shared" si="35"/>
        <v>3.3927403943191963</v>
      </c>
      <c r="AY37">
        <f t="shared" si="35"/>
        <v>2.9797322177999614</v>
      </c>
      <c r="AZ37">
        <f t="shared" si="35"/>
        <v>2.3811858537697219</v>
      </c>
      <c r="BA37">
        <f t="shared" si="35"/>
        <v>4.2089030559536846</v>
      </c>
      <c r="BB37">
        <f t="shared" si="35"/>
        <v>5.2596963493557345</v>
      </c>
      <c r="BC37">
        <f t="shared" si="35"/>
        <v>5.1155130998778509</v>
      </c>
      <c r="BD37">
        <f t="shared" si="35"/>
        <v>4.2504611142054012</v>
      </c>
      <c r="BE37">
        <f t="shared" si="35"/>
        <v>3.2738906920327717</v>
      </c>
      <c r="BF37">
        <f t="shared" si="35"/>
        <v>4.1475882145025729</v>
      </c>
      <c r="BG37">
        <f t="shared" si="35"/>
        <v>4.1276712820469657</v>
      </c>
      <c r="BH37">
        <f t="shared" si="35"/>
        <v>4.3770435929054026</v>
      </c>
      <c r="BI37">
        <f t="shared" si="35"/>
        <v>4.1864766428926625</v>
      </c>
      <c r="BJ37">
        <f t="shared" si="35"/>
        <v>5.6293401098200091</v>
      </c>
      <c r="BK37">
        <f t="shared" si="35"/>
        <v>5.5864965672049545</v>
      </c>
      <c r="BL37">
        <f t="shared" si="35"/>
        <v>5.0151018292894385</v>
      </c>
      <c r="BM37">
        <f t="shared" si="35"/>
        <v>4.8758706284368296</v>
      </c>
      <c r="BN37">
        <f t="shared" si="35"/>
        <v>4.1012362925762309</v>
      </c>
      <c r="BO37">
        <f t="shared" si="35"/>
        <v>3.6058591758398295</v>
      </c>
      <c r="BP37">
        <f t="shared" si="35"/>
        <v>3.7223133541970181</v>
      </c>
      <c r="BQ37">
        <f t="shared" si="35"/>
        <v>3.4227831552333421</v>
      </c>
      <c r="BR37">
        <f t="shared" si="35"/>
        <v>4.0705393052557737</v>
      </c>
      <c r="BS37">
        <f t="shared" si="35"/>
        <v>4.0604315485139999</v>
      </c>
      <c r="BT37">
        <f t="shared" si="35"/>
        <v>3.9719519758049415</v>
      </c>
      <c r="BU37">
        <f t="shared" si="35"/>
        <v>3.5036485786429075</v>
      </c>
      <c r="BV37">
        <f t="shared" si="35"/>
        <v>4.1121143836173299</v>
      </c>
      <c r="BW37">
        <f t="shared" si="35"/>
        <v>4.3414988349794879</v>
      </c>
      <c r="BX37">
        <f t="shared" si="35"/>
        <v>5.033178287939637</v>
      </c>
      <c r="BY37">
        <f t="shared" si="35"/>
        <v>5.5379721660905403</v>
      </c>
      <c r="BZ37">
        <f t="shared" si="35"/>
        <v>4.9265061676973305</v>
      </c>
      <c r="CA37">
        <f t="shared" si="35"/>
        <v>4.4173323149761847</v>
      </c>
      <c r="CB37">
        <f t="shared" si="35"/>
        <v>3.8223796647888948</v>
      </c>
      <c r="CC37">
        <f t="shared" si="35"/>
        <v>3.7202153328098988</v>
      </c>
      <c r="CD37">
        <f t="shared" si="35"/>
        <v>4.5905333254957457</v>
      </c>
      <c r="CE37">
        <f t="shared" si="35"/>
        <v>4.7570772292789192</v>
      </c>
      <c r="CF37">
        <f t="shared" si="35"/>
        <v>4.5131615569254215</v>
      </c>
      <c r="CG37">
        <f t="shared" si="35"/>
        <v>2.8288232850732409</v>
      </c>
      <c r="CH37">
        <f t="shared" si="35"/>
        <v>1.9484648841733343</v>
      </c>
      <c r="CI37">
        <f t="shared" si="35"/>
        <v>2.0676107229508829</v>
      </c>
      <c r="CJ37">
        <f t="shared" si="35"/>
        <v>2.4241278894973637</v>
      </c>
      <c r="CK37">
        <f t="shared" si="35"/>
        <v>3.1442166779999656</v>
      </c>
      <c r="CL37">
        <f t="shared" si="35"/>
        <v>2.368345812013537</v>
      </c>
      <c r="CM37">
        <f t="shared" si="35"/>
        <v>2.993766762613443</v>
      </c>
      <c r="CN37">
        <f t="shared" si="35"/>
        <v>2.4916784949420676</v>
      </c>
      <c r="CO37">
        <f t="shared" si="35"/>
        <v>2.0450782612401031</v>
      </c>
      <c r="CP37" s="48">
        <f t="shared" ref="CP37:CP41" si="36">MEDIAN(AV37:CO37)</f>
        <v>4.0654854268848872</v>
      </c>
      <c r="CQ37">
        <f t="shared" ref="CQ37:DV37" si="37">LOG(CQ7)</f>
        <v>2.9403575399351869</v>
      </c>
      <c r="CR37">
        <f t="shared" si="37"/>
        <v>2.552511596321172</v>
      </c>
      <c r="CS37">
        <f t="shared" si="37"/>
        <v>1.981748395588161</v>
      </c>
      <c r="CT37">
        <f t="shared" si="37"/>
        <v>2.3442131153826669</v>
      </c>
      <c r="CU37">
        <f t="shared" si="37"/>
        <v>1.5825816188206951</v>
      </c>
      <c r="CV37">
        <f t="shared" si="37"/>
        <v>1.2151357016052078</v>
      </c>
      <c r="CW37">
        <f t="shared" si="37"/>
        <v>3.4637130488370147</v>
      </c>
      <c r="CX37">
        <f t="shared" si="37"/>
        <v>4.1882350263349499</v>
      </c>
      <c r="CY37">
        <f t="shared" si="37"/>
        <v>1.64850373001088</v>
      </c>
      <c r="CZ37">
        <f t="shared" si="37"/>
        <v>2.8931783351767955</v>
      </c>
      <c r="DA37">
        <f t="shared" si="37"/>
        <v>2.9453602308376534</v>
      </c>
      <c r="DB37">
        <f t="shared" si="37"/>
        <v>3.5789431642196963</v>
      </c>
      <c r="DC37">
        <f t="shared" si="37"/>
        <v>2.597774983263474</v>
      </c>
      <c r="DD37">
        <f t="shared" si="37"/>
        <v>2.3939666029711164</v>
      </c>
      <c r="DE37">
        <f t="shared" si="37"/>
        <v>2.960075124321047</v>
      </c>
      <c r="DF37">
        <f t="shared" si="37"/>
        <v>4.1594381537748548</v>
      </c>
      <c r="DG37">
        <f t="shared" si="37"/>
        <v>2.1836570210097737</v>
      </c>
      <c r="DH37">
        <f t="shared" si="37"/>
        <v>1.6862712846953851</v>
      </c>
      <c r="DI37">
        <f t="shared" si="37"/>
        <v>2.1429454753273869</v>
      </c>
      <c r="DJ37">
        <f t="shared" si="37"/>
        <v>2.5799642276287136</v>
      </c>
      <c r="DK37">
        <f t="shared" si="37"/>
        <v>2.9371641842241147</v>
      </c>
      <c r="DL37">
        <f t="shared" si="37"/>
        <v>3.0857014591823009</v>
      </c>
      <c r="DM37">
        <f t="shared" si="37"/>
        <v>3.11824426345198</v>
      </c>
      <c r="DN37">
        <f t="shared" si="37"/>
        <v>2.9201894534578363</v>
      </c>
      <c r="DO37">
        <f t="shared" si="37"/>
        <v>4.0503920391026407</v>
      </c>
      <c r="DP37">
        <f t="shared" si="37"/>
        <v>2.9322778563504768</v>
      </c>
      <c r="DQ37">
        <f t="shared" si="37"/>
        <v>3.7075515538135986</v>
      </c>
      <c r="DR37">
        <f t="shared" si="37"/>
        <v>3.6004794921397232</v>
      </c>
      <c r="DS37">
        <f t="shared" si="37"/>
        <v>1.982881939993971</v>
      </c>
      <c r="DT37">
        <f t="shared" si="37"/>
        <v>1.8360630113222993</v>
      </c>
      <c r="DU37">
        <f t="shared" si="37"/>
        <v>2.9325931652790929</v>
      </c>
      <c r="DV37">
        <f t="shared" si="37"/>
        <v>2.6229979560557783</v>
      </c>
      <c r="DW37">
        <f t="shared" ref="DW37:EO37" si="38">LOG(DW7)</f>
        <v>1.9703809884100276</v>
      </c>
      <c r="DX37">
        <f t="shared" si="38"/>
        <v>1.6619579506537578</v>
      </c>
      <c r="DY37">
        <f t="shared" si="38"/>
        <v>2.1919823637255624</v>
      </c>
      <c r="DZ37">
        <f t="shared" si="38"/>
        <v>2.6608733205607518</v>
      </c>
      <c r="EA37">
        <f t="shared" si="38"/>
        <v>1.8855414910430424</v>
      </c>
      <c r="EB37">
        <f t="shared" si="38"/>
        <v>1.5956246063087929</v>
      </c>
      <c r="EC37">
        <f t="shared" si="38"/>
        <v>2.8262272738455976</v>
      </c>
      <c r="ED37">
        <f t="shared" si="38"/>
        <v>3.3571072018518917</v>
      </c>
      <c r="EE37">
        <f t="shared" si="38"/>
        <v>3.0857324754811324</v>
      </c>
      <c r="EF37">
        <f t="shared" si="38"/>
        <v>3.3759005829182245</v>
      </c>
      <c r="EG37">
        <f t="shared" si="38"/>
        <v>3.2713338137334178</v>
      </c>
      <c r="EH37">
        <f t="shared" si="38"/>
        <v>3.1157989564467439</v>
      </c>
      <c r="EI37">
        <f t="shared" si="38"/>
        <v>1.7408419347492807</v>
      </c>
      <c r="EJ37">
        <f t="shared" si="38"/>
        <v>2.3380150218322662</v>
      </c>
      <c r="EK37">
        <f t="shared" si="38"/>
        <v>2.3143540748630449</v>
      </c>
      <c r="EL37">
        <f t="shared" si="38"/>
        <v>1.7593179648838182</v>
      </c>
      <c r="EM37">
        <f t="shared" si="38"/>
        <v>1.3553536759036533</v>
      </c>
      <c r="EN37">
        <f t="shared" si="38"/>
        <v>2.262957837654807</v>
      </c>
      <c r="EO37">
        <f t="shared" si="38"/>
        <v>2.2512956227201997</v>
      </c>
      <c r="EP37" s="48">
        <f t="shared" ref="EP37:EP41" si="39">MEDIAN(CP37:EO37)</f>
        <v>2.610386469659626</v>
      </c>
      <c r="EQ37">
        <f t="shared" ref="EQ37:FI37" si="40">LOG(EQ7)</f>
        <v>3.2493926401023239</v>
      </c>
      <c r="ER37">
        <f t="shared" si="40"/>
        <v>4.1030048141688917</v>
      </c>
      <c r="ES37">
        <f t="shared" si="40"/>
        <v>3.5562648954731104</v>
      </c>
      <c r="ET37">
        <f t="shared" si="40"/>
        <v>1.5342202093278179</v>
      </c>
      <c r="EU37">
        <f t="shared" si="40"/>
        <v>2.184656866085124</v>
      </c>
      <c r="EV37">
        <f t="shared" si="40"/>
        <v>1.9876915182772199</v>
      </c>
      <c r="EW37">
        <f t="shared" si="40"/>
        <v>2.7609675978689077</v>
      </c>
      <c r="EX37">
        <f t="shared" si="40"/>
        <v>3.1703293676624069</v>
      </c>
      <c r="EY37">
        <f t="shared" si="40"/>
        <v>3.4423228598408544</v>
      </c>
      <c r="EZ37">
        <f t="shared" si="40"/>
        <v>2.0280228919330918</v>
      </c>
      <c r="FA37">
        <f t="shared" si="40"/>
        <v>2.5151304302940778</v>
      </c>
      <c r="FB37">
        <f t="shared" si="40"/>
        <v>3.3660532419867963</v>
      </c>
      <c r="FC37">
        <f t="shared" si="40"/>
        <v>1.6259446332668206</v>
      </c>
      <c r="FD37">
        <f t="shared" si="40"/>
        <v>3.4663843878041241</v>
      </c>
      <c r="FE37">
        <f t="shared" si="40"/>
        <v>4.1882350263349499</v>
      </c>
      <c r="FF37">
        <f t="shared" si="40"/>
        <v>1.907996096876027</v>
      </c>
      <c r="FG37">
        <f t="shared" si="40"/>
        <v>2.7030783767690956</v>
      </c>
      <c r="FH37">
        <f t="shared" si="40"/>
        <v>1.7401112763840181</v>
      </c>
      <c r="FI37">
        <f t="shared" si="40"/>
        <v>2.3367963184140317</v>
      </c>
      <c r="FJ37" s="62">
        <f t="shared" ref="FJ37:FJ41" si="41">MEDIAN(EQ37:FI37)</f>
        <v>2.7030783767690956</v>
      </c>
    </row>
    <row r="38" spans="1:175" ht="15">
      <c r="A38" s="9" t="s">
        <v>180</v>
      </c>
      <c r="B38" s="24" t="s">
        <v>184</v>
      </c>
      <c r="C38">
        <f t="shared" ref="C38:T38" si="42">LOG(C8)</f>
        <v>3.1750469027491577</v>
      </c>
      <c r="D38">
        <f t="shared" si="42"/>
        <v>1.4908938208218372</v>
      </c>
      <c r="E38">
        <f t="shared" si="42"/>
        <v>3.7228613872966636</v>
      </c>
      <c r="F38">
        <f t="shared" si="42"/>
        <v>3.2323031088761827</v>
      </c>
      <c r="G38">
        <f t="shared" si="42"/>
        <v>2.2524976035350051</v>
      </c>
      <c r="H38">
        <f t="shared" si="42"/>
        <v>2.1025837847942146</v>
      </c>
      <c r="I38">
        <f t="shared" si="42"/>
        <v>1.6814127187811458</v>
      </c>
      <c r="J38">
        <f t="shared" si="42"/>
        <v>4.1293315799777357</v>
      </c>
      <c r="K38">
        <f t="shared" si="42"/>
        <v>3.9157927860606403</v>
      </c>
      <c r="L38">
        <f t="shared" si="42"/>
        <v>2.8551989900428643</v>
      </c>
      <c r="M38">
        <f t="shared" si="42"/>
        <v>1.6632260676730735</v>
      </c>
      <c r="N38">
        <f t="shared" si="42"/>
        <v>2.0811291777436378</v>
      </c>
      <c r="O38">
        <f t="shared" si="42"/>
        <v>1.7465009302207186</v>
      </c>
      <c r="P38">
        <f t="shared" si="42"/>
        <v>1.5779396666804582</v>
      </c>
      <c r="Q38">
        <f t="shared" si="42"/>
        <v>0</v>
      </c>
      <c r="R38">
        <f t="shared" si="42"/>
        <v>1.8337946952630553</v>
      </c>
      <c r="S38">
        <f t="shared" si="42"/>
        <v>2.0633838063821082</v>
      </c>
      <c r="T38">
        <f t="shared" si="42"/>
        <v>1.638477452416127</v>
      </c>
      <c r="U38" s="47">
        <f t="shared" si="32"/>
        <v>2.072256492062873</v>
      </c>
      <c r="V38">
        <f t="shared" ref="V38:AT38" si="43">LOG(V8)</f>
        <v>5.06322915013277</v>
      </c>
      <c r="W38">
        <f t="shared" si="43"/>
        <v>5.1847790714395989</v>
      </c>
      <c r="X38">
        <f t="shared" si="43"/>
        <v>5.0589860980959758</v>
      </c>
      <c r="Y38">
        <f t="shared" si="43"/>
        <v>2.9237791301469271</v>
      </c>
      <c r="Z38">
        <f t="shared" si="43"/>
        <v>3.6071034070433501</v>
      </c>
      <c r="AA38">
        <f t="shared" si="43"/>
        <v>5.6945571188107396</v>
      </c>
      <c r="AB38">
        <f t="shared" si="43"/>
        <v>4.3284488016432547</v>
      </c>
      <c r="AC38">
        <f t="shared" si="43"/>
        <v>5.2724581409167897</v>
      </c>
      <c r="AD38">
        <f t="shared" si="43"/>
        <v>3.0499895867830897</v>
      </c>
      <c r="AE38">
        <f t="shared" si="43"/>
        <v>3.8878418306454714</v>
      </c>
      <c r="AF38">
        <f t="shared" si="43"/>
        <v>4.4503807839574439</v>
      </c>
      <c r="AG38">
        <f t="shared" si="43"/>
        <v>2.9488068390003184</v>
      </c>
      <c r="AH38">
        <f t="shared" si="43"/>
        <v>3.8287036589448187</v>
      </c>
      <c r="AI38">
        <f t="shared" si="43"/>
        <v>4.2793937889541507</v>
      </c>
      <c r="AJ38">
        <f t="shared" si="43"/>
        <v>3.7096716016624227</v>
      </c>
      <c r="AK38">
        <f t="shared" si="43"/>
        <v>2.5013421280741714</v>
      </c>
      <c r="AL38">
        <f t="shared" si="43"/>
        <v>2.8118994197947851</v>
      </c>
      <c r="AM38">
        <f t="shared" si="43"/>
        <v>3.9900336611148615</v>
      </c>
      <c r="AN38">
        <f t="shared" si="43"/>
        <v>3.7202380991218473</v>
      </c>
      <c r="AO38">
        <f t="shared" si="43"/>
        <v>1.811043635542402</v>
      </c>
      <c r="AP38">
        <f t="shared" si="43"/>
        <v>2.8119202116625508</v>
      </c>
      <c r="AQ38">
        <f t="shared" si="43"/>
        <v>2.9228033849363539</v>
      </c>
      <c r="AR38">
        <f t="shared" si="43"/>
        <v>3.2373706410974847</v>
      </c>
      <c r="AS38">
        <f t="shared" si="43"/>
        <v>4.0818067900606758</v>
      </c>
      <c r="AT38">
        <f t="shared" si="43"/>
        <v>3.8532044475006404</v>
      </c>
      <c r="AU38" s="48">
        <f t="shared" si="34"/>
        <v>3.8287036589448187</v>
      </c>
      <c r="AV38">
        <f t="shared" ref="AV38:CO38" si="44">LOG(AV8)</f>
        <v>1.7820116643821202</v>
      </c>
      <c r="AW38">
        <f t="shared" si="44"/>
        <v>3.5668539324204707</v>
      </c>
      <c r="AX38">
        <f t="shared" si="44"/>
        <v>2.9136954028471602</v>
      </c>
      <c r="AY38">
        <f t="shared" si="44"/>
        <v>2.6870275599797004</v>
      </c>
      <c r="AZ38">
        <f t="shared" si="44"/>
        <v>2.2225999672148569</v>
      </c>
      <c r="BA38">
        <f t="shared" si="44"/>
        <v>4.1623022930932763</v>
      </c>
      <c r="BB38">
        <f t="shared" si="44"/>
        <v>5.1331711302301297</v>
      </c>
      <c r="BC38">
        <f t="shared" si="44"/>
        <v>4.9985347899223092</v>
      </c>
      <c r="BD38">
        <f t="shared" si="44"/>
        <v>4.0289993896845218</v>
      </c>
      <c r="BE38">
        <f t="shared" si="44"/>
        <v>3.3162671426559824</v>
      </c>
      <c r="BF38">
        <f t="shared" si="44"/>
        <v>4.1311713408249968</v>
      </c>
      <c r="BG38">
        <f t="shared" si="44"/>
        <v>4.0461886352819016</v>
      </c>
      <c r="BH38">
        <f t="shared" si="44"/>
        <v>4.3868723650137902</v>
      </c>
      <c r="BI38">
        <f t="shared" si="44"/>
        <v>4.1477929449658033</v>
      </c>
      <c r="BJ38">
        <f t="shared" si="44"/>
        <v>5.7079932049452111</v>
      </c>
      <c r="BK38">
        <f t="shared" si="44"/>
        <v>5.6495098214472232</v>
      </c>
      <c r="BL38">
        <f t="shared" si="44"/>
        <v>4.9810927632992135</v>
      </c>
      <c r="BM38">
        <f t="shared" si="44"/>
        <v>4.7989415357111422</v>
      </c>
      <c r="BN38">
        <f t="shared" si="44"/>
        <v>3.9302543027070858</v>
      </c>
      <c r="BO38">
        <f t="shared" si="44"/>
        <v>3.5815588378608854</v>
      </c>
      <c r="BP38">
        <f t="shared" si="44"/>
        <v>3.731233806440212</v>
      </c>
      <c r="BQ38">
        <f t="shared" si="44"/>
        <v>3.4421755836121517</v>
      </c>
      <c r="BR38">
        <f t="shared" si="44"/>
        <v>4.023399374650146</v>
      </c>
      <c r="BS38">
        <f t="shared" si="44"/>
        <v>4.0710464814974063</v>
      </c>
      <c r="BT38">
        <f t="shared" si="44"/>
        <v>4.0327780558784392</v>
      </c>
      <c r="BU38">
        <f t="shared" si="44"/>
        <v>3.6973500131804613</v>
      </c>
      <c r="BV38">
        <f t="shared" si="44"/>
        <v>4.2618473467243154</v>
      </c>
      <c r="BW38">
        <f t="shared" si="44"/>
        <v>4.4311185860584335</v>
      </c>
      <c r="BX38">
        <f t="shared" si="44"/>
        <v>4.9792824071072506</v>
      </c>
      <c r="BY38">
        <f t="shared" si="44"/>
        <v>5.509177234508754</v>
      </c>
      <c r="BZ38">
        <f t="shared" si="44"/>
        <v>4.8557922818361128</v>
      </c>
      <c r="CA38">
        <f t="shared" si="44"/>
        <v>4.4021043165816716</v>
      </c>
      <c r="CB38">
        <f t="shared" si="44"/>
        <v>3.7756426711468443</v>
      </c>
      <c r="CC38">
        <f t="shared" si="44"/>
        <v>3.6222178082422993</v>
      </c>
      <c r="CD38">
        <f t="shared" si="44"/>
        <v>4.3693751962398411</v>
      </c>
      <c r="CE38">
        <f t="shared" si="44"/>
        <v>4.5997203730559484</v>
      </c>
      <c r="CF38">
        <f t="shared" si="44"/>
        <v>4.6475237625593806</v>
      </c>
      <c r="CG38">
        <f t="shared" si="44"/>
        <v>3.1392514635177333</v>
      </c>
      <c r="CH38">
        <f t="shared" si="44"/>
        <v>2.4901295566194426</v>
      </c>
      <c r="CI38">
        <f t="shared" si="44"/>
        <v>2.0536810772118841</v>
      </c>
      <c r="CJ38">
        <f t="shared" si="44"/>
        <v>2.8350601704704932</v>
      </c>
      <c r="CK38">
        <f t="shared" si="44"/>
        <v>3.2276775364570116</v>
      </c>
      <c r="CL38">
        <f t="shared" si="44"/>
        <v>2.0576277897009856</v>
      </c>
      <c r="CM38">
        <f t="shared" si="44"/>
        <v>3.2867063742693694</v>
      </c>
      <c r="CN38">
        <f t="shared" si="44"/>
        <v>1.9128156762812147</v>
      </c>
      <c r="CO38">
        <f t="shared" si="44"/>
        <v>1.7853245840120449</v>
      </c>
      <c r="CP38" s="48">
        <f t="shared" si="36"/>
        <v>4.0261993821673343</v>
      </c>
      <c r="CQ38">
        <f t="shared" ref="CQ38:DV38" si="45">LOG(CQ8)</f>
        <v>2.5832495798775033</v>
      </c>
      <c r="CR38">
        <f t="shared" si="45"/>
        <v>2.3357555079750218</v>
      </c>
      <c r="CS38">
        <f t="shared" si="45"/>
        <v>2.4145633561441877</v>
      </c>
      <c r="CT38">
        <f t="shared" si="45"/>
        <v>2.1060212952886248</v>
      </c>
      <c r="CU38">
        <f t="shared" si="45"/>
        <v>1.0762647501255991</v>
      </c>
      <c r="CV38">
        <f t="shared" si="45"/>
        <v>1.6277795087611164</v>
      </c>
      <c r="CW38">
        <f t="shared" si="45"/>
        <v>3.4159567606520818</v>
      </c>
      <c r="CX38">
        <f t="shared" si="45"/>
        <v>3.8866780287639924</v>
      </c>
      <c r="CY38">
        <f t="shared" si="45"/>
        <v>2.3757198217993039</v>
      </c>
      <c r="CZ38">
        <f t="shared" si="45"/>
        <v>2.7736491884369858</v>
      </c>
      <c r="DA38">
        <f t="shared" si="45"/>
        <v>2.1149181718061119</v>
      </c>
      <c r="DB38">
        <f t="shared" si="45"/>
        <v>3.7720384788951704</v>
      </c>
      <c r="DC38">
        <f t="shared" si="45"/>
        <v>2.6211878513382918</v>
      </c>
      <c r="DD38">
        <f t="shared" si="45"/>
        <v>2.9983293469904004</v>
      </c>
      <c r="DE38">
        <f t="shared" si="45"/>
        <v>4.0895879071587959</v>
      </c>
      <c r="DF38">
        <f t="shared" si="45"/>
        <v>4.2029193687393516</v>
      </c>
      <c r="DG38">
        <f t="shared" si="45"/>
        <v>3.1012206860491158</v>
      </c>
      <c r="DH38">
        <f t="shared" si="45"/>
        <v>2.0871206239737887</v>
      </c>
      <c r="DI38">
        <f t="shared" si="45"/>
        <v>1.9931777197183376</v>
      </c>
      <c r="DJ38">
        <f t="shared" si="45"/>
        <v>2.5228129590715715</v>
      </c>
      <c r="DK38">
        <f t="shared" si="45"/>
        <v>2.8440940130931862</v>
      </c>
      <c r="DL38">
        <f t="shared" si="45"/>
        <v>3.0972606957758688</v>
      </c>
      <c r="DM38">
        <f t="shared" si="45"/>
        <v>3.3136250737048569</v>
      </c>
      <c r="DN38">
        <f t="shared" si="45"/>
        <v>2.8830157651009123</v>
      </c>
      <c r="DO38">
        <f t="shared" si="45"/>
        <v>3.9154835631624381</v>
      </c>
      <c r="DP38">
        <f t="shared" si="45"/>
        <v>4.0216185646714599</v>
      </c>
      <c r="DQ38">
        <f t="shared" si="45"/>
        <v>3.6522356842614516</v>
      </c>
      <c r="DR38">
        <f t="shared" si="45"/>
        <v>3.4864571696866027</v>
      </c>
      <c r="DS38">
        <f t="shared" si="45"/>
        <v>2.5798268721276583</v>
      </c>
      <c r="DT38">
        <f t="shared" si="45"/>
        <v>2.2175579050791883</v>
      </c>
      <c r="DU38">
        <f t="shared" si="45"/>
        <v>3.114747501482872</v>
      </c>
      <c r="DV38">
        <f t="shared" si="45"/>
        <v>2.4890086439588699</v>
      </c>
      <c r="DW38">
        <f t="shared" ref="DW38:EO38" si="46">LOG(DW8)</f>
        <v>2.2661641060917068</v>
      </c>
      <c r="DX38">
        <f t="shared" si="46"/>
        <v>2.3938757683236558</v>
      </c>
      <c r="DY38">
        <f t="shared" si="46"/>
        <v>2.7350147718023332</v>
      </c>
      <c r="DZ38">
        <f t="shared" si="46"/>
        <v>2.9549318100265212</v>
      </c>
      <c r="EA38">
        <f t="shared" si="46"/>
        <v>2.4322298132435871</v>
      </c>
      <c r="EB38">
        <f t="shared" si="46"/>
        <v>1.4432793558702843</v>
      </c>
      <c r="EC38">
        <f t="shared" si="46"/>
        <v>2.9706051726142562</v>
      </c>
      <c r="ED38">
        <f t="shared" si="46"/>
        <v>3.3448345212211916</v>
      </c>
      <c r="EE38">
        <f t="shared" si="46"/>
        <v>3.0452346767785601</v>
      </c>
      <c r="EF38">
        <f t="shared" si="46"/>
        <v>3.2995875746589349</v>
      </c>
      <c r="EG38">
        <f t="shared" si="46"/>
        <v>3.1649248348277457</v>
      </c>
      <c r="EH38">
        <f t="shared" si="46"/>
        <v>2.708638592047603</v>
      </c>
      <c r="EI38">
        <f t="shared" si="46"/>
        <v>2.1579080715391474</v>
      </c>
      <c r="EJ38">
        <f t="shared" si="46"/>
        <v>1.8989240452559293</v>
      </c>
      <c r="EK38">
        <f t="shared" si="46"/>
        <v>2.3837479021017138</v>
      </c>
      <c r="EL38">
        <f t="shared" si="46"/>
        <v>1.4592523381382452</v>
      </c>
      <c r="EM38">
        <f t="shared" si="46"/>
        <v>2.0826726017977881</v>
      </c>
      <c r="EN38">
        <f t="shared" si="46"/>
        <v>1.8832783109145677</v>
      </c>
      <c r="EO38">
        <f t="shared" si="46"/>
        <v>2.0249311165927737</v>
      </c>
      <c r="EP38" s="48">
        <f t="shared" si="39"/>
        <v>2.6649132216929474</v>
      </c>
      <c r="EQ38">
        <f t="shared" ref="EQ38:FI38" si="47">LOG(EQ8)</f>
        <v>2.9824212677151447</v>
      </c>
      <c r="ER38">
        <f t="shared" si="47"/>
        <v>4.2624428467445625</v>
      </c>
      <c r="ES38">
        <f t="shared" si="47"/>
        <v>3.7116945288374974</v>
      </c>
      <c r="ET38">
        <f t="shared" si="47"/>
        <v>1.8051598966407898</v>
      </c>
      <c r="EU38">
        <f t="shared" si="47"/>
        <v>2.5463923195001175</v>
      </c>
      <c r="EV38">
        <f t="shared" si="47"/>
        <v>2.4399352354865975</v>
      </c>
      <c r="EW38">
        <f t="shared" si="47"/>
        <v>2.3714116149298792</v>
      </c>
      <c r="EX38">
        <f t="shared" si="47"/>
        <v>3.0525601393687363</v>
      </c>
      <c r="EY38">
        <f t="shared" si="47"/>
        <v>3.1762296320445884</v>
      </c>
      <c r="EZ38">
        <f t="shared" si="47"/>
        <v>3.1408992206432087</v>
      </c>
      <c r="FA38">
        <f t="shared" si="47"/>
        <v>2.1340311534937104</v>
      </c>
      <c r="FB38">
        <f t="shared" si="47"/>
        <v>3.4007888778914772</v>
      </c>
      <c r="FC38">
        <f t="shared" si="47"/>
        <v>2.3560288614775837</v>
      </c>
      <c r="FD38">
        <f t="shared" si="47"/>
        <v>3.4894477123147105</v>
      </c>
      <c r="FE38">
        <f t="shared" si="47"/>
        <v>3.8866780287639924</v>
      </c>
      <c r="FF38">
        <f t="shared" si="47"/>
        <v>2.9368655999662514</v>
      </c>
      <c r="FG38">
        <f t="shared" si="47"/>
        <v>2.783586920238259</v>
      </c>
      <c r="FH38">
        <f t="shared" si="47"/>
        <v>1.4165353622362098</v>
      </c>
      <c r="FI38">
        <f t="shared" si="47"/>
        <v>1.91388024359665</v>
      </c>
      <c r="FJ38" s="62">
        <f t="shared" si="41"/>
        <v>2.9368655999662514</v>
      </c>
    </row>
    <row r="39" spans="1:175" ht="15">
      <c r="A39" s="9" t="s">
        <v>183</v>
      </c>
      <c r="B39" s="24" t="s">
        <v>185</v>
      </c>
      <c r="C39">
        <f t="shared" ref="C39:T39" si="48">LOG(C9)</f>
        <v>3.2400464391814818</v>
      </c>
      <c r="D39">
        <f t="shared" si="48"/>
        <v>1.9873116597349947</v>
      </c>
      <c r="E39">
        <f t="shared" si="48"/>
        <v>3.7516907479874559</v>
      </c>
      <c r="F39">
        <f t="shared" si="48"/>
        <v>3.2756687030585985</v>
      </c>
      <c r="G39">
        <f t="shared" si="48"/>
        <v>2.6757645992769894</v>
      </c>
      <c r="H39">
        <f t="shared" si="48"/>
        <v>1.669780619389897</v>
      </c>
      <c r="I39">
        <f t="shared" si="48"/>
        <v>2.2298237211308747</v>
      </c>
      <c r="J39">
        <f t="shared" si="48"/>
        <v>4.0002699956837127</v>
      </c>
      <c r="K39">
        <f t="shared" si="48"/>
        <v>3.7985571182027189</v>
      </c>
      <c r="L39">
        <f t="shared" si="48"/>
        <v>2.8178989968318908</v>
      </c>
      <c r="M39">
        <f t="shared" si="48"/>
        <v>2.2528821647689119</v>
      </c>
      <c r="N39">
        <f t="shared" si="48"/>
        <v>1.6013815228681647</v>
      </c>
      <c r="O39">
        <f t="shared" si="48"/>
        <v>1.5615568769656261</v>
      </c>
      <c r="P39">
        <f t="shared" si="48"/>
        <v>1.8437212579427003</v>
      </c>
      <c r="Q39">
        <f t="shared" si="48"/>
        <v>0</v>
      </c>
      <c r="R39">
        <f t="shared" si="48"/>
        <v>1.7094794372401578</v>
      </c>
      <c r="S39">
        <f t="shared" si="48"/>
        <v>2.2565520416451288</v>
      </c>
      <c r="T39">
        <f t="shared" si="48"/>
        <v>1.3982021283571482</v>
      </c>
      <c r="U39" s="47">
        <f t="shared" si="32"/>
        <v>2.2413529429498933</v>
      </c>
      <c r="V39">
        <f t="shared" ref="V39:AT39" si="49">LOG(V9)</f>
        <v>4.9894037708074457</v>
      </c>
      <c r="W39">
        <f t="shared" si="49"/>
        <v>5.0931960674344792</v>
      </c>
      <c r="X39">
        <f t="shared" si="49"/>
        <v>4.862670339244815</v>
      </c>
      <c r="Y39">
        <f t="shared" si="49"/>
        <v>2.6343605621777066</v>
      </c>
      <c r="Z39">
        <f t="shared" si="49"/>
        <v>3.45899701555612</v>
      </c>
      <c r="AA39">
        <f t="shared" si="49"/>
        <v>5.6205042116032677</v>
      </c>
      <c r="AB39">
        <f t="shared" si="49"/>
        <v>4.3807256206524166</v>
      </c>
      <c r="AC39">
        <f t="shared" si="49"/>
        <v>5.3549725477787868</v>
      </c>
      <c r="AD39">
        <f t="shared" si="49"/>
        <v>3.3434137529558021</v>
      </c>
      <c r="AE39">
        <f t="shared" si="49"/>
        <v>4.5759892798282618</v>
      </c>
      <c r="AF39">
        <f t="shared" si="49"/>
        <v>4.604547427729182</v>
      </c>
      <c r="AG39">
        <f t="shared" si="49"/>
        <v>3.4029358710449649</v>
      </c>
      <c r="AH39">
        <f t="shared" si="49"/>
        <v>3.678808654020215</v>
      </c>
      <c r="AI39">
        <f t="shared" si="49"/>
        <v>4.1154651969615434</v>
      </c>
      <c r="AJ39">
        <f t="shared" si="49"/>
        <v>3.5021920967482147</v>
      </c>
      <c r="AK39">
        <f t="shared" si="49"/>
        <v>2.3865248732137969</v>
      </c>
      <c r="AL39">
        <f t="shared" si="49"/>
        <v>2.5815805448969766</v>
      </c>
      <c r="AM39">
        <f t="shared" si="49"/>
        <v>3.8588911863951476</v>
      </c>
      <c r="AN39">
        <f t="shared" si="49"/>
        <v>3.5138125482233464</v>
      </c>
      <c r="AO39">
        <f t="shared" si="49"/>
        <v>2.3894477686197431</v>
      </c>
      <c r="AP39">
        <f t="shared" si="49"/>
        <v>2.9537464831417624</v>
      </c>
      <c r="AQ39">
        <f t="shared" si="49"/>
        <v>2.7219286809190586</v>
      </c>
      <c r="AR39">
        <f t="shared" si="49"/>
        <v>3.2420165399356957</v>
      </c>
      <c r="AS39">
        <f t="shared" si="49"/>
        <v>4.141698076961978</v>
      </c>
      <c r="AT39">
        <f t="shared" si="49"/>
        <v>3.5391124646961321</v>
      </c>
      <c r="AU39" s="48">
        <f t="shared" si="34"/>
        <v>3.5391124646961321</v>
      </c>
      <c r="AV39">
        <f t="shared" ref="AV39:CI39" si="50">LOG(AV9)</f>
        <v>2.1630712150719673</v>
      </c>
      <c r="AW39">
        <f t="shared" si="50"/>
        <v>3.3998435429877811</v>
      </c>
      <c r="AX39">
        <f t="shared" si="50"/>
        <v>2.7983065525966246</v>
      </c>
      <c r="AY39">
        <f t="shared" si="50"/>
        <v>2.7625809142890585</v>
      </c>
      <c r="AZ39">
        <f t="shared" si="50"/>
        <v>2.2605086510205661</v>
      </c>
      <c r="BA39">
        <f t="shared" si="50"/>
        <v>4.0500372966415785</v>
      </c>
      <c r="BB39">
        <f t="shared" si="50"/>
        <v>5.1064324563285375</v>
      </c>
      <c r="BC39">
        <f t="shared" si="50"/>
        <v>4.9982855730916338</v>
      </c>
      <c r="BD39">
        <f t="shared" si="50"/>
        <v>4.0813646315049139</v>
      </c>
      <c r="BE39">
        <f t="shared" si="50"/>
        <v>3.2771409570036174</v>
      </c>
      <c r="BF39">
        <f t="shared" si="50"/>
        <v>4.0426536373202788</v>
      </c>
      <c r="BG39">
        <f t="shared" si="50"/>
        <v>3.9892315712720872</v>
      </c>
      <c r="BH39">
        <f t="shared" si="50"/>
        <v>4.2581497192348934</v>
      </c>
      <c r="BI39">
        <f t="shared" si="50"/>
        <v>4.1083471676598524</v>
      </c>
      <c r="BJ39">
        <f t="shared" si="50"/>
        <v>5.563541798356181</v>
      </c>
      <c r="BK39">
        <f t="shared" si="50"/>
        <v>5.5119578211925013</v>
      </c>
      <c r="BL39">
        <f t="shared" si="50"/>
        <v>4.9052606985253426</v>
      </c>
      <c r="BM39">
        <f t="shared" si="50"/>
        <v>4.792155415129189</v>
      </c>
      <c r="BN39">
        <f t="shared" si="50"/>
        <v>3.9719213843318708</v>
      </c>
      <c r="BO39">
        <f t="shared" si="50"/>
        <v>3.5131851630970439</v>
      </c>
      <c r="BP39">
        <f t="shared" si="50"/>
        <v>3.5090414022151943</v>
      </c>
      <c r="BQ39">
        <f t="shared" si="50"/>
        <v>3.4902361831638467</v>
      </c>
      <c r="BR39">
        <f t="shared" si="50"/>
        <v>4.1526883493301918</v>
      </c>
      <c r="BS39">
        <f t="shared" si="50"/>
        <v>4.1702886923762987</v>
      </c>
      <c r="BT39">
        <f t="shared" si="50"/>
        <v>4.031192149995344</v>
      </c>
      <c r="BU39">
        <f t="shared" si="50"/>
        <v>3.3153028689628208</v>
      </c>
      <c r="BV39">
        <f t="shared" si="50"/>
        <v>4.0036497663295227</v>
      </c>
      <c r="BW39">
        <f t="shared" si="50"/>
        <v>4.3218498231202398</v>
      </c>
      <c r="BX39">
        <f t="shared" si="50"/>
        <v>5.0449200417383953</v>
      </c>
      <c r="BY39">
        <f t="shared" si="50"/>
        <v>5.5344596073262204</v>
      </c>
      <c r="BZ39">
        <f t="shared" si="50"/>
        <v>4.8544571808634105</v>
      </c>
      <c r="CA39">
        <f t="shared" si="50"/>
        <v>4.3059878290483047</v>
      </c>
      <c r="CB39">
        <f t="shared" si="50"/>
        <v>4.0443786584110564</v>
      </c>
      <c r="CC39">
        <f t="shared" si="50"/>
        <v>3.848032482192437</v>
      </c>
      <c r="CD39">
        <f t="shared" si="50"/>
        <v>4.6321392185063974</v>
      </c>
      <c r="CE39">
        <f t="shared" si="50"/>
        <v>4.6448296911700675</v>
      </c>
      <c r="CF39">
        <f t="shared" si="50"/>
        <v>4.4861362051378988</v>
      </c>
      <c r="CG39">
        <f t="shared" si="50"/>
        <v>2.7229412393428802</v>
      </c>
      <c r="CH39">
        <f t="shared" si="50"/>
        <v>2.347662796469971</v>
      </c>
      <c r="CI39">
        <f t="shared" si="50"/>
        <v>6.2822058838113639</v>
      </c>
      <c r="CJ39" s="49">
        <v>1</v>
      </c>
      <c r="CK39">
        <f t="shared" ref="CK39:CO41" si="51">LOG(CK9)</f>
        <v>2.1989355958270815</v>
      </c>
      <c r="CL39">
        <f t="shared" si="51"/>
        <v>2.3688185041751817</v>
      </c>
      <c r="CM39">
        <f t="shared" si="51"/>
        <v>2.9566060072690448</v>
      </c>
      <c r="CN39">
        <f t="shared" si="51"/>
        <v>2.3701112697459594</v>
      </c>
      <c r="CO39">
        <f t="shared" si="51"/>
        <v>2.786441900192151</v>
      </c>
      <c r="CP39" s="48">
        <f t="shared" si="36"/>
        <v>4.0369228936578114</v>
      </c>
      <c r="CQ39">
        <f t="shared" ref="CQ39:DV39" si="52">LOG(CQ9)</f>
        <v>2.734643035011441</v>
      </c>
      <c r="CR39">
        <f t="shared" si="52"/>
        <v>2.3585743547667337</v>
      </c>
      <c r="CS39">
        <f t="shared" si="52"/>
        <v>2.3575557895811943</v>
      </c>
      <c r="CT39">
        <f t="shared" si="52"/>
        <v>2.1321264853344601</v>
      </c>
      <c r="CU39">
        <f t="shared" si="52"/>
        <v>1.9956171812397019</v>
      </c>
      <c r="CV39">
        <f t="shared" si="52"/>
        <v>2.0038692043435051</v>
      </c>
      <c r="CW39">
        <f t="shared" si="52"/>
        <v>3.349769258483176</v>
      </c>
      <c r="CX39">
        <f t="shared" si="52"/>
        <v>4.037532607104124</v>
      </c>
      <c r="CY39">
        <f t="shared" si="52"/>
        <v>1.8852811309003212</v>
      </c>
      <c r="CZ39">
        <f t="shared" si="52"/>
        <v>2.6753826153794833</v>
      </c>
      <c r="DA39">
        <f t="shared" si="52"/>
        <v>2.2113369080877252</v>
      </c>
      <c r="DB39">
        <f t="shared" si="52"/>
        <v>3.7273196574101521</v>
      </c>
      <c r="DC39">
        <f t="shared" si="52"/>
        <v>2.7543740270325374</v>
      </c>
      <c r="DD39">
        <f t="shared" si="52"/>
        <v>3.017319162394136</v>
      </c>
      <c r="DE39">
        <f t="shared" si="52"/>
        <v>4.1385453331405131</v>
      </c>
      <c r="DF39">
        <f t="shared" si="52"/>
        <v>4.2474295613509527</v>
      </c>
      <c r="DG39">
        <f t="shared" si="52"/>
        <v>3.1447307298769678</v>
      </c>
      <c r="DH39">
        <f t="shared" si="52"/>
        <v>2.3387418392153547</v>
      </c>
      <c r="DI39">
        <f t="shared" si="52"/>
        <v>2.1575559251439964</v>
      </c>
      <c r="DJ39">
        <f t="shared" si="52"/>
        <v>2.7259905871266064</v>
      </c>
      <c r="DK39">
        <f t="shared" si="52"/>
        <v>3.0054079154945046</v>
      </c>
      <c r="DL39">
        <f t="shared" si="52"/>
        <v>2.7521248851395441</v>
      </c>
      <c r="DM39">
        <f t="shared" si="52"/>
        <v>3.3630768723407214</v>
      </c>
      <c r="DN39">
        <f t="shared" si="52"/>
        <v>2.9458346388996048</v>
      </c>
      <c r="DO39">
        <f t="shared" si="52"/>
        <v>3.9315629722721406</v>
      </c>
      <c r="DP39">
        <f t="shared" si="52"/>
        <v>3.9786509198395796</v>
      </c>
      <c r="DQ39">
        <f t="shared" si="52"/>
        <v>3.6422415609615491</v>
      </c>
      <c r="DR39">
        <f t="shared" si="52"/>
        <v>3.5925003072883461</v>
      </c>
      <c r="DS39">
        <f t="shared" si="52"/>
        <v>2.7185392219810232</v>
      </c>
      <c r="DT39">
        <f t="shared" si="52"/>
        <v>1.8631760221230795</v>
      </c>
      <c r="DU39">
        <f t="shared" si="52"/>
        <v>3.082616979800846</v>
      </c>
      <c r="DV39">
        <f t="shared" si="52"/>
        <v>1.7289296870823079</v>
      </c>
      <c r="DW39">
        <f t="shared" ref="DW39:EO39" si="53">LOG(DW9)</f>
        <v>2.3585888334196254</v>
      </c>
      <c r="DX39">
        <f t="shared" si="53"/>
        <v>2.4300233762080801</v>
      </c>
      <c r="DY39">
        <f t="shared" si="53"/>
        <v>2.7262619780512924</v>
      </c>
      <c r="DZ39">
        <f t="shared" si="53"/>
        <v>2.6952865377281983</v>
      </c>
      <c r="EA39">
        <f t="shared" si="53"/>
        <v>2.5518833157441114</v>
      </c>
      <c r="EB39">
        <f t="shared" si="53"/>
        <v>1.5100151280534888</v>
      </c>
      <c r="EC39">
        <f t="shared" si="53"/>
        <v>2.7955035362308163</v>
      </c>
      <c r="ED39">
        <f t="shared" si="53"/>
        <v>3.26885252101038</v>
      </c>
      <c r="EE39">
        <f t="shared" si="53"/>
        <v>3.0596464170758071</v>
      </c>
      <c r="EF39">
        <f t="shared" si="53"/>
        <v>3.3194800161026126</v>
      </c>
      <c r="EG39">
        <f t="shared" si="53"/>
        <v>3.15694101916282</v>
      </c>
      <c r="EH39">
        <f t="shared" si="53"/>
        <v>2.7556617943578425</v>
      </c>
      <c r="EI39">
        <f t="shared" si="53"/>
        <v>2.2299280263910046</v>
      </c>
      <c r="EJ39">
        <f t="shared" si="53"/>
        <v>1.9617815813073798</v>
      </c>
      <c r="EK39">
        <f t="shared" si="53"/>
        <v>2.1000428308706307</v>
      </c>
      <c r="EL39">
        <f t="shared" si="53"/>
        <v>1.559371282849227</v>
      </c>
      <c r="EM39">
        <f t="shared" si="53"/>
        <v>2.3124225282281503</v>
      </c>
      <c r="EN39">
        <f t="shared" si="53"/>
        <v>2.4579168962043143</v>
      </c>
      <c r="EO39">
        <f t="shared" si="53"/>
        <v>1.766733477848812</v>
      </c>
      <c r="EP39" s="48">
        <f t="shared" si="39"/>
        <v>2.7261262825889494</v>
      </c>
      <c r="EQ39">
        <f t="shared" ref="EQ39:FI39" si="54">LOG(EQ9)</f>
        <v>2.9959270528306647</v>
      </c>
      <c r="ER39">
        <f t="shared" si="54"/>
        <v>4.1541372957333458</v>
      </c>
      <c r="ES39">
        <f t="shared" si="54"/>
        <v>3.4562407345058901</v>
      </c>
      <c r="ET39">
        <f t="shared" si="54"/>
        <v>1.6942383619281758</v>
      </c>
      <c r="EU39">
        <f t="shared" si="54"/>
        <v>2.5616011813465236</v>
      </c>
      <c r="EV39">
        <f t="shared" si="54"/>
        <v>1.8073260530098276</v>
      </c>
      <c r="EW39">
        <f t="shared" si="54"/>
        <v>2.8891187193376742</v>
      </c>
      <c r="EX39">
        <f t="shared" si="54"/>
        <v>3.1843452919498887</v>
      </c>
      <c r="EY39">
        <f t="shared" si="54"/>
        <v>3.516243559071011</v>
      </c>
      <c r="EZ39">
        <f t="shared" si="54"/>
        <v>3.1813627545942778</v>
      </c>
      <c r="FA39">
        <f t="shared" si="54"/>
        <v>2.5679689162616732</v>
      </c>
      <c r="FB39">
        <f t="shared" si="54"/>
        <v>3.2683904016096887</v>
      </c>
      <c r="FC39">
        <f t="shared" si="54"/>
        <v>2.2216390714292222</v>
      </c>
      <c r="FD39">
        <f t="shared" si="54"/>
        <v>3.2619948345906726</v>
      </c>
      <c r="FE39">
        <f t="shared" si="54"/>
        <v>4.037532607104124</v>
      </c>
      <c r="FF39">
        <f t="shared" si="54"/>
        <v>3.2857100439221352</v>
      </c>
      <c r="FG39">
        <f t="shared" si="54"/>
        <v>2.8306756849924715</v>
      </c>
      <c r="FH39">
        <f t="shared" si="54"/>
        <v>1.7349443580509714</v>
      </c>
      <c r="FI39">
        <f t="shared" si="54"/>
        <v>2.2018478842846876</v>
      </c>
      <c r="FJ39" s="62">
        <f t="shared" si="41"/>
        <v>2.9959270528306647</v>
      </c>
    </row>
    <row r="40" spans="1:175" ht="15">
      <c r="A40" s="9" t="s">
        <v>182</v>
      </c>
      <c r="B40" s="24" t="s">
        <v>185</v>
      </c>
      <c r="C40">
        <f t="shared" ref="C40:T40" si="55">LOG(C10)</f>
        <v>3.0441915209293335</v>
      </c>
      <c r="D40">
        <f t="shared" si="55"/>
        <v>1.534998331927643</v>
      </c>
      <c r="E40">
        <f t="shared" si="55"/>
        <v>3.6516219459527761</v>
      </c>
      <c r="F40">
        <f t="shared" si="55"/>
        <v>1.9730210800380119</v>
      </c>
      <c r="G40">
        <f t="shared" si="55"/>
        <v>2.5898429640759262</v>
      </c>
      <c r="H40">
        <f t="shared" si="55"/>
        <v>2.332806496112577</v>
      </c>
      <c r="I40">
        <f t="shared" si="55"/>
        <v>2.3415379897635544</v>
      </c>
      <c r="J40">
        <f t="shared" si="55"/>
        <v>4.1264469062712488</v>
      </c>
      <c r="K40">
        <f t="shared" si="55"/>
        <v>3.8756755934131881</v>
      </c>
      <c r="L40">
        <f t="shared" si="55"/>
        <v>1.474156228893206</v>
      </c>
      <c r="M40">
        <f t="shared" si="55"/>
        <v>1.7438337980951915</v>
      </c>
      <c r="N40">
        <f t="shared" si="55"/>
        <v>2.0629421184749477</v>
      </c>
      <c r="O40">
        <f t="shared" si="55"/>
        <v>1.691733842642428</v>
      </c>
      <c r="P40">
        <f t="shared" si="55"/>
        <v>1.5045500470199853</v>
      </c>
      <c r="Q40">
        <f t="shared" si="55"/>
        <v>0</v>
      </c>
      <c r="R40">
        <f t="shared" si="55"/>
        <v>1.5477413969068152</v>
      </c>
      <c r="S40">
        <f t="shared" si="55"/>
        <v>2.3459891805824729</v>
      </c>
      <c r="T40">
        <f t="shared" si="55"/>
        <v>2.6044079124991129</v>
      </c>
      <c r="U40" s="47">
        <f t="shared" si="32"/>
        <v>2.1978743072937625</v>
      </c>
      <c r="V40">
        <f t="shared" ref="V40:AT40" si="56">LOG(V10)</f>
        <v>5.0125142112208811</v>
      </c>
      <c r="W40">
        <f t="shared" si="56"/>
        <v>5.0613901088825459</v>
      </c>
      <c r="X40">
        <f t="shared" si="56"/>
        <v>4.8298998602908494</v>
      </c>
      <c r="Y40">
        <f t="shared" si="56"/>
        <v>2.6999831224030486</v>
      </c>
      <c r="Z40">
        <f t="shared" si="56"/>
        <v>3.4937022470620498</v>
      </c>
      <c r="AA40">
        <f t="shared" si="56"/>
        <v>5.5867533463279306</v>
      </c>
      <c r="AB40">
        <f t="shared" si="56"/>
        <v>4.3207894620845977</v>
      </c>
      <c r="AC40">
        <f t="shared" si="56"/>
        <v>5.3298104823153913</v>
      </c>
      <c r="AD40">
        <f t="shared" si="56"/>
        <v>2.9866448323692114</v>
      </c>
      <c r="AE40">
        <f t="shared" si="56"/>
        <v>4.1532811898045443</v>
      </c>
      <c r="AF40">
        <f t="shared" si="56"/>
        <v>4.4088646449274691</v>
      </c>
      <c r="AG40">
        <f t="shared" si="56"/>
        <v>3.161961432317641</v>
      </c>
      <c r="AH40">
        <f t="shared" si="56"/>
        <v>3.5167432929185836</v>
      </c>
      <c r="AI40">
        <f t="shared" si="56"/>
        <v>4.0107780982613059</v>
      </c>
      <c r="AJ40">
        <f t="shared" si="56"/>
        <v>3.2487788597724694</v>
      </c>
      <c r="AK40">
        <f t="shared" si="56"/>
        <v>2.4383304734808458</v>
      </c>
      <c r="AL40">
        <f t="shared" si="56"/>
        <v>2.451521583933542</v>
      </c>
      <c r="AM40">
        <f t="shared" si="56"/>
        <v>3.7806138372469431</v>
      </c>
      <c r="AN40">
        <f t="shared" si="56"/>
        <v>3.2966544186332891</v>
      </c>
      <c r="AO40">
        <f t="shared" si="56"/>
        <v>2.7355341117049048</v>
      </c>
      <c r="AP40">
        <f t="shared" si="56"/>
        <v>2.9709077876234424</v>
      </c>
      <c r="AQ40">
        <f t="shared" si="56"/>
        <v>2.7526856356124965</v>
      </c>
      <c r="AR40">
        <f t="shared" si="56"/>
        <v>3.3073155337413009</v>
      </c>
      <c r="AS40">
        <f t="shared" si="56"/>
        <v>4.0767591840792035</v>
      </c>
      <c r="AT40">
        <f t="shared" si="56"/>
        <v>3.9048439465606082</v>
      </c>
      <c r="AU40" s="48">
        <f t="shared" si="34"/>
        <v>3.5167432929185836</v>
      </c>
      <c r="AV40">
        <f t="shared" ref="AV40:CI40" si="57">LOG(AV10)</f>
        <v>2.6487435160728401</v>
      </c>
      <c r="AW40">
        <f t="shared" si="57"/>
        <v>3.5486477058395298</v>
      </c>
      <c r="AX40">
        <f t="shared" si="57"/>
        <v>3.0487127697967318</v>
      </c>
      <c r="AY40">
        <f t="shared" si="57"/>
        <v>2.9166211252265954</v>
      </c>
      <c r="AZ40">
        <f t="shared" si="57"/>
        <v>2.6385210908812948</v>
      </c>
      <c r="BA40">
        <f t="shared" si="57"/>
        <v>3.5905749937544225</v>
      </c>
      <c r="BB40">
        <f t="shared" si="57"/>
        <v>5.0427550182108218</v>
      </c>
      <c r="BC40">
        <f t="shared" si="57"/>
        <v>4.9295543131454309</v>
      </c>
      <c r="BD40">
        <f t="shared" si="57"/>
        <v>3.8987832176144308</v>
      </c>
      <c r="BE40">
        <f t="shared" si="57"/>
        <v>3.0475182859250101</v>
      </c>
      <c r="BF40">
        <f t="shared" si="57"/>
        <v>3.9871724402733695</v>
      </c>
      <c r="BG40">
        <f t="shared" si="57"/>
        <v>4.0085968993731926</v>
      </c>
      <c r="BH40">
        <f t="shared" si="57"/>
        <v>4.2716047696164141</v>
      </c>
      <c r="BI40">
        <f t="shared" si="57"/>
        <v>4.1768116762229308</v>
      </c>
      <c r="BJ40">
        <f t="shared" si="57"/>
        <v>5.7072548559434342</v>
      </c>
      <c r="BK40">
        <f t="shared" si="57"/>
        <v>5.5872271871696633</v>
      </c>
      <c r="BL40">
        <f t="shared" si="57"/>
        <v>4.8749789603132561</v>
      </c>
      <c r="BM40">
        <f t="shared" si="57"/>
        <v>4.6340457500666892</v>
      </c>
      <c r="BN40">
        <f t="shared" si="57"/>
        <v>3.6406300313508306</v>
      </c>
      <c r="BO40">
        <f t="shared" si="57"/>
        <v>3.4031570844022236</v>
      </c>
      <c r="BP40">
        <f t="shared" si="57"/>
        <v>3.6231690542082777</v>
      </c>
      <c r="BQ40">
        <f t="shared" si="57"/>
        <v>3.6785104686801908</v>
      </c>
      <c r="BR40">
        <f t="shared" si="57"/>
        <v>4.27452767999642</v>
      </c>
      <c r="BS40">
        <f t="shared" si="57"/>
        <v>4.2105338206358311</v>
      </c>
      <c r="BT40">
        <f t="shared" si="57"/>
        <v>4.0444258162843276</v>
      </c>
      <c r="BU40">
        <f t="shared" si="57"/>
        <v>3.6028109582369456</v>
      </c>
      <c r="BV40">
        <f t="shared" si="57"/>
        <v>4.1540571047139361</v>
      </c>
      <c r="BW40">
        <f t="shared" si="57"/>
        <v>4.3674856113569014</v>
      </c>
      <c r="BX40">
        <f t="shared" si="57"/>
        <v>5.0451479488414863</v>
      </c>
      <c r="BY40">
        <f t="shared" si="57"/>
        <v>5.485375069083319</v>
      </c>
      <c r="BZ40">
        <f t="shared" si="57"/>
        <v>4.6921997506570889</v>
      </c>
      <c r="CA40">
        <f t="shared" si="57"/>
        <v>4.2776071821115638</v>
      </c>
      <c r="CB40">
        <f t="shared" si="57"/>
        <v>3.8864657643478271</v>
      </c>
      <c r="CC40">
        <f t="shared" si="57"/>
        <v>3.799289375756115</v>
      </c>
      <c r="CD40">
        <f t="shared" si="57"/>
        <v>4.57345478864924</v>
      </c>
      <c r="CE40">
        <f t="shared" si="57"/>
        <v>4.6059980238761025</v>
      </c>
      <c r="CF40">
        <f t="shared" si="57"/>
        <v>4.6043186649434693</v>
      </c>
      <c r="CG40">
        <f t="shared" si="57"/>
        <v>2.8454765008827212</v>
      </c>
      <c r="CH40">
        <f t="shared" si="57"/>
        <v>2.1755442831227803</v>
      </c>
      <c r="CI40">
        <f t="shared" si="57"/>
        <v>2.0484846001070069</v>
      </c>
      <c r="CJ40">
        <f>LOG(CJ10)</f>
        <v>2.6002240046299208</v>
      </c>
      <c r="CK40">
        <f t="shared" si="51"/>
        <v>3.1627391592833991</v>
      </c>
      <c r="CL40">
        <f t="shared" si="51"/>
        <v>2.5433231145796937</v>
      </c>
      <c r="CM40">
        <f t="shared" si="51"/>
        <v>3.2151935321872855</v>
      </c>
      <c r="CN40">
        <f t="shared" si="51"/>
        <v>1.5217768760618255</v>
      </c>
      <c r="CO40">
        <f t="shared" si="51"/>
        <v>2.0387601875604346</v>
      </c>
      <c r="CP40" s="48">
        <f t="shared" si="36"/>
        <v>3.8926244909811292</v>
      </c>
      <c r="CQ40">
        <f t="shared" ref="CQ40:CT41" si="58">LOG(CQ10)</f>
        <v>2.5284751721099665</v>
      </c>
      <c r="CR40">
        <f t="shared" si="58"/>
        <v>2.1066605222216732</v>
      </c>
      <c r="CS40">
        <f t="shared" si="58"/>
        <v>2.1237677149661871</v>
      </c>
      <c r="CT40">
        <f t="shared" si="58"/>
        <v>2.08653888167215</v>
      </c>
      <c r="CU40" s="49">
        <v>1</v>
      </c>
      <c r="CV40">
        <f t="shared" ref="CV40:EO40" si="59">LOG(CV10)</f>
        <v>1.2124299539417611</v>
      </c>
      <c r="CW40">
        <f t="shared" si="59"/>
        <v>3.3416990668152811</v>
      </c>
      <c r="CX40">
        <f t="shared" si="59"/>
        <v>3.7691728377608125</v>
      </c>
      <c r="CY40">
        <f t="shared" si="59"/>
        <v>2.0382294830812642</v>
      </c>
      <c r="CZ40">
        <f t="shared" si="59"/>
        <v>2.8727605526776441</v>
      </c>
      <c r="DA40">
        <f t="shared" si="59"/>
        <v>3.2516318252802638</v>
      </c>
      <c r="DB40">
        <f t="shared" si="59"/>
        <v>3.7461517549695382</v>
      </c>
      <c r="DC40">
        <f t="shared" si="59"/>
        <v>2.6439196743253071</v>
      </c>
      <c r="DD40">
        <f t="shared" si="59"/>
        <v>2.7522162839641178</v>
      </c>
      <c r="DE40">
        <f t="shared" si="59"/>
        <v>4.063484486514497</v>
      </c>
      <c r="DF40">
        <f t="shared" si="59"/>
        <v>4.1312066706808643</v>
      </c>
      <c r="DG40">
        <f t="shared" si="59"/>
        <v>2.4128723567605448</v>
      </c>
      <c r="DH40">
        <f t="shared" si="59"/>
        <v>1.608268351411454</v>
      </c>
      <c r="DI40">
        <f t="shared" si="59"/>
        <v>1.218219441706111</v>
      </c>
      <c r="DJ40">
        <f t="shared" si="59"/>
        <v>2.4307434234739826</v>
      </c>
      <c r="DK40">
        <f t="shared" si="59"/>
        <v>2.8951192941576163</v>
      </c>
      <c r="DL40">
        <f t="shared" si="59"/>
        <v>3.0706290187932765</v>
      </c>
      <c r="DM40">
        <f t="shared" si="59"/>
        <v>3.385306495584782</v>
      </c>
      <c r="DN40">
        <f t="shared" si="59"/>
        <v>2.9521009757018728</v>
      </c>
      <c r="DO40">
        <f t="shared" si="59"/>
        <v>3.9738329192557229</v>
      </c>
      <c r="DP40">
        <f t="shared" si="59"/>
        <v>3.0135697518469007</v>
      </c>
      <c r="DQ40">
        <f t="shared" si="59"/>
        <v>3.6920640146885018</v>
      </c>
      <c r="DR40">
        <f t="shared" si="59"/>
        <v>3.489120240606586</v>
      </c>
      <c r="DS40">
        <f t="shared" si="59"/>
        <v>1.7447153639761643</v>
      </c>
      <c r="DT40">
        <f t="shared" si="59"/>
        <v>1.8133916067583311</v>
      </c>
      <c r="DU40">
        <f t="shared" si="59"/>
        <v>2.9203050191398043</v>
      </c>
      <c r="DV40">
        <f t="shared" si="59"/>
        <v>2.0626900038077278</v>
      </c>
      <c r="DW40">
        <f t="shared" si="59"/>
        <v>1.9516804259709692</v>
      </c>
      <c r="DX40">
        <f t="shared" si="59"/>
        <v>1.7842953209973353</v>
      </c>
      <c r="DY40">
        <f t="shared" si="59"/>
        <v>2.2915348037852672</v>
      </c>
      <c r="DZ40">
        <f t="shared" si="59"/>
        <v>2.6887248901943095</v>
      </c>
      <c r="EA40">
        <f t="shared" si="59"/>
        <v>2.2226741167468438</v>
      </c>
      <c r="EB40">
        <f t="shared" si="59"/>
        <v>1.2931258848404099</v>
      </c>
      <c r="EC40">
        <f t="shared" si="59"/>
        <v>2.9163094924228292</v>
      </c>
      <c r="ED40">
        <f t="shared" si="59"/>
        <v>3.3965990567468203</v>
      </c>
      <c r="EE40">
        <f t="shared" si="59"/>
        <v>2.2578051401966102</v>
      </c>
      <c r="EF40">
        <f t="shared" si="59"/>
        <v>3.4160929358048229</v>
      </c>
      <c r="EG40">
        <f t="shared" si="59"/>
        <v>3.0378990040509319</v>
      </c>
      <c r="EH40">
        <f t="shared" si="59"/>
        <v>2.5817402445973006</v>
      </c>
      <c r="EI40">
        <f t="shared" si="59"/>
        <v>2.2432262358231267</v>
      </c>
      <c r="EJ40">
        <f t="shared" si="59"/>
        <v>2.0057841683762332</v>
      </c>
      <c r="EK40">
        <f t="shared" si="59"/>
        <v>2.2217110166987371</v>
      </c>
      <c r="EL40">
        <f t="shared" si="59"/>
        <v>2.0449794017144733</v>
      </c>
      <c r="EM40">
        <f t="shared" si="59"/>
        <v>1.9405890082231516</v>
      </c>
      <c r="EN40">
        <f t="shared" si="59"/>
        <v>2.1084059544630427</v>
      </c>
      <c r="EO40">
        <f t="shared" si="59"/>
        <v>1.7376489466044684</v>
      </c>
      <c r="EP40" s="48">
        <f t="shared" si="39"/>
        <v>2.4796092977919746</v>
      </c>
      <c r="EQ40">
        <f t="shared" ref="EQ40:FI40" si="60">LOG(EQ10)</f>
        <v>3.1107357911484774</v>
      </c>
      <c r="ER40">
        <f t="shared" si="60"/>
        <v>4.2273337984709398</v>
      </c>
      <c r="ES40">
        <f t="shared" si="60"/>
        <v>3.7216245432921817</v>
      </c>
      <c r="ET40">
        <f t="shared" si="60"/>
        <v>1.7048331554843821</v>
      </c>
      <c r="EU40">
        <f t="shared" si="60"/>
        <v>2.3620323867733926</v>
      </c>
      <c r="EV40">
        <f t="shared" si="60"/>
        <v>1.8945257385312357</v>
      </c>
      <c r="EW40">
        <f t="shared" si="60"/>
        <v>2.3163469508050518</v>
      </c>
      <c r="EX40">
        <f t="shared" si="60"/>
        <v>3.2418866801630872</v>
      </c>
      <c r="EY40">
        <f t="shared" si="60"/>
        <v>3.7060922812629742</v>
      </c>
      <c r="EZ40">
        <f t="shared" si="60"/>
        <v>2.1704537015705903</v>
      </c>
      <c r="FA40">
        <f t="shared" si="60"/>
        <v>2.39578278448935</v>
      </c>
      <c r="FB40">
        <f t="shared" si="60"/>
        <v>2.1123444304821053</v>
      </c>
      <c r="FC40">
        <f t="shared" si="60"/>
        <v>1.8057221083685147</v>
      </c>
      <c r="FD40">
        <f t="shared" si="60"/>
        <v>3.439282457598511</v>
      </c>
      <c r="FE40">
        <f t="shared" si="60"/>
        <v>3.7691728377608125</v>
      </c>
      <c r="FF40">
        <f t="shared" si="60"/>
        <v>3.0714584033955465</v>
      </c>
      <c r="FG40">
        <f t="shared" si="60"/>
        <v>2.6514311326340572</v>
      </c>
      <c r="FH40">
        <f t="shared" si="60"/>
        <v>1.6455885022930841</v>
      </c>
      <c r="FI40">
        <f t="shared" si="60"/>
        <v>2.1177365000837645</v>
      </c>
      <c r="FJ40" s="62">
        <f t="shared" si="41"/>
        <v>2.39578278448935</v>
      </c>
    </row>
    <row r="41" spans="1:175" ht="15">
      <c r="A41" s="9" t="s">
        <v>181</v>
      </c>
      <c r="B41" s="24" t="s">
        <v>184</v>
      </c>
      <c r="C41">
        <f t="shared" ref="C41:T41" si="61">LOG(C11)</f>
        <v>3.7308812534474645</v>
      </c>
      <c r="D41">
        <f t="shared" si="61"/>
        <v>2.7047121744849005</v>
      </c>
      <c r="E41">
        <f t="shared" si="61"/>
        <v>4.2023298888205183</v>
      </c>
      <c r="F41">
        <f t="shared" si="61"/>
        <v>3.8272730214718278</v>
      </c>
      <c r="G41">
        <f t="shared" si="61"/>
        <v>1.699045313612777</v>
      </c>
      <c r="H41">
        <f t="shared" si="61"/>
        <v>2.7251788468626335</v>
      </c>
      <c r="I41">
        <f t="shared" si="61"/>
        <v>2.1380503293716457</v>
      </c>
      <c r="J41">
        <f t="shared" si="61"/>
        <v>4.2855717405889173</v>
      </c>
      <c r="K41">
        <f t="shared" si="61"/>
        <v>4.0686178947737819</v>
      </c>
      <c r="L41">
        <f t="shared" si="61"/>
        <v>3.0795555184623935</v>
      </c>
      <c r="M41">
        <f t="shared" si="61"/>
        <v>1.4248287803262729</v>
      </c>
      <c r="N41">
        <f t="shared" si="61"/>
        <v>2.3963165188857274</v>
      </c>
      <c r="O41">
        <f t="shared" si="61"/>
        <v>1.4308798903620039</v>
      </c>
      <c r="P41">
        <f t="shared" si="61"/>
        <v>1.3814695915813762</v>
      </c>
      <c r="Q41">
        <f t="shared" si="61"/>
        <v>1.5938329420193302</v>
      </c>
      <c r="R41">
        <f t="shared" si="61"/>
        <v>1.5802229560283958</v>
      </c>
      <c r="S41">
        <f t="shared" si="61"/>
        <v>2.5894770811594077</v>
      </c>
      <c r="T41">
        <f t="shared" si="61"/>
        <v>2.7487687135191781</v>
      </c>
      <c r="U41" s="47">
        <f t="shared" si="32"/>
        <v>2.6470946278221543</v>
      </c>
      <c r="V41">
        <f t="shared" ref="V41:AT41" si="62">LOG(V11)</f>
        <v>4.9200054955687635</v>
      </c>
      <c r="W41">
        <f t="shared" si="62"/>
        <v>5.0671750355011689</v>
      </c>
      <c r="X41">
        <f t="shared" si="62"/>
        <v>4.9817221042816007</v>
      </c>
      <c r="Y41">
        <f t="shared" si="62"/>
        <v>2.7310898677543136</v>
      </c>
      <c r="Z41">
        <f t="shared" si="62"/>
        <v>3.5111345979358886</v>
      </c>
      <c r="AA41">
        <f t="shared" si="62"/>
        <v>5.5527402727088848</v>
      </c>
      <c r="AB41">
        <f t="shared" si="62"/>
        <v>4.3370694456980274</v>
      </c>
      <c r="AC41">
        <f t="shared" si="62"/>
        <v>5.3271148595521129</v>
      </c>
      <c r="AD41">
        <f t="shared" si="62"/>
        <v>3.2298167360479386</v>
      </c>
      <c r="AE41">
        <f t="shared" si="62"/>
        <v>3.8349679852433343</v>
      </c>
      <c r="AF41">
        <f t="shared" si="62"/>
        <v>4.3106102431767868</v>
      </c>
      <c r="AG41">
        <f t="shared" si="62"/>
        <v>3.1432780138078904</v>
      </c>
      <c r="AH41">
        <f t="shared" si="62"/>
        <v>3.6439699974965736</v>
      </c>
      <c r="AI41">
        <f t="shared" si="62"/>
        <v>4.0305808794761964</v>
      </c>
      <c r="AJ41">
        <f t="shared" si="62"/>
        <v>3.4923953220068427</v>
      </c>
      <c r="AK41">
        <f t="shared" si="62"/>
        <v>2.4493087507809741</v>
      </c>
      <c r="AL41">
        <f t="shared" si="62"/>
        <v>2.4942443147963087</v>
      </c>
      <c r="AM41">
        <f t="shared" si="62"/>
        <v>3.8314187488418936</v>
      </c>
      <c r="AN41">
        <f t="shared" si="62"/>
        <v>3.5807386756896129</v>
      </c>
      <c r="AO41">
        <f t="shared" si="62"/>
        <v>2.2528304138358073</v>
      </c>
      <c r="AP41">
        <f t="shared" si="62"/>
        <v>2.6112263042744646</v>
      </c>
      <c r="AQ41">
        <f t="shared" si="62"/>
        <v>2.9661569085718149</v>
      </c>
      <c r="AR41">
        <f t="shared" si="62"/>
        <v>3.2491022976017838</v>
      </c>
      <c r="AS41">
        <f t="shared" si="62"/>
        <v>4.2714778465447294</v>
      </c>
      <c r="AT41">
        <f t="shared" si="62"/>
        <v>3.7738434228715776</v>
      </c>
      <c r="AU41" s="48">
        <f t="shared" si="34"/>
        <v>3.6439699974965736</v>
      </c>
      <c r="AV41">
        <f t="shared" ref="AV41:CI41" si="63">LOG(AV11)</f>
        <v>2.3238775395350268</v>
      </c>
      <c r="AW41">
        <f t="shared" si="63"/>
        <v>3.6062139384350638</v>
      </c>
      <c r="AX41">
        <f t="shared" si="63"/>
        <v>3.1482990214631568</v>
      </c>
      <c r="AY41">
        <f t="shared" si="63"/>
        <v>3.1259736694416693</v>
      </c>
      <c r="AZ41">
        <f t="shared" si="63"/>
        <v>2.8966769431042545</v>
      </c>
      <c r="BA41">
        <f t="shared" si="63"/>
        <v>4.3211397891681038</v>
      </c>
      <c r="BB41">
        <f t="shared" si="63"/>
        <v>5.3255392511117829</v>
      </c>
      <c r="BC41">
        <f t="shared" si="63"/>
        <v>5.1457151163491748</v>
      </c>
      <c r="BD41">
        <f t="shared" si="63"/>
        <v>4.284779114536561</v>
      </c>
      <c r="BE41">
        <f t="shared" si="63"/>
        <v>3.3430459569344304</v>
      </c>
      <c r="BF41">
        <f t="shared" si="63"/>
        <v>4.1825161902363117</v>
      </c>
      <c r="BG41">
        <f t="shared" si="63"/>
        <v>4.0443679657852716</v>
      </c>
      <c r="BH41">
        <f t="shared" si="63"/>
        <v>4.3329600430831903</v>
      </c>
      <c r="BI41">
        <f t="shared" si="63"/>
        <v>4.1707235559725815</v>
      </c>
      <c r="BJ41">
        <f t="shared" si="63"/>
        <v>5.7863682944032249</v>
      </c>
      <c r="BK41">
        <f t="shared" si="63"/>
        <v>5.6330313000466026</v>
      </c>
      <c r="BL41">
        <f t="shared" si="63"/>
        <v>5.1036934013857262</v>
      </c>
      <c r="BM41">
        <f t="shared" si="63"/>
        <v>4.9124795090644202</v>
      </c>
      <c r="BN41">
        <f t="shared" si="63"/>
        <v>4.0734457403139368</v>
      </c>
      <c r="BO41">
        <f t="shared" si="63"/>
        <v>3.7664563857958866</v>
      </c>
      <c r="BP41">
        <f t="shared" si="63"/>
        <v>3.968577278979307</v>
      </c>
      <c r="BQ41">
        <f t="shared" si="63"/>
        <v>3.4549500102924062</v>
      </c>
      <c r="BR41">
        <f t="shared" si="63"/>
        <v>4.0817181845677002</v>
      </c>
      <c r="BS41">
        <f t="shared" si="63"/>
        <v>4.0731932538183191</v>
      </c>
      <c r="BT41">
        <f t="shared" si="63"/>
        <v>3.9951091735070445</v>
      </c>
      <c r="BU41">
        <f t="shared" si="63"/>
        <v>3.4856215720351833</v>
      </c>
      <c r="BV41">
        <f t="shared" si="63"/>
        <v>4.2005094688845261</v>
      </c>
      <c r="BW41">
        <f t="shared" si="63"/>
        <v>4.5324569272162591</v>
      </c>
      <c r="BX41">
        <f t="shared" si="63"/>
        <v>5.0901626517942704</v>
      </c>
      <c r="BY41">
        <f t="shared" si="63"/>
        <v>5.5396309878350918</v>
      </c>
      <c r="BZ41">
        <f t="shared" si="63"/>
        <v>4.9620407443556838</v>
      </c>
      <c r="CA41">
        <f t="shared" si="63"/>
        <v>4.4305288402112453</v>
      </c>
      <c r="CB41">
        <f t="shared" si="63"/>
        <v>3.9442626940793271</v>
      </c>
      <c r="CC41">
        <f t="shared" si="63"/>
        <v>3.8175084955001721</v>
      </c>
      <c r="CD41">
        <f t="shared" si="63"/>
        <v>4.655460000361737</v>
      </c>
      <c r="CE41">
        <f t="shared" si="63"/>
        <v>4.8056019286867189</v>
      </c>
      <c r="CF41">
        <f t="shared" si="63"/>
        <v>4.5280304418334785</v>
      </c>
      <c r="CG41">
        <f t="shared" si="63"/>
        <v>2.3714416176180642</v>
      </c>
      <c r="CH41">
        <f t="shared" si="63"/>
        <v>2.0445636172967161</v>
      </c>
      <c r="CI41">
        <f t="shared" si="63"/>
        <v>1.5174861012945078</v>
      </c>
      <c r="CJ41">
        <f>LOG(CJ11)</f>
        <v>2.3937957126278095</v>
      </c>
      <c r="CK41">
        <f t="shared" si="51"/>
        <v>2.8763304368056084</v>
      </c>
      <c r="CL41">
        <f t="shared" si="51"/>
        <v>2.7084931076146423</v>
      </c>
      <c r="CM41">
        <f t="shared" si="51"/>
        <v>3.380079293666935</v>
      </c>
      <c r="CN41">
        <f t="shared" si="51"/>
        <v>2.2221200506405445</v>
      </c>
      <c r="CO41">
        <f t="shared" si="51"/>
        <v>2.1800403461554256</v>
      </c>
      <c r="CP41" s="48">
        <f t="shared" si="36"/>
        <v>4.0587806098017953</v>
      </c>
      <c r="CQ41">
        <f t="shared" si="58"/>
        <v>2.5779472750519137</v>
      </c>
      <c r="CR41">
        <f t="shared" si="58"/>
        <v>2.1958840129532393</v>
      </c>
      <c r="CS41">
        <f t="shared" si="58"/>
        <v>2.5761142369975869</v>
      </c>
      <c r="CT41">
        <f t="shared" si="58"/>
        <v>1.2841724022589156</v>
      </c>
      <c r="CU41">
        <f>LOG(CU11)</f>
        <v>1.3339771237278124</v>
      </c>
      <c r="CV41">
        <f t="shared" ref="CV41:EO41" si="64">LOG(CV11)</f>
        <v>1.5381114425678635</v>
      </c>
      <c r="CW41">
        <f t="shared" si="64"/>
        <v>3.3408726020851831</v>
      </c>
      <c r="CX41">
        <f t="shared" si="64"/>
        <v>4.1163910642454988</v>
      </c>
      <c r="CY41">
        <f t="shared" si="64"/>
        <v>1.313076334788555</v>
      </c>
      <c r="CZ41">
        <f t="shared" si="64"/>
        <v>2.8176253611490942</v>
      </c>
      <c r="DA41">
        <f t="shared" si="64"/>
        <v>2.9561725475621685</v>
      </c>
      <c r="DB41">
        <f t="shared" si="64"/>
        <v>3.5621501039483001</v>
      </c>
      <c r="DC41">
        <f t="shared" si="64"/>
        <v>2.5063057258928452</v>
      </c>
      <c r="DD41">
        <f t="shared" si="64"/>
        <v>2.7380939192872389</v>
      </c>
      <c r="DE41">
        <f t="shared" si="64"/>
        <v>2.9609815878073396</v>
      </c>
      <c r="DF41">
        <f t="shared" si="64"/>
        <v>4.1588491788727122</v>
      </c>
      <c r="DG41">
        <f t="shared" si="64"/>
        <v>1.8925795413564435</v>
      </c>
      <c r="DH41">
        <f t="shared" si="64"/>
        <v>1.4074437985316313</v>
      </c>
      <c r="DI41">
        <f t="shared" si="64"/>
        <v>1.9774531750466804</v>
      </c>
      <c r="DJ41">
        <f t="shared" si="64"/>
        <v>1.6123977642434015</v>
      </c>
      <c r="DK41">
        <f t="shared" si="64"/>
        <v>2.8943870803374354</v>
      </c>
      <c r="DL41">
        <f t="shared" si="64"/>
        <v>2.9451267759888946</v>
      </c>
      <c r="DM41">
        <f t="shared" si="64"/>
        <v>3.1349003708567906</v>
      </c>
      <c r="DN41">
        <f t="shared" si="64"/>
        <v>2.8777589897644136</v>
      </c>
      <c r="DO41">
        <f t="shared" si="64"/>
        <v>4.0149961790864941</v>
      </c>
      <c r="DP41">
        <f t="shared" si="64"/>
        <v>2.9478804648723744</v>
      </c>
      <c r="DQ41">
        <f t="shared" si="64"/>
        <v>3.7108417694185634</v>
      </c>
      <c r="DR41">
        <f t="shared" si="64"/>
        <v>3.5926150218263424</v>
      </c>
      <c r="DS41">
        <f t="shared" si="64"/>
        <v>1.6266236160552789</v>
      </c>
      <c r="DT41">
        <f t="shared" si="64"/>
        <v>2.0677931660933817</v>
      </c>
      <c r="DU41">
        <f t="shared" si="64"/>
        <v>3.0449300467796636</v>
      </c>
      <c r="DV41">
        <f t="shared" si="64"/>
        <v>2.0470082024136746</v>
      </c>
      <c r="DW41">
        <f t="shared" si="64"/>
        <v>1.8796123662717554</v>
      </c>
      <c r="DX41">
        <f t="shared" si="64"/>
        <v>1.8482568166775777</v>
      </c>
      <c r="DY41">
        <f t="shared" si="64"/>
        <v>2.2789879736764607</v>
      </c>
      <c r="DZ41">
        <f t="shared" si="64"/>
        <v>2.6916065882570925</v>
      </c>
      <c r="EA41">
        <f t="shared" si="64"/>
        <v>2.2315298807098634</v>
      </c>
      <c r="EB41">
        <f t="shared" si="64"/>
        <v>1.2924477037741735</v>
      </c>
      <c r="EC41">
        <f t="shared" si="64"/>
        <v>2.8823986923945499</v>
      </c>
      <c r="ED41">
        <f t="shared" si="64"/>
        <v>3.318948298417038</v>
      </c>
      <c r="EE41">
        <f t="shared" si="64"/>
        <v>3.0727399986560724</v>
      </c>
      <c r="EF41">
        <f t="shared" si="64"/>
        <v>3.321715782949004</v>
      </c>
      <c r="EG41">
        <f t="shared" si="64"/>
        <v>3.2165489678125234</v>
      </c>
      <c r="EH41">
        <f t="shared" si="64"/>
        <v>2.8134918241238758</v>
      </c>
      <c r="EI41">
        <f t="shared" si="64"/>
        <v>1.6152887723681344</v>
      </c>
      <c r="EJ41">
        <f t="shared" si="64"/>
        <v>2.3374105047593075</v>
      </c>
      <c r="EK41">
        <f t="shared" si="64"/>
        <v>2.4360197353527249</v>
      </c>
      <c r="EL41">
        <f t="shared" si="64"/>
        <v>1.7886829670873579</v>
      </c>
      <c r="EM41">
        <f t="shared" si="64"/>
        <v>2.4723137792011607</v>
      </c>
      <c r="EN41">
        <f t="shared" si="64"/>
        <v>2.3369032502299896</v>
      </c>
      <c r="EO41">
        <f t="shared" si="64"/>
        <v>1.9370238672766982</v>
      </c>
      <c r="EP41" s="48">
        <f t="shared" si="39"/>
        <v>2.5770307560247501</v>
      </c>
      <c r="EQ41">
        <f t="shared" ref="EQ41:FI41" si="65">LOG(EQ11)</f>
        <v>3.0033370289872861</v>
      </c>
      <c r="ER41">
        <f t="shared" si="65"/>
        <v>4.1122103579260161</v>
      </c>
      <c r="ES41">
        <f t="shared" si="65"/>
        <v>3.3371191554320077</v>
      </c>
      <c r="ET41">
        <f t="shared" si="65"/>
        <v>1.7492384008301005</v>
      </c>
      <c r="EU41">
        <f t="shared" si="65"/>
        <v>2.4936559684686737</v>
      </c>
      <c r="EV41">
        <f t="shared" si="65"/>
        <v>1.2219124540247728</v>
      </c>
      <c r="EW41">
        <f t="shared" si="65"/>
        <v>2.6425690706853153</v>
      </c>
      <c r="EX41">
        <f t="shared" si="65"/>
        <v>3.1980278623932765</v>
      </c>
      <c r="EY41">
        <f t="shared" si="65"/>
        <v>3.6200698987936391</v>
      </c>
      <c r="EZ41">
        <f t="shared" si="65"/>
        <v>3.1217687324482783</v>
      </c>
      <c r="FA41">
        <f t="shared" si="65"/>
        <v>2.0823048728533768</v>
      </c>
      <c r="FB41">
        <f t="shared" si="65"/>
        <v>3.2140156514189848</v>
      </c>
      <c r="FC41">
        <f t="shared" si="65"/>
        <v>1.5199579289793534</v>
      </c>
      <c r="FD41">
        <f t="shared" si="65"/>
        <v>3.3112689824084938</v>
      </c>
      <c r="FE41">
        <f t="shared" si="65"/>
        <v>4.1163910642454988</v>
      </c>
      <c r="FF41">
        <f t="shared" si="65"/>
        <v>2.8749421564918753</v>
      </c>
      <c r="FG41">
        <f t="shared" si="65"/>
        <v>2.5261894443487205</v>
      </c>
      <c r="FH41">
        <f t="shared" si="65"/>
        <v>1.8090782884847894</v>
      </c>
      <c r="FI41">
        <f t="shared" si="65"/>
        <v>2.1484266634702278</v>
      </c>
      <c r="FJ41" s="62">
        <f t="shared" si="41"/>
        <v>2.8749421564918753</v>
      </c>
    </row>
    <row r="42" spans="1:175" ht="15">
      <c r="A42" s="32"/>
      <c r="B42" s="20" t="s">
        <v>172</v>
      </c>
      <c r="C42" s="174">
        <f>AVERAGE(C36:C41)</f>
        <v>3.3897126799205708</v>
      </c>
      <c r="D42" s="174">
        <f t="shared" ref="D42:BQ42" si="66">AVERAGE(D36:D41)</f>
        <v>2.0842555284884257</v>
      </c>
      <c r="E42" s="174">
        <f t="shared" si="66"/>
        <v>3.9007660065439556</v>
      </c>
      <c r="F42" s="174">
        <f t="shared" si="66"/>
        <v>3.2487829704743731</v>
      </c>
      <c r="G42" s="174">
        <f t="shared" si="66"/>
        <v>2.1780012596842466</v>
      </c>
      <c r="H42" s="174">
        <f t="shared" si="66"/>
        <v>2.2735917424876062</v>
      </c>
      <c r="I42" s="174">
        <f t="shared" si="66"/>
        <v>2.1562215120004962</v>
      </c>
      <c r="J42" s="174">
        <f t="shared" si="66"/>
        <v>4.1621889142292572</v>
      </c>
      <c r="K42" s="174">
        <f t="shared" si="66"/>
        <v>3.9412181968870157</v>
      </c>
      <c r="L42" s="174">
        <f t="shared" si="66"/>
        <v>2.7010461648941639</v>
      </c>
      <c r="M42" s="174">
        <f t="shared" si="66"/>
        <v>1.8141304847710173</v>
      </c>
      <c r="N42" s="174">
        <f t="shared" si="66"/>
        <v>1.7132764971481631</v>
      </c>
      <c r="O42" s="174">
        <f t="shared" si="66"/>
        <v>1.3636744496245266</v>
      </c>
      <c r="P42" s="174">
        <f t="shared" si="66"/>
        <v>1.3122520271137017</v>
      </c>
      <c r="Q42" s="174">
        <f t="shared" si="66"/>
        <v>0.26563882366988839</v>
      </c>
      <c r="R42" s="174">
        <f t="shared" si="66"/>
        <v>1.6576309380611995</v>
      </c>
      <c r="S42" s="174">
        <f t="shared" si="66"/>
        <v>2.3138994986130608</v>
      </c>
      <c r="T42" s="174">
        <f t="shared" si="66"/>
        <v>2.1367751733159932</v>
      </c>
      <c r="U42" s="53"/>
      <c r="V42" s="174">
        <f t="shared" si="66"/>
        <v>4.9554693894736728</v>
      </c>
      <c r="W42" s="174">
        <f t="shared" si="66"/>
        <v>5.0654586632411407</v>
      </c>
      <c r="X42" s="174">
        <f t="shared" si="66"/>
        <v>4.9201954483743044</v>
      </c>
      <c r="Y42" s="174">
        <f t="shared" si="66"/>
        <v>2.723359533066132</v>
      </c>
      <c r="Z42" s="174">
        <f t="shared" si="66"/>
        <v>3.5096061771472367</v>
      </c>
      <c r="AA42" s="174">
        <f t="shared" si="66"/>
        <v>5.6110853312393445</v>
      </c>
      <c r="AB42" s="174">
        <f t="shared" si="66"/>
        <v>4.3427585435543756</v>
      </c>
      <c r="AC42" s="174">
        <f t="shared" si="66"/>
        <v>5.3153423901082038</v>
      </c>
      <c r="AD42" s="174">
        <f t="shared" si="66"/>
        <v>3.1696646056868585</v>
      </c>
      <c r="AE42" s="174">
        <f t="shared" si="66"/>
        <v>4.0636039131745987</v>
      </c>
      <c r="AF42" s="174">
        <f t="shared" si="66"/>
        <v>4.4406184282137913</v>
      </c>
      <c r="AG42" s="174">
        <f t="shared" si="66"/>
        <v>3.0928995330438469</v>
      </c>
      <c r="AH42" s="174">
        <f t="shared" si="66"/>
        <v>3.6686400305248035</v>
      </c>
      <c r="AI42" s="174">
        <f t="shared" si="66"/>
        <v>4.0759381662574521</v>
      </c>
      <c r="AJ42" s="174">
        <f t="shared" si="66"/>
        <v>3.4970543733131891</v>
      </c>
      <c r="AK42" s="174">
        <f t="shared" si="66"/>
        <v>2.5113657975193542</v>
      </c>
      <c r="AL42" s="174">
        <f t="shared" si="66"/>
        <v>2.502646894204672</v>
      </c>
      <c r="AM42" s="174">
        <f t="shared" si="66"/>
        <v>3.8403711082228527</v>
      </c>
      <c r="AN42" s="174">
        <f t="shared" si="66"/>
        <v>3.5383551285640706</v>
      </c>
      <c r="AO42" s="174">
        <f t="shared" si="66"/>
        <v>2.4054674536412981</v>
      </c>
      <c r="AP42" s="174">
        <f t="shared" si="66"/>
        <v>2.8192166412188464</v>
      </c>
      <c r="AQ42" s="174">
        <f t="shared" si="66"/>
        <v>2.8184044729868423</v>
      </c>
      <c r="AR42" s="174">
        <f t="shared" si="66"/>
        <v>3.2639086797845001</v>
      </c>
      <c r="AS42" s="174">
        <f t="shared" si="66"/>
        <v>4.1501398656531094</v>
      </c>
      <c r="AT42" s="174">
        <f t="shared" si="66"/>
        <v>3.8189643621462053</v>
      </c>
      <c r="AU42" s="53"/>
      <c r="AV42" s="174">
        <f t="shared" si="66"/>
        <v>2.1949612455622973</v>
      </c>
      <c r="AW42" s="174">
        <f t="shared" si="66"/>
        <v>3.5586356236189549</v>
      </c>
      <c r="AX42" s="174">
        <f t="shared" si="66"/>
        <v>3.0434300739138589</v>
      </c>
      <c r="AY42" s="174">
        <f t="shared" si="66"/>
        <v>2.8631035277453059</v>
      </c>
      <c r="AZ42" s="174">
        <f t="shared" si="66"/>
        <v>2.4545502040782368</v>
      </c>
      <c r="BA42" s="174">
        <f t="shared" si="66"/>
        <v>3.9584132320857841</v>
      </c>
      <c r="BB42" s="174">
        <f t="shared" si="66"/>
        <v>5.1566292586735614</v>
      </c>
      <c r="BC42" s="174">
        <f t="shared" si="66"/>
        <v>5.0099883598973323</v>
      </c>
      <c r="BD42" s="174">
        <f t="shared" si="66"/>
        <v>4.0713347551416383</v>
      </c>
      <c r="BE42" s="174">
        <f t="shared" si="66"/>
        <v>3.26672774750122</v>
      </c>
      <c r="BF42" s="174">
        <f t="shared" si="66"/>
        <v>4.0833950111189701</v>
      </c>
      <c r="BG42" s="174">
        <f t="shared" si="66"/>
        <v>4.0272145867045239</v>
      </c>
      <c r="BH42" s="174">
        <f t="shared" si="66"/>
        <v>4.2939241836336866</v>
      </c>
      <c r="BI42" s="174">
        <f t="shared" si="66"/>
        <v>4.1322087964124083</v>
      </c>
      <c r="BJ42" s="174">
        <f t="shared" si="66"/>
        <v>5.6800653226831415</v>
      </c>
      <c r="BK42" s="174">
        <f t="shared" si="66"/>
        <v>5.5783388740684456</v>
      </c>
      <c r="BL42" s="174">
        <f t="shared" si="66"/>
        <v>4.9498755007534543</v>
      </c>
      <c r="BM42" s="174">
        <f t="shared" si="66"/>
        <v>4.8085195408906136</v>
      </c>
      <c r="BN42" s="174">
        <f t="shared" si="66"/>
        <v>3.9115214598186974</v>
      </c>
      <c r="BO42" s="174">
        <f t="shared" si="66"/>
        <v>3.5441888523008505</v>
      </c>
      <c r="BP42" s="174">
        <f t="shared" si="66"/>
        <v>3.6961252475361324</v>
      </c>
      <c r="BQ42" s="174">
        <f t="shared" si="66"/>
        <v>3.4570846762898171</v>
      </c>
      <c r="BR42" s="174">
        <f t="shared" ref="BR42:ED42" si="67">AVERAGE(BR36:BR41)</f>
        <v>4.1341558131355667</v>
      </c>
      <c r="BS42" s="174">
        <f t="shared" si="67"/>
        <v>4.1466414732977972</v>
      </c>
      <c r="BT42" s="174">
        <f t="shared" si="67"/>
        <v>4.0343722304029477</v>
      </c>
      <c r="BU42" s="174">
        <f t="shared" si="67"/>
        <v>3.5397314641999809</v>
      </c>
      <c r="BV42" s="174">
        <f t="shared" si="67"/>
        <v>4.0983436655291099</v>
      </c>
      <c r="BW42" s="174">
        <f t="shared" si="67"/>
        <v>4.3832829582577757</v>
      </c>
      <c r="BX42" s="174">
        <f t="shared" si="67"/>
        <v>5.0382545732156645</v>
      </c>
      <c r="BY42" s="174">
        <f t="shared" si="67"/>
        <v>5.5399875793289617</v>
      </c>
      <c r="BZ42" s="174">
        <f t="shared" si="67"/>
        <v>4.8632357894379332</v>
      </c>
      <c r="CA42" s="174">
        <f t="shared" si="67"/>
        <v>4.3626001611696799</v>
      </c>
      <c r="CB42" s="174">
        <f t="shared" si="67"/>
        <v>3.8941713684513779</v>
      </c>
      <c r="CC42" s="174">
        <f t="shared" si="67"/>
        <v>3.7823664827429648</v>
      </c>
      <c r="CD42" s="174">
        <f t="shared" si="67"/>
        <v>4.569172990456277</v>
      </c>
      <c r="CE42" s="174">
        <f t="shared" si="67"/>
        <v>4.6826766683481011</v>
      </c>
      <c r="CF42" s="174">
        <f t="shared" si="67"/>
        <v>4.554913914085061</v>
      </c>
      <c r="CG42" s="174">
        <f t="shared" si="67"/>
        <v>2.6812031524082083</v>
      </c>
      <c r="CH42" s="174">
        <f t="shared" si="67"/>
        <v>2.1455215008332158</v>
      </c>
      <c r="CI42" s="43">
        <f t="shared" si="67"/>
        <v>2.5805829585126916</v>
      </c>
      <c r="CJ42" s="174">
        <f t="shared" si="67"/>
        <v>2.3350977385988689</v>
      </c>
      <c r="CK42" s="174">
        <f t="shared" si="67"/>
        <v>2.9483027492522464</v>
      </c>
      <c r="CL42" s="174">
        <f t="shared" si="67"/>
        <v>2.3945349530807274</v>
      </c>
      <c r="CM42" s="174">
        <f t="shared" si="67"/>
        <v>3.1864728254743286</v>
      </c>
      <c r="CN42" s="174">
        <f t="shared" si="67"/>
        <v>2.1102151891935108</v>
      </c>
      <c r="CO42" s="174">
        <f t="shared" si="67"/>
        <v>2.1234273047061207</v>
      </c>
      <c r="CP42" s="53"/>
      <c r="CQ42" s="174">
        <f t="shared" si="67"/>
        <v>2.5542004263961569</v>
      </c>
      <c r="CR42" s="174">
        <f t="shared" si="67"/>
        <v>2.2695641072498822</v>
      </c>
      <c r="CS42" s="174">
        <f t="shared" si="67"/>
        <v>2.3192892728928971</v>
      </c>
      <c r="CT42" s="174">
        <f t="shared" si="67"/>
        <v>2.0031779156796881</v>
      </c>
      <c r="CU42" s="174">
        <f t="shared" si="67"/>
        <v>1.389777456349951</v>
      </c>
      <c r="CV42" s="174">
        <f t="shared" si="67"/>
        <v>1.5541210650182411</v>
      </c>
      <c r="CW42" s="174">
        <f t="shared" si="67"/>
        <v>3.3851267158945184</v>
      </c>
      <c r="CX42" s="174">
        <f t="shared" si="67"/>
        <v>3.9954395486083905</v>
      </c>
      <c r="CY42" s="174">
        <f t="shared" si="67"/>
        <v>1.9362701349938873</v>
      </c>
      <c r="CZ42" s="174">
        <f t="shared" si="67"/>
        <v>2.7740168913111645</v>
      </c>
      <c r="DA42" s="174">
        <f t="shared" si="67"/>
        <v>2.754059020944748</v>
      </c>
      <c r="DB42" s="174">
        <f t="shared" si="67"/>
        <v>3.6688202977805382</v>
      </c>
      <c r="DC42" s="174">
        <f t="shared" si="67"/>
        <v>2.6340237724377586</v>
      </c>
      <c r="DD42" s="174">
        <f t="shared" si="67"/>
        <v>2.8061443392993382</v>
      </c>
      <c r="DE42" s="174">
        <f t="shared" si="67"/>
        <v>3.7173714583715696</v>
      </c>
      <c r="DF42" s="174">
        <f t="shared" si="67"/>
        <v>4.1786082538839411</v>
      </c>
      <c r="DG42" s="174">
        <f t="shared" si="67"/>
        <v>2.6248437245440002</v>
      </c>
      <c r="DH42" s="174">
        <f t="shared" si="67"/>
        <v>1.9120276269825631</v>
      </c>
      <c r="DI42" s="174">
        <f t="shared" si="67"/>
        <v>1.828667462266415</v>
      </c>
      <c r="DJ42" s="174">
        <f t="shared" si="67"/>
        <v>2.4081356659754021</v>
      </c>
      <c r="DK42" s="174">
        <f t="shared" si="67"/>
        <v>2.8951302866563058</v>
      </c>
      <c r="DL42" s="174">
        <f t="shared" si="67"/>
        <v>2.9609234247291911</v>
      </c>
      <c r="DM42" s="174">
        <f t="shared" si="67"/>
        <v>3.2750224015752685</v>
      </c>
      <c r="DN42" s="174">
        <f t="shared" si="67"/>
        <v>2.8970517302237844</v>
      </c>
      <c r="DO42" s="174">
        <f t="shared" si="67"/>
        <v>3.9623863967202406</v>
      </c>
      <c r="DP42" s="174">
        <f t="shared" si="67"/>
        <v>3.4685979982407282</v>
      </c>
      <c r="DQ42" s="174">
        <f t="shared" si="67"/>
        <v>3.6759010735608801</v>
      </c>
      <c r="DR42" s="174">
        <f t="shared" si="67"/>
        <v>3.5645535986501233</v>
      </c>
      <c r="DS42" s="174">
        <f t="shared" si="67"/>
        <v>2.23431380955267</v>
      </c>
      <c r="DT42" s="174">
        <f t="shared" si="67"/>
        <v>1.9481858361540361</v>
      </c>
      <c r="DU42" s="174">
        <f t="shared" si="67"/>
        <v>3.0339208719946087</v>
      </c>
      <c r="DV42" s="174">
        <f t="shared" si="67"/>
        <v>2.2620906230173543</v>
      </c>
      <c r="DW42" s="174">
        <f t="shared" si="67"/>
        <v>1.9494004198226866</v>
      </c>
      <c r="DX42" s="174">
        <f t="shared" si="67"/>
        <v>2.137196389675919</v>
      </c>
      <c r="DY42" s="174">
        <f t="shared" si="67"/>
        <v>2.4863208594492132</v>
      </c>
      <c r="DZ42" s="174">
        <f t="shared" si="67"/>
        <v>2.774324875654798</v>
      </c>
      <c r="EA42" s="174">
        <f t="shared" si="67"/>
        <v>2.3161251643934246</v>
      </c>
      <c r="EB42" s="174">
        <f t="shared" si="67"/>
        <v>1.436462058020423</v>
      </c>
      <c r="EC42" s="174">
        <f t="shared" si="67"/>
        <v>2.8505013680227935</v>
      </c>
      <c r="ED42" s="174">
        <f t="shared" si="67"/>
        <v>3.3369001585733824</v>
      </c>
      <c r="EE42" s="174">
        <f t="shared" ref="EE42:FI42" si="68">AVERAGE(EE36:EE41)</f>
        <v>2.9433667305329916</v>
      </c>
      <c r="EF42" s="174">
        <f t="shared" si="68"/>
        <v>3.3650695796918133</v>
      </c>
      <c r="EG42" s="174">
        <f t="shared" si="68"/>
        <v>3.1563092982613736</v>
      </c>
      <c r="EH42" s="174">
        <f t="shared" si="68"/>
        <v>2.7860026027159406</v>
      </c>
      <c r="EI42" s="174">
        <f t="shared" si="68"/>
        <v>2.0812255917204805</v>
      </c>
      <c r="EJ42" s="174">
        <f t="shared" si="68"/>
        <v>2.0769677133851143</v>
      </c>
      <c r="EK42" s="174">
        <f t="shared" si="68"/>
        <v>2.2693536004830461</v>
      </c>
      <c r="EL42" s="174">
        <f t="shared" si="68"/>
        <v>1.7265761401426951</v>
      </c>
      <c r="EM42" s="174">
        <f t="shared" si="68"/>
        <v>2.063819541539913</v>
      </c>
      <c r="EN42" s="174">
        <f t="shared" si="68"/>
        <v>2.2490032550058232</v>
      </c>
      <c r="EO42" s="174">
        <f t="shared" si="68"/>
        <v>1.9579642656676721</v>
      </c>
      <c r="EP42" s="53"/>
      <c r="EQ42" s="174">
        <f t="shared" si="68"/>
        <v>3.115793164296214</v>
      </c>
      <c r="ER42" s="174">
        <f t="shared" si="68"/>
        <v>4.2014400320902565</v>
      </c>
      <c r="ES42" s="174">
        <f t="shared" si="68"/>
        <v>3.5815072981475673</v>
      </c>
      <c r="ET42" s="174">
        <f t="shared" si="68"/>
        <v>1.7010664725249161</v>
      </c>
      <c r="EU42" s="174">
        <f t="shared" si="68"/>
        <v>2.476683522641951</v>
      </c>
      <c r="EV42" s="174">
        <f t="shared" si="68"/>
        <v>1.9488603672621914</v>
      </c>
      <c r="EW42" s="174">
        <f t="shared" si="68"/>
        <v>2.5516016867966855</v>
      </c>
      <c r="EX42" s="174">
        <f t="shared" si="68"/>
        <v>3.1695840914715014</v>
      </c>
      <c r="EY42" s="174">
        <f t="shared" si="68"/>
        <v>3.5168435282916839</v>
      </c>
      <c r="EZ42" s="174">
        <f t="shared" si="68"/>
        <v>2.8159798118090613</v>
      </c>
      <c r="FA42" s="174">
        <f t="shared" si="68"/>
        <v>2.3005804775078773</v>
      </c>
      <c r="FB42" s="174">
        <f t="shared" si="68"/>
        <v>3.1181948945942</v>
      </c>
      <c r="FC42" s="174">
        <f t="shared" si="68"/>
        <v>1.9835463805429636</v>
      </c>
      <c r="FD42" s="174">
        <f t="shared" si="68"/>
        <v>3.4174817494881449</v>
      </c>
      <c r="FE42" s="174">
        <f t="shared" si="68"/>
        <v>3.9954395486083905</v>
      </c>
      <c r="FF42" s="174">
        <f t="shared" si="68"/>
        <v>2.8722076117486974</v>
      </c>
      <c r="FG42" s="174">
        <f t="shared" si="68"/>
        <v>2.7442275109731695</v>
      </c>
      <c r="FH42" s="174">
        <f t="shared" si="68"/>
        <v>1.7851724628615209</v>
      </c>
      <c r="FI42" s="174">
        <f t="shared" si="68"/>
        <v>2.1400101173130817</v>
      </c>
      <c r="FJ42" s="53"/>
    </row>
    <row r="43" spans="1:175" ht="15">
      <c r="A43" s="32"/>
      <c r="B43" s="20" t="s">
        <v>165</v>
      </c>
      <c r="C43" s="175">
        <f>_xlfn.STDEV.S(C36:C41)</f>
        <v>0.29442205680049605</v>
      </c>
      <c r="D43" s="175">
        <f t="shared" ref="D43:BQ43" si="69">_xlfn.STDEV.S(D36:D41)</f>
        <v>0.51547129602375286</v>
      </c>
      <c r="E43" s="175">
        <f t="shared" si="69"/>
        <v>0.24636900892158142</v>
      </c>
      <c r="F43" s="175">
        <f t="shared" si="69"/>
        <v>0.66580341878393479</v>
      </c>
      <c r="G43" s="175">
        <f t="shared" si="69"/>
        <v>0.41449312228459623</v>
      </c>
      <c r="H43" s="175">
        <f t="shared" si="69"/>
        <v>0.37077722647521932</v>
      </c>
      <c r="I43" s="175">
        <f t="shared" si="69"/>
        <v>0.25113812470025948</v>
      </c>
      <c r="J43" s="175">
        <f t="shared" si="69"/>
        <v>0.10051496241438615</v>
      </c>
      <c r="K43" s="175">
        <f t="shared" si="69"/>
        <v>9.7377261319112826E-2</v>
      </c>
      <c r="L43" s="175">
        <f t="shared" si="69"/>
        <v>0.61846998634529649</v>
      </c>
      <c r="M43" s="175">
        <f t="shared" si="69"/>
        <v>0.39359771574864938</v>
      </c>
      <c r="N43" s="175">
        <f t="shared" si="69"/>
        <v>0.87775377855769043</v>
      </c>
      <c r="O43" s="175">
        <f t="shared" si="69"/>
        <v>0.67937809052068876</v>
      </c>
      <c r="P43" s="175">
        <f t="shared" si="69"/>
        <v>0.66047362506029172</v>
      </c>
      <c r="Q43" s="175">
        <f t="shared" si="69"/>
        <v>0.65067957386438091</v>
      </c>
      <c r="R43" s="175">
        <f t="shared" si="69"/>
        <v>0.10900760217730274</v>
      </c>
      <c r="S43" s="175">
        <f t="shared" si="69"/>
        <v>0.18152793479930487</v>
      </c>
      <c r="T43" s="175">
        <f t="shared" si="69"/>
        <v>0.57414764475956259</v>
      </c>
      <c r="U43" s="21"/>
      <c r="V43" s="175">
        <f t="shared" si="69"/>
        <v>8.0957059644417489E-2</v>
      </c>
      <c r="W43" s="175">
        <f t="shared" si="69"/>
        <v>8.0101620057158013E-2</v>
      </c>
      <c r="X43" s="175">
        <f t="shared" si="69"/>
        <v>8.9602742153217854E-2</v>
      </c>
      <c r="Y43" s="175">
        <f t="shared" si="69"/>
        <v>0.12811547571455947</v>
      </c>
      <c r="Z43" s="175">
        <f t="shared" si="69"/>
        <v>5.0788762799249106E-2</v>
      </c>
      <c r="AA43" s="175">
        <f t="shared" si="69"/>
        <v>8.3782689236394245E-2</v>
      </c>
      <c r="AB43" s="175">
        <f t="shared" si="69"/>
        <v>2.539826525505251E-2</v>
      </c>
      <c r="AC43" s="175">
        <f t="shared" si="69"/>
        <v>3.2334473837408041E-2</v>
      </c>
      <c r="AD43" s="175">
        <f t="shared" si="69"/>
        <v>0.13186644765152705</v>
      </c>
      <c r="AE43" s="175">
        <f t="shared" si="69"/>
        <v>0.28093090481555549</v>
      </c>
      <c r="AF43" s="175">
        <f t="shared" si="69"/>
        <v>0.1036166836591557</v>
      </c>
      <c r="AG43" s="175">
        <f t="shared" si="69"/>
        <v>0.19149973248007995</v>
      </c>
      <c r="AH43" s="175">
        <f t="shared" si="69"/>
        <v>0.10646822672609217</v>
      </c>
      <c r="AI43" s="175">
        <f t="shared" si="69"/>
        <v>0.11887815913399012</v>
      </c>
      <c r="AJ43" s="175">
        <f t="shared" si="69"/>
        <v>0.16740471562338713</v>
      </c>
      <c r="AK43" s="175">
        <f t="shared" si="69"/>
        <v>0.11149521906447304</v>
      </c>
      <c r="AL43" s="175">
        <f t="shared" si="69"/>
        <v>0.20001026273282496</v>
      </c>
      <c r="AM43" s="175">
        <f t="shared" si="69"/>
        <v>0.11158364994831363</v>
      </c>
      <c r="AN43" s="175">
        <f t="shared" si="69"/>
        <v>0.15933250067034041</v>
      </c>
      <c r="AO43" s="175">
        <f t="shared" si="69"/>
        <v>0.35806234206373194</v>
      </c>
      <c r="AP43" s="175">
        <f t="shared" si="69"/>
        <v>0.13186288571215804</v>
      </c>
      <c r="AQ43" s="175">
        <f t="shared" si="69"/>
        <v>0.1228279358750146</v>
      </c>
      <c r="AR43" s="175">
        <f t="shared" si="69"/>
        <v>0.110991068051981</v>
      </c>
      <c r="AS43" s="175">
        <f t="shared" si="69"/>
        <v>7.2783327076217472E-2</v>
      </c>
      <c r="AT43" s="175">
        <f t="shared" si="69"/>
        <v>0.14825448420710258</v>
      </c>
      <c r="AU43" s="21"/>
      <c r="AV43" s="175">
        <f t="shared" si="69"/>
        <v>0.41418272123837346</v>
      </c>
      <c r="AW43" s="175">
        <f t="shared" si="69"/>
        <v>0.15023905961489015</v>
      </c>
      <c r="AX43" s="175">
        <f t="shared" si="69"/>
        <v>0.20838307354556493</v>
      </c>
      <c r="AY43" s="175">
        <f t="shared" si="69"/>
        <v>0.17386269375365784</v>
      </c>
      <c r="AZ43" s="175">
        <f t="shared" si="69"/>
        <v>0.26161808397549863</v>
      </c>
      <c r="BA43" s="175">
        <f t="shared" si="69"/>
        <v>0.36664690345148504</v>
      </c>
      <c r="BB43" s="175">
        <f t="shared" si="69"/>
        <v>0.11164426178083287</v>
      </c>
      <c r="BC43" s="175">
        <f t="shared" si="69"/>
        <v>0.10511477063127105</v>
      </c>
      <c r="BD43" s="175">
        <f t="shared" si="69"/>
        <v>0.17002828697808983</v>
      </c>
      <c r="BE43" s="175">
        <f t="shared" si="69"/>
        <v>0.11156442862547414</v>
      </c>
      <c r="BF43" s="175">
        <f t="shared" si="69"/>
        <v>8.0798234558525708E-2</v>
      </c>
      <c r="BG43" s="175">
        <f t="shared" si="69"/>
        <v>6.153450386265117E-2</v>
      </c>
      <c r="BH43" s="175">
        <f t="shared" si="69"/>
        <v>9.3275905879698751E-2</v>
      </c>
      <c r="BI43" s="175">
        <f t="shared" si="69"/>
        <v>6.9135986127654828E-2</v>
      </c>
      <c r="BJ43" s="175">
        <f t="shared" si="69"/>
        <v>7.6163387172283131E-2</v>
      </c>
      <c r="BK43" s="175">
        <f t="shared" si="69"/>
        <v>6.0770295784288775E-2</v>
      </c>
      <c r="BL43" s="175">
        <f t="shared" si="69"/>
        <v>0.103522472722875</v>
      </c>
      <c r="BM43" s="175">
        <f t="shared" si="69"/>
        <v>9.6944895361712316E-2</v>
      </c>
      <c r="BN43" s="175">
        <f t="shared" si="69"/>
        <v>0.18174387784721027</v>
      </c>
      <c r="BO43" s="175">
        <f t="shared" si="69"/>
        <v>0.13981132603858892</v>
      </c>
      <c r="BP43" s="175">
        <f t="shared" si="69"/>
        <v>0.15614382787571904</v>
      </c>
      <c r="BQ43" s="175">
        <f t="shared" si="69"/>
        <v>0.13626084536454744</v>
      </c>
      <c r="BR43" s="175">
        <f t="shared" ref="BR43:ED43" si="70">_xlfn.STDEV.S(BR36:BR41)</f>
        <v>9.3512264129890957E-2</v>
      </c>
      <c r="BS43" s="175">
        <f t="shared" si="70"/>
        <v>9.4870560805386944E-2</v>
      </c>
      <c r="BT43" s="175">
        <f t="shared" si="70"/>
        <v>5.4489140530257024E-2</v>
      </c>
      <c r="BU43" s="175">
        <f t="shared" si="70"/>
        <v>0.13582508669485416</v>
      </c>
      <c r="BV43" s="175">
        <f t="shared" si="70"/>
        <v>0.14646006110238166</v>
      </c>
      <c r="BW43" s="175">
        <f t="shared" si="70"/>
        <v>8.5315693998331735E-2</v>
      </c>
      <c r="BX43" s="175">
        <f t="shared" si="70"/>
        <v>3.5473631977966387E-2</v>
      </c>
      <c r="BY43" s="175">
        <f t="shared" si="70"/>
        <v>5.0350177916438296E-2</v>
      </c>
      <c r="BZ43" s="175">
        <f t="shared" si="70"/>
        <v>9.3579410908550528E-2</v>
      </c>
      <c r="CA43" s="175">
        <f t="shared" si="70"/>
        <v>6.3280258138691606E-2</v>
      </c>
      <c r="CB43" s="175">
        <f t="shared" si="70"/>
        <v>9.4169010563805569E-2</v>
      </c>
      <c r="CC43" s="175">
        <f t="shared" si="70"/>
        <v>9.6206435439783786E-2</v>
      </c>
      <c r="CD43" s="175">
        <f t="shared" si="70"/>
        <v>0.10239539140848894</v>
      </c>
      <c r="CE43" s="175">
        <f t="shared" si="70"/>
        <v>8.3474358446379196E-2</v>
      </c>
      <c r="CF43" s="175">
        <f t="shared" si="70"/>
        <v>6.0390292035418666E-2</v>
      </c>
      <c r="CG43" s="175">
        <f t="shared" si="70"/>
        <v>0.34876983604454387</v>
      </c>
      <c r="CH43" s="175">
        <f t="shared" si="70"/>
        <v>0.23968596355732616</v>
      </c>
      <c r="CI43" s="44">
        <f t="shared" si="70"/>
        <v>1.8326821080186328</v>
      </c>
      <c r="CJ43" s="175">
        <f t="shared" si="70"/>
        <v>0.67711643512485908</v>
      </c>
      <c r="CK43" s="175">
        <f t="shared" si="70"/>
        <v>0.38638555666737356</v>
      </c>
      <c r="CL43" s="175">
        <f t="shared" si="70"/>
        <v>0.21955748909200712</v>
      </c>
      <c r="CM43" s="175">
        <f t="shared" si="70"/>
        <v>0.17223932200298137</v>
      </c>
      <c r="CN43" s="175">
        <f t="shared" si="70"/>
        <v>0.34982000468723978</v>
      </c>
      <c r="CO43" s="175">
        <f t="shared" si="70"/>
        <v>0.35161342683548286</v>
      </c>
      <c r="CP43" s="21"/>
      <c r="CQ43" s="175">
        <f t="shared" si="70"/>
        <v>0.32747245170977568</v>
      </c>
      <c r="CR43" s="175">
        <f t="shared" si="70"/>
        <v>0.18163610622858267</v>
      </c>
      <c r="CS43" s="175">
        <f t="shared" si="70"/>
        <v>0.22317054462385977</v>
      </c>
      <c r="CT43" s="175">
        <f t="shared" si="70"/>
        <v>0.36643512558486913</v>
      </c>
      <c r="CU43" s="175">
        <f t="shared" si="70"/>
        <v>0.3630730085577043</v>
      </c>
      <c r="CV43" s="175">
        <f t="shared" si="70"/>
        <v>0.30647836631538472</v>
      </c>
      <c r="CW43" s="175">
        <f t="shared" si="70"/>
        <v>4.9812493038988735E-2</v>
      </c>
      <c r="CX43" s="175">
        <f t="shared" si="70"/>
        <v>0.15299020588076936</v>
      </c>
      <c r="CY43" s="175">
        <f t="shared" si="70"/>
        <v>0.41331481201637876</v>
      </c>
      <c r="CZ43" s="175">
        <f t="shared" si="70"/>
        <v>0.11134660616301575</v>
      </c>
      <c r="DA43" s="175">
        <f t="shared" si="70"/>
        <v>0.47173754432168402</v>
      </c>
      <c r="DB43" s="175">
        <f t="shared" si="70"/>
        <v>9.0905603401206889E-2</v>
      </c>
      <c r="DC43" s="175">
        <f t="shared" si="70"/>
        <v>8.311469748533748E-2</v>
      </c>
      <c r="DD43" s="175">
        <f t="shared" si="70"/>
        <v>0.23497538487462491</v>
      </c>
      <c r="DE43" s="175">
        <f t="shared" si="70"/>
        <v>0.58674746306406023</v>
      </c>
      <c r="DF43" s="175">
        <f t="shared" si="70"/>
        <v>4.0935288380045759E-2</v>
      </c>
      <c r="DG43" s="175">
        <f t="shared" si="70"/>
        <v>0.53375089372134743</v>
      </c>
      <c r="DH43" s="175">
        <f t="shared" si="70"/>
        <v>0.39936439958352027</v>
      </c>
      <c r="DI43" s="175">
        <f t="shared" si="70"/>
        <v>0.38691391088418603</v>
      </c>
      <c r="DJ43" s="175">
        <f t="shared" si="70"/>
        <v>0.40147246622680144</v>
      </c>
      <c r="DK43" s="175">
        <f t="shared" si="70"/>
        <v>7.2990054068970786E-2</v>
      </c>
      <c r="DL43" s="175">
        <f t="shared" si="70"/>
        <v>0.14927896676990579</v>
      </c>
      <c r="DM43" s="175">
        <f t="shared" si="70"/>
        <v>0.11765626129871193</v>
      </c>
      <c r="DN43" s="175">
        <f t="shared" si="70"/>
        <v>5.5287309667856381E-2</v>
      </c>
      <c r="DO43" s="175">
        <f t="shared" si="70"/>
        <v>6.2160371879273646E-2</v>
      </c>
      <c r="DP43" s="175">
        <f t="shared" si="70"/>
        <v>0.55378997541452946</v>
      </c>
      <c r="DQ43" s="175">
        <f t="shared" si="70"/>
        <v>3.1059633690790629E-2</v>
      </c>
      <c r="DR43" s="175">
        <f t="shared" si="70"/>
        <v>6.0732879727152682E-2</v>
      </c>
      <c r="DS43" s="175">
        <f t="shared" si="70"/>
        <v>0.50900056422265771</v>
      </c>
      <c r="DT43" s="175">
        <f t="shared" si="70"/>
        <v>0.16005617560656921</v>
      </c>
      <c r="DU43" s="175">
        <f t="shared" si="70"/>
        <v>8.6877403655723578E-2</v>
      </c>
      <c r="DV43" s="175">
        <f t="shared" si="70"/>
        <v>0.36918747813036429</v>
      </c>
      <c r="DW43" s="175">
        <f t="shared" si="70"/>
        <v>0.38332961314128811</v>
      </c>
      <c r="DX43" s="175">
        <f t="shared" si="70"/>
        <v>0.42606280051407458</v>
      </c>
      <c r="DY43" s="175">
        <f t="shared" si="70"/>
        <v>0.25697246468337953</v>
      </c>
      <c r="DZ43" s="175">
        <f t="shared" si="70"/>
        <v>0.14027069214638876</v>
      </c>
      <c r="EA43" s="175">
        <f t="shared" si="70"/>
        <v>0.25933891061422643</v>
      </c>
      <c r="EB43" s="175">
        <f t="shared" si="70"/>
        <v>0.12195176354271919</v>
      </c>
      <c r="EC43" s="175">
        <f t="shared" si="70"/>
        <v>9.2281803892109771E-2</v>
      </c>
      <c r="ED43" s="175">
        <f t="shared" si="70"/>
        <v>4.2406074991486388E-2</v>
      </c>
      <c r="EE43" s="175">
        <f t="shared" ref="EE43:FI43" si="71">_xlfn.STDEV.S(EE36:EE41)</f>
        <v>0.3373979460088074</v>
      </c>
      <c r="EF43" s="175">
        <f t="shared" si="71"/>
        <v>6.2507499773849715E-2</v>
      </c>
      <c r="EG43" s="175">
        <f t="shared" si="71"/>
        <v>8.4052891762089146E-2</v>
      </c>
      <c r="EH43" s="175">
        <f t="shared" si="71"/>
        <v>0.17899939394710843</v>
      </c>
      <c r="EI43" s="175">
        <f t="shared" si="71"/>
        <v>0.33547025034536537</v>
      </c>
      <c r="EJ43" s="175">
        <f t="shared" si="71"/>
        <v>0.20527237589488315</v>
      </c>
      <c r="EK43" s="175">
        <f t="shared" si="71"/>
        <v>0.13094205668421582</v>
      </c>
      <c r="EL43" s="175">
        <f t="shared" si="71"/>
        <v>0.20306752638606412</v>
      </c>
      <c r="EM43" s="175">
        <f t="shared" si="71"/>
        <v>0.3925284510251168</v>
      </c>
      <c r="EN43" s="175">
        <f t="shared" si="71"/>
        <v>0.22060360902771065</v>
      </c>
      <c r="EO43" s="175">
        <f t="shared" si="71"/>
        <v>0.19041299783787263</v>
      </c>
      <c r="EP43" s="21"/>
      <c r="EQ43" s="175">
        <f t="shared" si="71"/>
        <v>0.15421920581417892</v>
      </c>
      <c r="ER43" s="175">
        <f t="shared" si="71"/>
        <v>9.6130995375083933E-2</v>
      </c>
      <c r="ES43" s="175">
        <f t="shared" si="71"/>
        <v>0.16009955454526584</v>
      </c>
      <c r="ET43" s="175">
        <f t="shared" si="71"/>
        <v>9.0956818615396492E-2</v>
      </c>
      <c r="EU43" s="175">
        <f t="shared" si="71"/>
        <v>0.18223332579032289</v>
      </c>
      <c r="EV43" s="175">
        <f t="shared" si="71"/>
        <v>0.43554076568297789</v>
      </c>
      <c r="EW43" s="175">
        <f t="shared" si="71"/>
        <v>0.24629428124892641</v>
      </c>
      <c r="EX43" s="175">
        <f t="shared" si="71"/>
        <v>6.3167018130155905E-2</v>
      </c>
      <c r="EY43" s="175">
        <f t="shared" si="71"/>
        <v>0.19143415193615948</v>
      </c>
      <c r="EZ43" s="175">
        <f t="shared" si="71"/>
        <v>0.55883374943206421</v>
      </c>
      <c r="FA43" s="175">
        <f t="shared" si="71"/>
        <v>0.21861381974856325</v>
      </c>
      <c r="FB43" s="175">
        <f t="shared" si="71"/>
        <v>0.49747052692225785</v>
      </c>
      <c r="FC43" s="175">
        <f t="shared" si="71"/>
        <v>0.37966594555396604</v>
      </c>
      <c r="FD43" s="175">
        <f t="shared" si="71"/>
        <v>0.10739776621498799</v>
      </c>
      <c r="FE43" s="175">
        <f t="shared" si="71"/>
        <v>0.15299020588076936</v>
      </c>
      <c r="FF43" s="175">
        <f t="shared" si="71"/>
        <v>0.49502938759103354</v>
      </c>
      <c r="FG43" s="175">
        <f t="shared" si="71"/>
        <v>0.15363791757158968</v>
      </c>
      <c r="FH43" s="175">
        <f t="shared" si="71"/>
        <v>0.31510101970595356</v>
      </c>
      <c r="FI43" s="175">
        <f t="shared" si="71"/>
        <v>0.13754833991391371</v>
      </c>
      <c r="FJ43" s="21"/>
    </row>
    <row r="47" spans="1:175" ht="15">
      <c r="A47" s="17" t="s">
        <v>188</v>
      </c>
      <c r="B47" s="22"/>
    </row>
    <row r="48" spans="1:175" ht="15">
      <c r="A48" s="9" t="s">
        <v>246</v>
      </c>
      <c r="B48" s="160" t="s">
        <v>186</v>
      </c>
      <c r="C48">
        <f>LOG(C17)</f>
        <v>3.1819756944040245</v>
      </c>
      <c r="D48">
        <f t="shared" ref="D48:T48" si="72">LOG(D17)</f>
        <v>1.9949898820465979</v>
      </c>
      <c r="E48">
        <f t="shared" si="72"/>
        <v>3.6295665930850585</v>
      </c>
      <c r="F48">
        <f t="shared" si="72"/>
        <v>3.2733053120514066</v>
      </c>
      <c r="G48">
        <f t="shared" si="72"/>
        <v>2.7108258295355938</v>
      </c>
      <c r="H48">
        <f t="shared" si="72"/>
        <v>2.6506326306922876</v>
      </c>
      <c r="I48">
        <f t="shared" si="72"/>
        <v>2.6723475549553743</v>
      </c>
      <c r="J48">
        <f t="shared" si="72"/>
        <v>4.021831124644935</v>
      </c>
      <c r="K48">
        <f t="shared" si="72"/>
        <v>3.6729721970429865</v>
      </c>
      <c r="L48">
        <f t="shared" si="72"/>
        <v>2.7603709164346388</v>
      </c>
      <c r="M48">
        <f t="shared" si="72"/>
        <v>1.6564516644301892</v>
      </c>
      <c r="N48">
        <f t="shared" si="72"/>
        <v>2.1216126947164695</v>
      </c>
      <c r="O48">
        <f t="shared" si="72"/>
        <v>1.4858969900260524</v>
      </c>
      <c r="P48">
        <f t="shared" si="72"/>
        <v>1.617929554107449</v>
      </c>
      <c r="Q48">
        <f t="shared" si="72"/>
        <v>0</v>
      </c>
      <c r="R48">
        <f t="shared" si="72"/>
        <v>1.5501803854500196</v>
      </c>
      <c r="S48">
        <f t="shared" si="72"/>
        <v>1.9648141308208467</v>
      </c>
      <c r="T48">
        <f t="shared" si="72"/>
        <v>1.8173161798048711</v>
      </c>
      <c r="U48" s="48">
        <f>MEDIAN(C48:T48)</f>
        <v>2.3861226627043788</v>
      </c>
      <c r="V48">
        <f t="shared" ref="V48:BO48" si="73">LOG(V17)</f>
        <v>5.0653773680634435</v>
      </c>
      <c r="W48">
        <f t="shared" si="73"/>
        <v>5.1711345778741258</v>
      </c>
      <c r="X48">
        <f t="shared" si="73"/>
        <v>5.2033390710050407</v>
      </c>
      <c r="Y48">
        <f t="shared" si="73"/>
        <v>2.4314546698461634</v>
      </c>
      <c r="Z48">
        <f t="shared" si="73"/>
        <v>3.8036751261864703</v>
      </c>
      <c r="AA48">
        <f t="shared" si="73"/>
        <v>5.9166987275642509</v>
      </c>
      <c r="AB48">
        <f t="shared" si="73"/>
        <v>4.1883498005782789</v>
      </c>
      <c r="AC48">
        <f t="shared" si="73"/>
        <v>5.1640761090386986</v>
      </c>
      <c r="AD48">
        <f t="shared" si="73"/>
        <v>3.8628333332594091</v>
      </c>
      <c r="AE48">
        <f t="shared" si="73"/>
        <v>4.5020557837039927</v>
      </c>
      <c r="AF48">
        <f t="shared" si="73"/>
        <v>4.8697924119019405</v>
      </c>
      <c r="AG48">
        <f t="shared" si="73"/>
        <v>3.2996201391764304</v>
      </c>
      <c r="AH48">
        <f t="shared" si="73"/>
        <v>3.7775362791728138</v>
      </c>
      <c r="AI48">
        <f t="shared" si="73"/>
        <v>4.4046285417405118</v>
      </c>
      <c r="AJ48">
        <f t="shared" si="73"/>
        <v>3.8941266556389209</v>
      </c>
      <c r="AK48">
        <f t="shared" si="73"/>
        <v>2.7927739001177763</v>
      </c>
      <c r="AL48">
        <f t="shared" si="73"/>
        <v>2.7066815617810036</v>
      </c>
      <c r="AM48">
        <f t="shared" si="73"/>
        <v>4.241894208129942</v>
      </c>
      <c r="AN48">
        <f t="shared" si="73"/>
        <v>4.1182900310034256</v>
      </c>
      <c r="AO48">
        <f t="shared" si="73"/>
        <v>2.5322552263237195</v>
      </c>
      <c r="AP48">
        <f t="shared" si="73"/>
        <v>3.1441426284839809</v>
      </c>
      <c r="AQ48">
        <f t="shared" si="73"/>
        <v>3.1941320449065125</v>
      </c>
      <c r="AR48">
        <f t="shared" si="73"/>
        <v>3.4344281259320022</v>
      </c>
      <c r="AS48">
        <f t="shared" si="73"/>
        <v>4.1034468835882727</v>
      </c>
      <c r="AT48">
        <f t="shared" si="73"/>
        <v>3.6581851169393631</v>
      </c>
      <c r="AU48" s="48">
        <f>MEDIAN(V48:AT48)</f>
        <v>3.8941266556389209</v>
      </c>
      <c r="AV48">
        <f t="shared" si="73"/>
        <v>1.7260829291656008</v>
      </c>
      <c r="AW48">
        <f t="shared" si="73"/>
        <v>3.5339897370593225</v>
      </c>
      <c r="AX48">
        <f t="shared" si="73"/>
        <v>2.9545924419057341</v>
      </c>
      <c r="AY48">
        <f t="shared" si="73"/>
        <v>2.5349896674632246</v>
      </c>
      <c r="AZ48">
        <f t="shared" si="73"/>
        <v>2.6076606767403288</v>
      </c>
      <c r="BA48">
        <f t="shared" si="73"/>
        <v>3.6049112303198925</v>
      </c>
      <c r="BB48">
        <f t="shared" si="73"/>
        <v>5.0381718217437923</v>
      </c>
      <c r="BC48">
        <f t="shared" si="73"/>
        <v>4.8139116866765921</v>
      </c>
      <c r="BD48">
        <f t="shared" si="73"/>
        <v>3.8037678781527613</v>
      </c>
      <c r="BE48">
        <f t="shared" si="73"/>
        <v>3.5101023189853358</v>
      </c>
      <c r="BF48">
        <f t="shared" si="73"/>
        <v>4.149982889660305</v>
      </c>
      <c r="BG48">
        <f t="shared" si="73"/>
        <v>4.0013795930492302</v>
      </c>
      <c r="BH48">
        <f t="shared" si="73"/>
        <v>4.1463584252057348</v>
      </c>
      <c r="BI48">
        <f t="shared" si="73"/>
        <v>3.9348148480162624</v>
      </c>
      <c r="BJ48">
        <f t="shared" si="73"/>
        <v>5.599039714766203</v>
      </c>
      <c r="BK48">
        <f t="shared" si="73"/>
        <v>5.5162311219386408</v>
      </c>
      <c r="BL48">
        <f t="shared" si="73"/>
        <v>4.8216739531728576</v>
      </c>
      <c r="BM48">
        <f t="shared" si="73"/>
        <v>4.6893107767388056</v>
      </c>
      <c r="BN48">
        <f t="shared" si="73"/>
        <v>3.9052961941563242</v>
      </c>
      <c r="BO48">
        <f t="shared" si="73"/>
        <v>3.7269564410269749</v>
      </c>
      <c r="BP48">
        <f t="shared" ref="BP48:EA48" si="74">LOG(BP17)</f>
        <v>3.5808538862693973</v>
      </c>
      <c r="BQ48">
        <f t="shared" si="74"/>
        <v>3.4276583996150394</v>
      </c>
      <c r="BR48">
        <f t="shared" si="74"/>
        <v>4.0869282277642123</v>
      </c>
      <c r="BS48">
        <f t="shared" si="74"/>
        <v>4.2782173695687753</v>
      </c>
      <c r="BT48">
        <f t="shared" si="74"/>
        <v>4.2595173137885274</v>
      </c>
      <c r="BU48">
        <f t="shared" si="74"/>
        <v>3.7781422151399675</v>
      </c>
      <c r="BV48">
        <f t="shared" si="74"/>
        <v>4.2581476068284285</v>
      </c>
      <c r="BW48">
        <f t="shared" si="74"/>
        <v>4.4168501961776148</v>
      </c>
      <c r="BX48">
        <f t="shared" si="74"/>
        <v>5.0251458098487092</v>
      </c>
      <c r="BY48">
        <f t="shared" si="74"/>
        <v>5.5235540399836482</v>
      </c>
      <c r="BZ48">
        <f t="shared" si="74"/>
        <v>4.9162610411495375</v>
      </c>
      <c r="CA48">
        <f t="shared" si="74"/>
        <v>4.3877536729159488</v>
      </c>
      <c r="CB48">
        <f t="shared" si="74"/>
        <v>4.0579026980629953</v>
      </c>
      <c r="CC48">
        <f t="shared" si="74"/>
        <v>4.0074341854118183</v>
      </c>
      <c r="CD48">
        <f t="shared" si="74"/>
        <v>4.5411034434122435</v>
      </c>
      <c r="CE48">
        <f t="shared" si="74"/>
        <v>4.7035919555995127</v>
      </c>
      <c r="CF48">
        <f t="shared" si="74"/>
        <v>4.6773759145023819</v>
      </c>
      <c r="CG48">
        <f t="shared" si="74"/>
        <v>2.4872200909783349</v>
      </c>
      <c r="CH48">
        <f t="shared" si="74"/>
        <v>1.9679150779445036</v>
      </c>
      <c r="CI48">
        <f t="shared" si="74"/>
        <v>1.7529351354096128</v>
      </c>
      <c r="CJ48">
        <f t="shared" si="74"/>
        <v>2.8759515528213679</v>
      </c>
      <c r="CK48">
        <f t="shared" si="74"/>
        <v>3.1668416780912674</v>
      </c>
      <c r="CL48">
        <f t="shared" si="74"/>
        <v>2.376761476111465</v>
      </c>
      <c r="CM48">
        <f t="shared" si="74"/>
        <v>3.1564194717102403</v>
      </c>
      <c r="CN48">
        <f t="shared" si="74"/>
        <v>1.8706868620223058</v>
      </c>
      <c r="CO48">
        <f t="shared" si="74"/>
        <v>1.974629017108928</v>
      </c>
      <c r="CP48" s="48">
        <f>MEDIAN(AV48:CO48)</f>
        <v>3.9680972205327461</v>
      </c>
      <c r="CQ48">
        <f t="shared" si="74"/>
        <v>2.6759632950002796</v>
      </c>
      <c r="CR48">
        <f t="shared" si="74"/>
        <v>2.3962420145496917</v>
      </c>
      <c r="CS48">
        <f t="shared" si="74"/>
        <v>2.3344575279550108</v>
      </c>
      <c r="CT48">
        <f t="shared" si="74"/>
        <v>1.9478022882681378</v>
      </c>
      <c r="CU48" s="49">
        <v>1</v>
      </c>
      <c r="CV48">
        <f t="shared" si="74"/>
        <v>1.5145183300300529</v>
      </c>
      <c r="CW48">
        <f t="shared" si="74"/>
        <v>3.6192080428164046</v>
      </c>
      <c r="CX48">
        <f t="shared" si="74"/>
        <v>4.227998315393946</v>
      </c>
      <c r="CY48">
        <f t="shared" si="74"/>
        <v>2.5446609529063662</v>
      </c>
      <c r="CZ48">
        <f t="shared" si="74"/>
        <v>2.9304972747367088</v>
      </c>
      <c r="DA48">
        <f t="shared" si="74"/>
        <v>2.6208456772583726</v>
      </c>
      <c r="DB48">
        <f t="shared" si="74"/>
        <v>3.6111095699029687</v>
      </c>
      <c r="DC48">
        <f t="shared" si="74"/>
        <v>2.349178686709823</v>
      </c>
      <c r="DD48">
        <f t="shared" si="74"/>
        <v>3.0704863805129223</v>
      </c>
      <c r="DE48">
        <f t="shared" si="74"/>
        <v>4.122258339700406</v>
      </c>
      <c r="DF48">
        <f t="shared" si="74"/>
        <v>4.2558633092280358</v>
      </c>
      <c r="DG48">
        <f t="shared" si="74"/>
        <v>3.0861662438936412</v>
      </c>
      <c r="DH48">
        <f t="shared" si="74"/>
        <v>2.2643044614171277</v>
      </c>
      <c r="DI48">
        <f t="shared" si="74"/>
        <v>1.5840437953052395</v>
      </c>
      <c r="DJ48">
        <f t="shared" si="74"/>
        <v>2.6338977525220728</v>
      </c>
      <c r="DK48">
        <f t="shared" si="74"/>
        <v>2.7759534977401805</v>
      </c>
      <c r="DL48">
        <f t="shared" si="74"/>
        <v>2.5848751650946435</v>
      </c>
      <c r="DM48">
        <f t="shared" si="74"/>
        <v>3.2988493746951892</v>
      </c>
      <c r="DN48">
        <f t="shared" si="74"/>
        <v>2.8690742756389169</v>
      </c>
      <c r="DO48">
        <f t="shared" si="74"/>
        <v>3.9820649112953532</v>
      </c>
      <c r="DP48">
        <f t="shared" si="74"/>
        <v>4.0444777722344192</v>
      </c>
      <c r="DQ48">
        <f t="shared" si="74"/>
        <v>3.6903678758000411</v>
      </c>
      <c r="DR48">
        <f t="shared" si="74"/>
        <v>3.7877214333005882</v>
      </c>
      <c r="DS48">
        <f t="shared" si="74"/>
        <v>3.0240466571878541</v>
      </c>
      <c r="DT48">
        <f t="shared" si="74"/>
        <v>2.2301000760335032</v>
      </c>
      <c r="DU48">
        <f t="shared" si="74"/>
        <v>3.2263615248071051</v>
      </c>
      <c r="DV48">
        <f t="shared" si="74"/>
        <v>2.8551640128327977</v>
      </c>
      <c r="DW48">
        <f t="shared" si="74"/>
        <v>2.3163974508499621</v>
      </c>
      <c r="DX48">
        <f t="shared" si="74"/>
        <v>2.583629814009369</v>
      </c>
      <c r="DY48">
        <f t="shared" si="74"/>
        <v>2.9088303626058063</v>
      </c>
      <c r="DZ48">
        <f t="shared" si="74"/>
        <v>3.1063779688014228</v>
      </c>
      <c r="EA48">
        <f t="shared" si="74"/>
        <v>2.8077791127284586</v>
      </c>
      <c r="EB48">
        <f t="shared" ref="EB48:FI48" si="75">LOG(EB17)</f>
        <v>1.7008453450140881</v>
      </c>
      <c r="EC48">
        <f t="shared" si="75"/>
        <v>2.9425397223892298</v>
      </c>
      <c r="ED48">
        <f t="shared" si="75"/>
        <v>3.4599278288505406</v>
      </c>
      <c r="EE48">
        <f t="shared" si="75"/>
        <v>3.2458682885895058</v>
      </c>
      <c r="EF48">
        <f t="shared" si="75"/>
        <v>3.4981712849404163</v>
      </c>
      <c r="EG48">
        <f t="shared" si="75"/>
        <v>3.3618790394784708</v>
      </c>
      <c r="EH48">
        <f t="shared" si="75"/>
        <v>2.9019791859169577</v>
      </c>
      <c r="EI48">
        <f t="shared" si="75"/>
        <v>2.3516684430477812</v>
      </c>
      <c r="EJ48">
        <f t="shared" si="75"/>
        <v>2.1190507998351396</v>
      </c>
      <c r="EK48">
        <f t="shared" si="75"/>
        <v>2.6265656551518095</v>
      </c>
      <c r="EL48">
        <f t="shared" si="75"/>
        <v>1.7661505315904882</v>
      </c>
      <c r="EM48">
        <f t="shared" si="75"/>
        <v>2.4401562833385539</v>
      </c>
      <c r="EN48">
        <f t="shared" si="75"/>
        <v>2.5256954572682164</v>
      </c>
      <c r="EO48">
        <f t="shared" si="75"/>
        <v>2.701872057943902</v>
      </c>
      <c r="EP48" s="48">
        <f>MEDIAN(CQ48:EO48)</f>
        <v>2.8077791127284586</v>
      </c>
      <c r="EQ48">
        <f t="shared" si="75"/>
        <v>3.0967058199301012</v>
      </c>
      <c r="ER48">
        <f t="shared" si="75"/>
        <v>4.2861976575479943</v>
      </c>
      <c r="ES48">
        <f t="shared" si="75"/>
        <v>3.681676487756314</v>
      </c>
      <c r="ET48">
        <f t="shared" si="75"/>
        <v>1.6688923912622944</v>
      </c>
      <c r="EU48">
        <f t="shared" si="75"/>
        <v>2.8641530791069409</v>
      </c>
      <c r="EV48">
        <f t="shared" si="75"/>
        <v>2.2700586312000781</v>
      </c>
      <c r="EW48">
        <f t="shared" si="75"/>
        <v>2.8357170991466871</v>
      </c>
      <c r="EX48">
        <f t="shared" si="75"/>
        <v>3.2173283760353422</v>
      </c>
      <c r="EY48">
        <f t="shared" si="75"/>
        <v>3.7587896693840439</v>
      </c>
      <c r="EZ48">
        <f t="shared" si="75"/>
        <v>3.3713830067119828</v>
      </c>
      <c r="FA48">
        <f t="shared" si="75"/>
        <v>2.55441408737707</v>
      </c>
      <c r="FB48">
        <f t="shared" si="75"/>
        <v>3.5306605873948822</v>
      </c>
      <c r="FC48">
        <f t="shared" si="75"/>
        <v>2.2125861442508432</v>
      </c>
      <c r="FD48">
        <f t="shared" si="75"/>
        <v>3.498779545363051</v>
      </c>
      <c r="FE48">
        <f t="shared" si="75"/>
        <v>4.227998315393946</v>
      </c>
      <c r="FF48">
        <f t="shared" si="75"/>
        <v>3.4363557105091602</v>
      </c>
      <c r="FG48">
        <f t="shared" si="75"/>
        <v>3.0166285418054395</v>
      </c>
      <c r="FH48">
        <f t="shared" si="75"/>
        <v>2.3365500825641128</v>
      </c>
      <c r="FI48">
        <f t="shared" si="75"/>
        <v>2.6867184602059919</v>
      </c>
      <c r="FJ48" s="62">
        <f>MEDIAN(EQ48:FI48)</f>
        <v>3.0967058199301012</v>
      </c>
    </row>
    <row r="49" spans="1:175" ht="15">
      <c r="A49" s="9" t="s">
        <v>220</v>
      </c>
      <c r="B49" s="162" t="s">
        <v>187</v>
      </c>
      <c r="C49">
        <f t="shared" ref="C49:BN49" si="76">LOG(C18)</f>
        <v>3.0969459391027936</v>
      </c>
      <c r="D49">
        <f t="shared" si="76"/>
        <v>2.4241892662437241</v>
      </c>
      <c r="E49">
        <f t="shared" si="76"/>
        <v>3.5574571309293401</v>
      </c>
      <c r="F49">
        <f t="shared" si="76"/>
        <v>3.5901116565863247</v>
      </c>
      <c r="G49">
        <f t="shared" si="76"/>
        <v>2.1857623615800459</v>
      </c>
      <c r="H49">
        <f t="shared" si="76"/>
        <v>2.2280316318247864</v>
      </c>
      <c r="I49">
        <f t="shared" si="76"/>
        <v>2.4251937327929416</v>
      </c>
      <c r="J49">
        <f t="shared" si="76"/>
        <v>3.9627947746600451</v>
      </c>
      <c r="K49">
        <f t="shared" si="76"/>
        <v>3.673438140732471</v>
      </c>
      <c r="L49">
        <f t="shared" si="76"/>
        <v>2.8252344903551059</v>
      </c>
      <c r="M49">
        <f t="shared" si="76"/>
        <v>1.6932302904582963</v>
      </c>
      <c r="N49">
        <f t="shared" si="76"/>
        <v>0</v>
      </c>
      <c r="O49">
        <f t="shared" si="76"/>
        <v>0</v>
      </c>
      <c r="P49">
        <f t="shared" si="76"/>
        <v>1.6623003080873604</v>
      </c>
      <c r="Q49">
        <f t="shared" si="76"/>
        <v>1.5632715324108162</v>
      </c>
      <c r="R49">
        <f t="shared" si="76"/>
        <v>2.0040896524187972</v>
      </c>
      <c r="S49">
        <f t="shared" si="76"/>
        <v>1.628096575612026</v>
      </c>
      <c r="T49">
        <f t="shared" si="76"/>
        <v>2.7263085887630818</v>
      </c>
      <c r="U49" s="48">
        <f t="shared" ref="U49:U52" si="77">MEDIAN(C49:T49)</f>
        <v>2.326110449034255</v>
      </c>
      <c r="V49">
        <f t="shared" si="76"/>
        <v>4.784494107712284</v>
      </c>
      <c r="W49">
        <f t="shared" si="76"/>
        <v>5.0553894371096106</v>
      </c>
      <c r="X49">
        <f t="shared" si="76"/>
        <v>5.2185825197911484</v>
      </c>
      <c r="Y49">
        <f t="shared" si="76"/>
        <v>1.9563745863825124</v>
      </c>
      <c r="Z49">
        <f t="shared" si="76"/>
        <v>3.2254853898988776</v>
      </c>
      <c r="AA49">
        <f t="shared" si="76"/>
        <v>6.1825922983586477</v>
      </c>
      <c r="AB49">
        <f t="shared" si="76"/>
        <v>4.4242223146663946</v>
      </c>
      <c r="AC49">
        <f t="shared" si="76"/>
        <v>4.9720022131953918</v>
      </c>
      <c r="AD49">
        <f t="shared" si="76"/>
        <v>3.7401703230158003</v>
      </c>
      <c r="AE49">
        <f t="shared" si="76"/>
        <v>4.6130084388805344</v>
      </c>
      <c r="AF49">
        <f t="shared" si="76"/>
        <v>4.8430249716126568</v>
      </c>
      <c r="AG49">
        <f t="shared" si="76"/>
        <v>3.1734514184530922</v>
      </c>
      <c r="AH49">
        <f t="shared" si="76"/>
        <v>3.6070054917485188</v>
      </c>
      <c r="AI49">
        <f t="shared" si="76"/>
        <v>3.5933985334428242</v>
      </c>
      <c r="AJ49">
        <f t="shared" si="76"/>
        <v>2.8918900280405024</v>
      </c>
      <c r="AK49">
        <f t="shared" si="76"/>
        <v>2.8081489427133195</v>
      </c>
      <c r="AL49">
        <f t="shared" si="76"/>
        <v>2.4216205908254649</v>
      </c>
      <c r="AM49">
        <f t="shared" si="76"/>
        <v>3.4238723009237266</v>
      </c>
      <c r="AN49">
        <f t="shared" si="76"/>
        <v>3.7558797239404949</v>
      </c>
      <c r="AO49">
        <f t="shared" si="76"/>
        <v>1.5687038644468234</v>
      </c>
      <c r="AP49">
        <f t="shared" si="76"/>
        <v>2.948815806221226</v>
      </c>
      <c r="AQ49">
        <f t="shared" si="76"/>
        <v>2.9373082809066946</v>
      </c>
      <c r="AR49">
        <f t="shared" si="76"/>
        <v>3.2960664500210757</v>
      </c>
      <c r="AS49">
        <f t="shared" si="76"/>
        <v>4.3131940065163237</v>
      </c>
      <c r="AT49">
        <f t="shared" si="76"/>
        <v>2.8436509932470178</v>
      </c>
      <c r="AU49" s="48">
        <f t="shared" ref="AU49:AU52" si="78">MEDIAN(V49:AT49)</f>
        <v>3.5933985334428242</v>
      </c>
      <c r="AV49">
        <f t="shared" si="76"/>
        <v>1.8371749493090825</v>
      </c>
      <c r="AW49">
        <f t="shared" si="76"/>
        <v>3.4595056325379301</v>
      </c>
      <c r="AX49">
        <f t="shared" si="76"/>
        <v>2.9106798866260144</v>
      </c>
      <c r="AY49">
        <f t="shared" si="76"/>
        <v>2.5883303835347342</v>
      </c>
      <c r="AZ49">
        <f t="shared" si="76"/>
        <v>1.7028594193505255</v>
      </c>
      <c r="BA49">
        <f t="shared" si="76"/>
        <v>3.5544443472018084</v>
      </c>
      <c r="BB49">
        <f t="shared" si="76"/>
        <v>4.9756462174038987</v>
      </c>
      <c r="BC49">
        <f t="shared" si="76"/>
        <v>4.5424260559667546</v>
      </c>
      <c r="BD49">
        <f t="shared" si="76"/>
        <v>3.0899779086890384</v>
      </c>
      <c r="BE49">
        <f t="shared" si="76"/>
        <v>3.4129159002942733</v>
      </c>
      <c r="BF49">
        <f t="shared" si="76"/>
        <v>3.706220067537402</v>
      </c>
      <c r="BG49">
        <f t="shared" si="76"/>
        <v>4.0577794498394013</v>
      </c>
      <c r="BH49">
        <f t="shared" si="76"/>
        <v>3.9464395923900644</v>
      </c>
      <c r="BI49">
        <f t="shared" si="76"/>
        <v>3.8184659843928146</v>
      </c>
      <c r="BJ49">
        <f t="shared" si="76"/>
        <v>5.6464260087288469</v>
      </c>
      <c r="BK49">
        <f t="shared" si="76"/>
        <v>5.3382582041610487</v>
      </c>
      <c r="BL49">
        <f t="shared" si="76"/>
        <v>4.676444961415446</v>
      </c>
      <c r="BM49">
        <f t="shared" si="76"/>
        <v>4.3929087636361643</v>
      </c>
      <c r="BN49">
        <f t="shared" si="76"/>
        <v>3.3393140140210815</v>
      </c>
      <c r="BO49">
        <f t="shared" ref="BO49:DZ49" si="79">LOG(BO18)</f>
        <v>3.9449924727100822</v>
      </c>
      <c r="BP49">
        <f t="shared" si="79"/>
        <v>3.6878415508130113</v>
      </c>
      <c r="BQ49">
        <f t="shared" si="79"/>
        <v>3.4717002100879282</v>
      </c>
      <c r="BR49">
        <f t="shared" si="79"/>
        <v>4.0018420201525249</v>
      </c>
      <c r="BS49">
        <f t="shared" si="79"/>
        <v>3.9854546682498939</v>
      </c>
      <c r="BT49">
        <f t="shared" si="79"/>
        <v>3.4251170185206141</v>
      </c>
      <c r="BU49">
        <f t="shared" si="79"/>
        <v>3.6740131185770877</v>
      </c>
      <c r="BV49">
        <f t="shared" si="79"/>
        <v>4.3887466898490812</v>
      </c>
      <c r="BW49">
        <f t="shared" si="79"/>
        <v>4.6672567765026836</v>
      </c>
      <c r="BX49">
        <f t="shared" si="79"/>
        <v>4.8223997441354882</v>
      </c>
      <c r="BY49">
        <f t="shared" si="79"/>
        <v>5.2653601497180231</v>
      </c>
      <c r="BZ49">
        <f t="shared" si="79"/>
        <v>4.6599408232018025</v>
      </c>
      <c r="CA49">
        <f t="shared" si="79"/>
        <v>4.0007830479613862</v>
      </c>
      <c r="CB49">
        <f t="shared" si="79"/>
        <v>3.9409384692064569</v>
      </c>
      <c r="CC49">
        <f t="shared" si="79"/>
        <v>3.7528406342675016</v>
      </c>
      <c r="CD49">
        <f t="shared" si="79"/>
        <v>4.6687572407670865</v>
      </c>
      <c r="CE49">
        <f t="shared" si="79"/>
        <v>4.5374725986827835</v>
      </c>
      <c r="CF49">
        <f t="shared" si="79"/>
        <v>4.3617684998735724</v>
      </c>
      <c r="CG49">
        <f t="shared" si="79"/>
        <v>2.8229928910739894</v>
      </c>
      <c r="CH49">
        <f t="shared" si="79"/>
        <v>1.8667477383721822</v>
      </c>
      <c r="CI49">
        <f t="shared" si="79"/>
        <v>6.1609386132660848</v>
      </c>
      <c r="CJ49" s="49">
        <v>1</v>
      </c>
      <c r="CK49" s="49">
        <v>1</v>
      </c>
      <c r="CL49">
        <f t="shared" si="79"/>
        <v>2.2037263807304983</v>
      </c>
      <c r="CM49">
        <f t="shared" si="79"/>
        <v>2.5081121537504192</v>
      </c>
      <c r="CN49">
        <f t="shared" si="79"/>
        <v>1.8672811200300223</v>
      </c>
      <c r="CO49">
        <f t="shared" si="79"/>
        <v>2.2196986645533543</v>
      </c>
      <c r="CP49" s="48">
        <f t="shared" ref="CP49:CP52" si="80">MEDIAN(AV49:CO49)</f>
        <v>3.7856533093301579</v>
      </c>
      <c r="CQ49">
        <f t="shared" si="79"/>
        <v>2.2653577606387039</v>
      </c>
      <c r="CR49">
        <f t="shared" si="79"/>
        <v>2.281288718575726</v>
      </c>
      <c r="CS49">
        <f t="shared" si="79"/>
        <v>2.4283035490454621</v>
      </c>
      <c r="CT49">
        <f t="shared" si="79"/>
        <v>1.7917368465239927</v>
      </c>
      <c r="CU49">
        <f t="shared" si="79"/>
        <v>1.2868017835328898</v>
      </c>
      <c r="CV49">
        <f t="shared" si="79"/>
        <v>1.5373552044942158</v>
      </c>
      <c r="CW49">
        <f t="shared" si="79"/>
        <v>3.6136166573387261</v>
      </c>
      <c r="CX49">
        <f t="shared" si="79"/>
        <v>4.3885188273788032</v>
      </c>
      <c r="CY49">
        <f t="shared" si="79"/>
        <v>1.9022000762080045</v>
      </c>
      <c r="CZ49">
        <f t="shared" si="79"/>
        <v>2.9249193299624197</v>
      </c>
      <c r="DA49">
        <f t="shared" si="79"/>
        <v>3.0190023281038556</v>
      </c>
      <c r="DB49">
        <f t="shared" si="79"/>
        <v>3.5390281764482778</v>
      </c>
      <c r="DC49">
        <f t="shared" si="79"/>
        <v>2.4949758959878396</v>
      </c>
      <c r="DD49">
        <f t="shared" si="79"/>
        <v>2.8976375919037181</v>
      </c>
      <c r="DE49">
        <f t="shared" si="79"/>
        <v>4.1662945626531549</v>
      </c>
      <c r="DF49">
        <f t="shared" si="79"/>
        <v>4.2274972503151238</v>
      </c>
      <c r="DG49">
        <f t="shared" si="79"/>
        <v>2.2330138039951448</v>
      </c>
      <c r="DH49">
        <f t="shared" si="79"/>
        <v>2.0432698076087537</v>
      </c>
      <c r="DI49">
        <f t="shared" si="79"/>
        <v>1.6525845432557527</v>
      </c>
      <c r="DJ49">
        <f t="shared" si="79"/>
        <v>2.6330931485157607</v>
      </c>
      <c r="DK49">
        <f t="shared" si="79"/>
        <v>2.9331688095104749</v>
      </c>
      <c r="DL49">
        <f t="shared" si="79"/>
        <v>2.7266188112520302</v>
      </c>
      <c r="DM49">
        <f t="shared" si="79"/>
        <v>3.3109013236414921</v>
      </c>
      <c r="DN49">
        <f t="shared" si="79"/>
        <v>2.8984773718427568</v>
      </c>
      <c r="DO49">
        <f t="shared" si="79"/>
        <v>3.960994313195024</v>
      </c>
      <c r="DP49">
        <f t="shared" si="79"/>
        <v>4.0130132975720327</v>
      </c>
      <c r="DQ49">
        <f t="shared" si="79"/>
        <v>3.7784052907506713</v>
      </c>
      <c r="DR49">
        <f t="shared" si="79"/>
        <v>3.6382131592964995</v>
      </c>
      <c r="DS49">
        <f t="shared" si="79"/>
        <v>2.9605363538754474</v>
      </c>
      <c r="DT49">
        <f t="shared" si="79"/>
        <v>2.0727190238869961</v>
      </c>
      <c r="DU49">
        <f t="shared" si="79"/>
        <v>3.1203226709730156</v>
      </c>
      <c r="DV49">
        <f t="shared" si="79"/>
        <v>2.2837217652828303</v>
      </c>
      <c r="DW49">
        <f t="shared" si="79"/>
        <v>1.6557157805661855</v>
      </c>
      <c r="DX49">
        <f t="shared" si="79"/>
        <v>2.0423176264526455</v>
      </c>
      <c r="DY49">
        <f t="shared" si="79"/>
        <v>2.9467578392268665</v>
      </c>
      <c r="DZ49">
        <f t="shared" si="79"/>
        <v>3.0970872177001416</v>
      </c>
      <c r="EA49">
        <f t="shared" ref="EA49:FI49" si="81">LOG(EA18)</f>
        <v>2.8007972030656112</v>
      </c>
      <c r="EB49">
        <f t="shared" si="81"/>
        <v>1.7248372927128388</v>
      </c>
      <c r="EC49">
        <f t="shared" si="81"/>
        <v>3.1124341313993775</v>
      </c>
      <c r="ED49">
        <f t="shared" si="81"/>
        <v>3.6421233126006061</v>
      </c>
      <c r="EE49">
        <f t="shared" si="81"/>
        <v>3.3098353762048816</v>
      </c>
      <c r="EF49">
        <f t="shared" si="81"/>
        <v>3.5060301233777658</v>
      </c>
      <c r="EG49">
        <f t="shared" si="81"/>
        <v>3.3159087489969301</v>
      </c>
      <c r="EH49">
        <f t="shared" si="81"/>
        <v>2.9526550434225181</v>
      </c>
      <c r="EI49">
        <f t="shared" si="81"/>
        <v>2.3303919323175322</v>
      </c>
      <c r="EJ49">
        <f t="shared" si="81"/>
        <v>2.2246557005653949</v>
      </c>
      <c r="EK49">
        <f t="shared" si="81"/>
        <v>2.7451804722304396</v>
      </c>
      <c r="EL49">
        <f t="shared" si="81"/>
        <v>2.1202691376937488</v>
      </c>
      <c r="EM49">
        <f t="shared" si="81"/>
        <v>2.6042271182993626</v>
      </c>
      <c r="EN49">
        <f t="shared" si="81"/>
        <v>2.073272523539377</v>
      </c>
      <c r="EO49">
        <f t="shared" si="81"/>
        <v>1.9888451553561894</v>
      </c>
      <c r="EP49" s="48">
        <f t="shared" ref="EP49:EP52" si="82">MEDIAN(CQ49:EO49)</f>
        <v>2.8007972030656112</v>
      </c>
      <c r="EQ49">
        <f t="shared" si="81"/>
        <v>3.5473473688695401</v>
      </c>
      <c r="ER49">
        <f t="shared" si="81"/>
        <v>4.3681502291875072</v>
      </c>
      <c r="ES49">
        <f t="shared" si="81"/>
        <v>3.9045143183598334</v>
      </c>
      <c r="ET49">
        <f t="shared" si="81"/>
        <v>2.3502352893719367</v>
      </c>
      <c r="EU49">
        <f t="shared" si="81"/>
        <v>2.9918303962020869</v>
      </c>
      <c r="EV49">
        <f t="shared" si="81"/>
        <v>2.0509957474864233</v>
      </c>
      <c r="EW49">
        <f t="shared" si="81"/>
        <v>2.7734511561773751</v>
      </c>
      <c r="EX49">
        <f t="shared" si="81"/>
        <v>3.3042996448142627</v>
      </c>
      <c r="EY49">
        <f t="shared" si="81"/>
        <v>3.9111196380493212</v>
      </c>
      <c r="EZ49">
        <f t="shared" si="81"/>
        <v>3.3630675037624056</v>
      </c>
      <c r="FA49">
        <f t="shared" si="81"/>
        <v>2.4465607116318244</v>
      </c>
      <c r="FB49">
        <f t="shared" si="81"/>
        <v>3.801241744803582</v>
      </c>
      <c r="FC49">
        <f t="shared" si="81"/>
        <v>2.5865160135239296</v>
      </c>
      <c r="FD49">
        <f t="shared" si="81"/>
        <v>3.7317276676440114</v>
      </c>
      <c r="FE49">
        <f t="shared" si="81"/>
        <v>4.3885188273788032</v>
      </c>
      <c r="FF49">
        <f t="shared" si="81"/>
        <v>2.3768146010897357</v>
      </c>
      <c r="FG49">
        <f t="shared" si="81"/>
        <v>3.2427516728862855</v>
      </c>
      <c r="FH49">
        <f t="shared" si="81"/>
        <v>2.4534648834138135</v>
      </c>
      <c r="FI49">
        <f t="shared" si="81"/>
        <v>1.9134233982132163</v>
      </c>
      <c r="FJ49" s="62">
        <f t="shared" ref="FJ49:FJ52" si="83">MEDIAN(EQ49:FI49)</f>
        <v>3.2427516728862855</v>
      </c>
    </row>
    <row r="50" spans="1:175" ht="15">
      <c r="A50" s="9" t="s">
        <v>247</v>
      </c>
      <c r="B50" s="160" t="s">
        <v>187</v>
      </c>
      <c r="C50">
        <f t="shared" ref="C50:BN50" si="84">LOG(C19)</f>
        <v>2.7431079180838536</v>
      </c>
      <c r="D50">
        <f t="shared" si="84"/>
        <v>1.8784987257647263</v>
      </c>
      <c r="E50">
        <f t="shared" si="84"/>
        <v>3.3839987581798314</v>
      </c>
      <c r="F50">
        <f t="shared" si="84"/>
        <v>3.2792693342890518</v>
      </c>
      <c r="G50">
        <f t="shared" si="84"/>
        <v>1.7201322282827565</v>
      </c>
      <c r="H50">
        <f t="shared" si="84"/>
        <v>2.5076238028332809</v>
      </c>
      <c r="I50">
        <f t="shared" si="84"/>
        <v>2.5513818659827856</v>
      </c>
      <c r="J50">
        <f t="shared" si="84"/>
        <v>3.804020469260625</v>
      </c>
      <c r="K50">
        <f t="shared" si="84"/>
        <v>3.4915872736682907</v>
      </c>
      <c r="L50">
        <f t="shared" si="84"/>
        <v>1.9694525905147404</v>
      </c>
      <c r="M50">
        <f t="shared" si="84"/>
        <v>2.3357678036465916</v>
      </c>
      <c r="N50">
        <f t="shared" si="84"/>
        <v>2.4321447026419896</v>
      </c>
      <c r="O50">
        <f t="shared" si="84"/>
        <v>1.7732726723495802</v>
      </c>
      <c r="P50">
        <f t="shared" si="84"/>
        <v>1.5646588128343504</v>
      </c>
      <c r="Q50">
        <f t="shared" si="84"/>
        <v>0</v>
      </c>
      <c r="R50">
        <f t="shared" si="84"/>
        <v>1.4256336578079887</v>
      </c>
      <c r="S50">
        <f t="shared" si="84"/>
        <v>1.6446067997513185</v>
      </c>
      <c r="T50">
        <f t="shared" si="84"/>
        <v>2.4741216688263119</v>
      </c>
      <c r="U50" s="48">
        <f t="shared" si="77"/>
        <v>2.3839562531442908</v>
      </c>
      <c r="V50">
        <f t="shared" si="84"/>
        <v>5.037352436584249</v>
      </c>
      <c r="W50">
        <f t="shared" si="84"/>
        <v>5.1763373513504689</v>
      </c>
      <c r="X50">
        <f t="shared" si="84"/>
        <v>5.3872876809781118</v>
      </c>
      <c r="Y50">
        <f t="shared" si="84"/>
        <v>2.806014001611906</v>
      </c>
      <c r="Z50">
        <f t="shared" si="84"/>
        <v>3.8137908169360073</v>
      </c>
      <c r="AA50">
        <f t="shared" si="84"/>
        <v>5.9226706839970671</v>
      </c>
      <c r="AB50">
        <f t="shared" si="84"/>
        <v>4.1594335647396781</v>
      </c>
      <c r="AC50">
        <f t="shared" si="84"/>
        <v>5.0990173829001177</v>
      </c>
      <c r="AD50">
        <f t="shared" si="84"/>
        <v>3.8703056072124005</v>
      </c>
      <c r="AE50">
        <f t="shared" si="84"/>
        <v>4.3794128961610044</v>
      </c>
      <c r="AF50">
        <f t="shared" si="84"/>
        <v>4.8876320621732354</v>
      </c>
      <c r="AG50">
        <f t="shared" si="84"/>
        <v>2.9026876213692425</v>
      </c>
      <c r="AH50">
        <f t="shared" si="84"/>
        <v>3.7041057692624753</v>
      </c>
      <c r="AI50">
        <f t="shared" si="84"/>
        <v>4.2358266566986496</v>
      </c>
      <c r="AJ50">
        <f t="shared" si="84"/>
        <v>3.7226200613323668</v>
      </c>
      <c r="AK50">
        <f t="shared" si="84"/>
        <v>2.8087121579175909</v>
      </c>
      <c r="AL50">
        <f t="shared" si="84"/>
        <v>2.5835066865767375</v>
      </c>
      <c r="AM50">
        <f t="shared" si="84"/>
        <v>4.0732593038853562</v>
      </c>
      <c r="AN50">
        <f t="shared" si="84"/>
        <v>4.2291159779391263</v>
      </c>
      <c r="AO50">
        <f t="shared" si="84"/>
        <v>2.6180703240526326</v>
      </c>
      <c r="AP50">
        <f t="shared" si="84"/>
        <v>3.3530073389786352</v>
      </c>
      <c r="AQ50">
        <f t="shared" si="84"/>
        <v>3.0900429093569102</v>
      </c>
      <c r="AR50">
        <f t="shared" si="84"/>
        <v>3.5177981267238514</v>
      </c>
      <c r="AS50">
        <f t="shared" si="84"/>
        <v>4.1909723919295221</v>
      </c>
      <c r="AT50">
        <f t="shared" si="84"/>
        <v>3.6326182261580473</v>
      </c>
      <c r="AU50" s="48">
        <f t="shared" si="78"/>
        <v>3.8703056072124005</v>
      </c>
      <c r="AV50">
        <f t="shared" si="84"/>
        <v>1.8313647342004937</v>
      </c>
      <c r="AW50">
        <f t="shared" si="84"/>
        <v>3.6648292635244544</v>
      </c>
      <c r="AX50">
        <f t="shared" si="84"/>
        <v>3.0780076572937647</v>
      </c>
      <c r="AY50">
        <f t="shared" si="84"/>
        <v>2.5429555831612887</v>
      </c>
      <c r="AZ50">
        <f t="shared" si="84"/>
        <v>2.3436905890653841</v>
      </c>
      <c r="BA50">
        <f t="shared" si="84"/>
        <v>3.8494971914073637</v>
      </c>
      <c r="BB50">
        <f t="shared" si="84"/>
        <v>5.2227445489197351</v>
      </c>
      <c r="BC50">
        <f t="shared" si="84"/>
        <v>4.8355594075768353</v>
      </c>
      <c r="BD50">
        <f t="shared" si="84"/>
        <v>3.7198196129376289</v>
      </c>
      <c r="BE50">
        <f t="shared" si="84"/>
        <v>3.4850717422414075</v>
      </c>
      <c r="BF50">
        <f t="shared" si="84"/>
        <v>4.2231669110626706</v>
      </c>
      <c r="BG50">
        <f t="shared" si="84"/>
        <v>3.9981620453083133</v>
      </c>
      <c r="BH50">
        <f t="shared" si="84"/>
        <v>4.1333006501338643</v>
      </c>
      <c r="BI50">
        <f t="shared" si="84"/>
        <v>3.8763953317202495</v>
      </c>
      <c r="BJ50">
        <f t="shared" si="84"/>
        <v>5.6456033753780961</v>
      </c>
      <c r="BK50">
        <f t="shared" si="84"/>
        <v>5.5442862598337026</v>
      </c>
      <c r="BL50">
        <f t="shared" si="84"/>
        <v>4.8455228076748513</v>
      </c>
      <c r="BM50">
        <f t="shared" si="84"/>
        <v>4.6877106029333886</v>
      </c>
      <c r="BN50">
        <f t="shared" si="84"/>
        <v>3.7175348104668737</v>
      </c>
      <c r="BO50">
        <f t="shared" ref="BO50:DZ50" si="85">LOG(BO19)</f>
        <v>3.7847075385344922</v>
      </c>
      <c r="BP50">
        <f t="shared" si="85"/>
        <v>3.8444360840909262</v>
      </c>
      <c r="BQ50">
        <f t="shared" si="85"/>
        <v>3.4913305310239378</v>
      </c>
      <c r="BR50">
        <f t="shared" si="85"/>
        <v>4.2447653214690817</v>
      </c>
      <c r="BS50">
        <f t="shared" si="85"/>
        <v>4.2312487324033352</v>
      </c>
      <c r="BT50">
        <f t="shared" si="85"/>
        <v>4.2475230167737221</v>
      </c>
      <c r="BU50">
        <f t="shared" si="85"/>
        <v>3.617189704903554</v>
      </c>
      <c r="BV50">
        <f t="shared" si="85"/>
        <v>4.4252015219330421</v>
      </c>
      <c r="BW50">
        <f t="shared" si="85"/>
        <v>4.6486112209684505</v>
      </c>
      <c r="BX50">
        <f t="shared" si="85"/>
        <v>4.9964804672372622</v>
      </c>
      <c r="BY50">
        <f t="shared" si="85"/>
        <v>5.5573719121017771</v>
      </c>
      <c r="BZ50">
        <f t="shared" si="85"/>
        <v>4.9073875622220928</v>
      </c>
      <c r="CA50">
        <f t="shared" si="85"/>
        <v>4.37425250976779</v>
      </c>
      <c r="CB50">
        <f t="shared" si="85"/>
        <v>4.1248445489558891</v>
      </c>
      <c r="CC50">
        <f t="shared" si="85"/>
        <v>4.0089966349452419</v>
      </c>
      <c r="CD50">
        <f t="shared" si="85"/>
        <v>4.7730103129591761</v>
      </c>
      <c r="CE50">
        <f t="shared" si="85"/>
        <v>4.794670531858821</v>
      </c>
      <c r="CF50">
        <f t="shared" si="85"/>
        <v>4.6156274696369426</v>
      </c>
      <c r="CG50">
        <f t="shared" si="85"/>
        <v>2.5964860117797102</v>
      </c>
      <c r="CH50">
        <f t="shared" si="85"/>
        <v>2.451562997544765</v>
      </c>
      <c r="CI50">
        <f t="shared" si="85"/>
        <v>6.3256969458137347</v>
      </c>
      <c r="CJ50" s="49">
        <v>1</v>
      </c>
      <c r="CK50">
        <f t="shared" si="85"/>
        <v>2.0315069875654128</v>
      </c>
      <c r="CL50">
        <f t="shared" si="85"/>
        <v>2.8294868375533264</v>
      </c>
      <c r="CM50">
        <f t="shared" si="85"/>
        <v>3.3278742170016535</v>
      </c>
      <c r="CN50">
        <f t="shared" si="85"/>
        <v>2.3932205289057422</v>
      </c>
      <c r="CO50">
        <f t="shared" si="85"/>
        <v>3.2470095204960816</v>
      </c>
      <c r="CP50" s="48">
        <f t="shared" si="80"/>
        <v>4.0035793401267776</v>
      </c>
      <c r="CQ50">
        <f t="shared" si="85"/>
        <v>2.8154703271103712</v>
      </c>
      <c r="CR50">
        <f t="shared" si="85"/>
        <v>2.5672346426802592</v>
      </c>
      <c r="CS50">
        <f t="shared" si="85"/>
        <v>2.6757485964140129</v>
      </c>
      <c r="CT50">
        <f t="shared" si="85"/>
        <v>2.0895335252475813</v>
      </c>
      <c r="CU50" s="49">
        <v>1</v>
      </c>
      <c r="CV50">
        <f t="shared" si="85"/>
        <v>1.967872944429365</v>
      </c>
      <c r="CW50">
        <f t="shared" si="85"/>
        <v>3.7900321771654784</v>
      </c>
      <c r="CX50">
        <f t="shared" si="85"/>
        <v>4.1594172023126204</v>
      </c>
      <c r="CY50">
        <f t="shared" si="85"/>
        <v>1.9118732018662652</v>
      </c>
      <c r="CZ50">
        <f t="shared" si="85"/>
        <v>2.8202797447119079</v>
      </c>
      <c r="DA50">
        <f t="shared" si="85"/>
        <v>2.8754094426575185</v>
      </c>
      <c r="DB50">
        <f t="shared" si="85"/>
        <v>3.3347055442359359</v>
      </c>
      <c r="DC50">
        <f t="shared" si="85"/>
        <v>1.885862756414949</v>
      </c>
      <c r="DD50">
        <f t="shared" si="85"/>
        <v>2.7037717590356025</v>
      </c>
      <c r="DE50">
        <f t="shared" si="85"/>
        <v>4.1664172411148579</v>
      </c>
      <c r="DF50">
        <f t="shared" si="85"/>
        <v>4.1999348158223029</v>
      </c>
      <c r="DG50">
        <f t="shared" si="85"/>
        <v>2.2171786858464917</v>
      </c>
      <c r="DH50">
        <f t="shared" si="85"/>
        <v>1.6035587924923709</v>
      </c>
      <c r="DI50">
        <f t="shared" si="85"/>
        <v>2.0818526263745798</v>
      </c>
      <c r="DJ50">
        <f t="shared" si="85"/>
        <v>2.3466581665232029</v>
      </c>
      <c r="DK50">
        <f t="shared" si="85"/>
        <v>2.5553472747441859</v>
      </c>
      <c r="DL50">
        <f t="shared" si="85"/>
        <v>2.8078695572874142</v>
      </c>
      <c r="DM50">
        <f t="shared" si="85"/>
        <v>3.2377652478845</v>
      </c>
      <c r="DN50">
        <f t="shared" si="85"/>
        <v>2.802895372525755</v>
      </c>
      <c r="DO50">
        <f t="shared" si="85"/>
        <v>3.809544394963754</v>
      </c>
      <c r="DP50">
        <f t="shared" si="85"/>
        <v>2.8799632470213119</v>
      </c>
      <c r="DQ50">
        <f t="shared" si="85"/>
        <v>3.7152522420892318</v>
      </c>
      <c r="DR50">
        <f t="shared" si="85"/>
        <v>3.7646454029284269</v>
      </c>
      <c r="DS50">
        <f t="shared" si="85"/>
        <v>2.1586131225083154</v>
      </c>
      <c r="DT50">
        <f t="shared" si="85"/>
        <v>1.9307580272485794</v>
      </c>
      <c r="DU50">
        <f t="shared" si="85"/>
        <v>3.0102811474569311</v>
      </c>
      <c r="DV50">
        <f t="shared" si="85"/>
        <v>2.2546904605026161</v>
      </c>
      <c r="DW50">
        <f t="shared" si="85"/>
        <v>1.9551818689646769</v>
      </c>
      <c r="DX50">
        <f t="shared" si="85"/>
        <v>2.5600267363367513</v>
      </c>
      <c r="DY50">
        <f t="shared" si="85"/>
        <v>2.4224694304396155</v>
      </c>
      <c r="DZ50">
        <f t="shared" si="85"/>
        <v>2.943043496168896</v>
      </c>
      <c r="EA50">
        <f t="shared" ref="EA50:FI50" si="86">LOG(EA19)</f>
        <v>2.8082385254425835</v>
      </c>
      <c r="EB50">
        <f t="shared" si="86"/>
        <v>1.5554005435052651</v>
      </c>
      <c r="EC50">
        <f t="shared" si="86"/>
        <v>2.7203808868317281</v>
      </c>
      <c r="ED50">
        <f t="shared" si="86"/>
        <v>3.5856989038649716</v>
      </c>
      <c r="EE50">
        <f t="shared" si="86"/>
        <v>2.6494705834399963</v>
      </c>
      <c r="EF50">
        <f t="shared" si="86"/>
        <v>2.5871187128408129</v>
      </c>
      <c r="EG50">
        <f t="shared" si="86"/>
        <v>3.3705880290491494</v>
      </c>
      <c r="EH50">
        <f t="shared" si="86"/>
        <v>2.9413757392952276</v>
      </c>
      <c r="EI50">
        <f t="shared" si="86"/>
        <v>2.3347108942226695</v>
      </c>
      <c r="EJ50">
        <f t="shared" si="86"/>
        <v>1.7635456627542583</v>
      </c>
      <c r="EK50">
        <f t="shared" si="86"/>
        <v>2.5514266396407206</v>
      </c>
      <c r="EL50">
        <f t="shared" si="86"/>
        <v>1.6326516271468197</v>
      </c>
      <c r="EM50">
        <f t="shared" si="86"/>
        <v>2.6145852822143953</v>
      </c>
      <c r="EN50">
        <f t="shared" si="86"/>
        <v>1.8883796001250559</v>
      </c>
      <c r="EO50">
        <f t="shared" si="86"/>
        <v>2.2773661958600613</v>
      </c>
      <c r="EP50" s="48">
        <f t="shared" si="82"/>
        <v>2.6145852822143953</v>
      </c>
      <c r="EQ50">
        <f t="shared" si="86"/>
        <v>3.2157624295395015</v>
      </c>
      <c r="ER50">
        <f t="shared" si="86"/>
        <v>4.277668806243299</v>
      </c>
      <c r="ES50">
        <f t="shared" si="86"/>
        <v>3.7857577923599894</v>
      </c>
      <c r="ET50">
        <f t="shared" si="86"/>
        <v>1.9658963825630906</v>
      </c>
      <c r="EU50">
        <f t="shared" si="86"/>
        <v>2.4353045835984037</v>
      </c>
      <c r="EV50">
        <f t="shared" si="86"/>
        <v>2.3085160570141037</v>
      </c>
      <c r="EW50">
        <f t="shared" si="86"/>
        <v>1.9341193748311332</v>
      </c>
      <c r="EX50">
        <f t="shared" si="86"/>
        <v>3.0593721161115379</v>
      </c>
      <c r="EY50">
        <f t="shared" si="86"/>
        <v>3.8117784394321448</v>
      </c>
      <c r="EZ50">
        <f t="shared" si="86"/>
        <v>2.4870925517060112</v>
      </c>
      <c r="FA50">
        <f t="shared" si="86"/>
        <v>2.3745432934699156</v>
      </c>
      <c r="FB50">
        <f t="shared" si="86"/>
        <v>3.6280238057177945</v>
      </c>
      <c r="FC50">
        <f t="shared" si="86"/>
        <v>1.7778214781596469</v>
      </c>
      <c r="FD50">
        <f t="shared" si="86"/>
        <v>3.5029827628063326</v>
      </c>
      <c r="FE50">
        <f t="shared" si="86"/>
        <v>4.1594172023126204</v>
      </c>
      <c r="FF50">
        <f t="shared" si="86"/>
        <v>2.2876335629497433</v>
      </c>
      <c r="FG50">
        <f t="shared" si="86"/>
        <v>3.1606034689206264</v>
      </c>
      <c r="FH50">
        <f t="shared" si="86"/>
        <v>2.3217871271669881</v>
      </c>
      <c r="FI50">
        <f t="shared" si="86"/>
        <v>2.4871837349191495</v>
      </c>
      <c r="FJ50" s="62">
        <f t="shared" si="83"/>
        <v>2.4871837349191495</v>
      </c>
    </row>
    <row r="51" spans="1:175" ht="15">
      <c r="A51" s="9" t="s">
        <v>248</v>
      </c>
      <c r="B51" s="160" t="s">
        <v>187</v>
      </c>
      <c r="C51">
        <f t="shared" ref="C51:BN51" si="87">LOG(C20)</f>
        <v>3.5020700214994278</v>
      </c>
      <c r="D51">
        <f t="shared" si="87"/>
        <v>2.4524104309188797</v>
      </c>
      <c r="E51">
        <f t="shared" si="87"/>
        <v>3.85200254290831</v>
      </c>
      <c r="F51">
        <f t="shared" si="87"/>
        <v>3.4542265624623445</v>
      </c>
      <c r="G51">
        <f t="shared" si="87"/>
        <v>2.370710986499732</v>
      </c>
      <c r="H51">
        <f t="shared" si="87"/>
        <v>2.7268135016318462</v>
      </c>
      <c r="I51">
        <f t="shared" si="87"/>
        <v>2.5142865077447949</v>
      </c>
      <c r="J51">
        <f t="shared" si="87"/>
        <v>4.407550197813193</v>
      </c>
      <c r="K51">
        <f t="shared" si="87"/>
        <v>4.1746863895796382</v>
      </c>
      <c r="L51">
        <f t="shared" si="87"/>
        <v>3.1111299830828707</v>
      </c>
      <c r="M51">
        <f t="shared" si="87"/>
        <v>1.5850125313508596</v>
      </c>
      <c r="N51">
        <f t="shared" si="87"/>
        <v>2.2203611848012099</v>
      </c>
      <c r="O51">
        <f t="shared" si="87"/>
        <v>1.4851744011141903</v>
      </c>
      <c r="P51">
        <f t="shared" si="87"/>
        <v>1.4677848443713317</v>
      </c>
      <c r="Q51">
        <f t="shared" si="87"/>
        <v>0</v>
      </c>
      <c r="R51">
        <f t="shared" si="87"/>
        <v>1.6027699817724061</v>
      </c>
      <c r="S51">
        <f t="shared" si="87"/>
        <v>2.4774861887022643</v>
      </c>
      <c r="T51">
        <f t="shared" si="87"/>
        <v>1.7223123234254685</v>
      </c>
      <c r="U51" s="48">
        <f t="shared" si="77"/>
        <v>2.464948309810572</v>
      </c>
      <c r="V51">
        <f t="shared" si="87"/>
        <v>5.0687713071165987</v>
      </c>
      <c r="W51">
        <f t="shared" si="87"/>
        <v>5.1408724946308979</v>
      </c>
      <c r="X51">
        <f t="shared" si="87"/>
        <v>5.0597010332263999</v>
      </c>
      <c r="Y51">
        <f t="shared" si="87"/>
        <v>2.4017466963880203</v>
      </c>
      <c r="Z51">
        <f t="shared" si="87"/>
        <v>3.6293007188301427</v>
      </c>
      <c r="AA51">
        <f t="shared" si="87"/>
        <v>5.8810421034313656</v>
      </c>
      <c r="AB51">
        <f t="shared" si="87"/>
        <v>4.2735307163750411</v>
      </c>
      <c r="AC51">
        <f t="shared" si="87"/>
        <v>5.251477027183773</v>
      </c>
      <c r="AD51">
        <f t="shared" si="87"/>
        <v>3.2921412179621665</v>
      </c>
      <c r="AE51">
        <f t="shared" si="87"/>
        <v>4.0556475779043684</v>
      </c>
      <c r="AF51">
        <f t="shared" si="87"/>
        <v>4.7019267603171517</v>
      </c>
      <c r="AG51">
        <f t="shared" si="87"/>
        <v>3.0965855239050031</v>
      </c>
      <c r="AH51">
        <f t="shared" si="87"/>
        <v>3.7758745515748968</v>
      </c>
      <c r="AI51">
        <f t="shared" si="87"/>
        <v>4.0970644608793672</v>
      </c>
      <c r="AJ51">
        <f t="shared" si="87"/>
        <v>3.7236039744848166</v>
      </c>
      <c r="AK51">
        <f t="shared" si="87"/>
        <v>2.8428174459175892</v>
      </c>
      <c r="AL51">
        <f t="shared" si="87"/>
        <v>2.2359928984469621</v>
      </c>
      <c r="AM51">
        <f t="shared" si="87"/>
        <v>3.9709715091200244</v>
      </c>
      <c r="AN51">
        <f t="shared" si="87"/>
        <v>3.7029683954139623</v>
      </c>
      <c r="AO51">
        <f t="shared" si="87"/>
        <v>2.2870327686827832</v>
      </c>
      <c r="AP51">
        <f t="shared" si="87"/>
        <v>2.931448135668925</v>
      </c>
      <c r="AQ51">
        <f t="shared" si="87"/>
        <v>3.1114152815976226</v>
      </c>
      <c r="AR51">
        <f t="shared" si="87"/>
        <v>3.3889286783421468</v>
      </c>
      <c r="AS51">
        <f t="shared" si="87"/>
        <v>4.054685030570111</v>
      </c>
      <c r="AT51">
        <f t="shared" si="87"/>
        <v>3.7953409066877244</v>
      </c>
      <c r="AU51" s="48">
        <f t="shared" si="78"/>
        <v>3.7758745515748968</v>
      </c>
      <c r="AV51">
        <f t="shared" si="87"/>
        <v>2.2529985152982612</v>
      </c>
      <c r="AW51">
        <f t="shared" si="87"/>
        <v>3.3333598751568689</v>
      </c>
      <c r="AX51">
        <f t="shared" si="87"/>
        <v>2.9648603922345664</v>
      </c>
      <c r="AY51">
        <f t="shared" si="87"/>
        <v>2.7844250368233419</v>
      </c>
      <c r="AZ51">
        <f t="shared" si="87"/>
        <v>2.5520504917014177</v>
      </c>
      <c r="BA51">
        <f t="shared" si="87"/>
        <v>3.4954880788924143</v>
      </c>
      <c r="BB51">
        <f t="shared" si="87"/>
        <v>4.9413193344678863</v>
      </c>
      <c r="BC51">
        <f t="shared" si="87"/>
        <v>4.8143745326840648</v>
      </c>
      <c r="BD51">
        <f t="shared" si="87"/>
        <v>3.7428008983466121</v>
      </c>
      <c r="BE51">
        <f t="shared" si="87"/>
        <v>3.3776151711191438</v>
      </c>
      <c r="BF51">
        <f t="shared" si="87"/>
        <v>3.7992092446988321</v>
      </c>
      <c r="BG51">
        <f t="shared" si="87"/>
        <v>4.2527576802166864</v>
      </c>
      <c r="BH51">
        <f t="shared" si="87"/>
        <v>4.3723301514489901</v>
      </c>
      <c r="BI51">
        <f t="shared" si="87"/>
        <v>4.071989584672135</v>
      </c>
      <c r="BJ51">
        <f t="shared" si="87"/>
        <v>5.9068680919148875</v>
      </c>
      <c r="BK51">
        <f t="shared" si="87"/>
        <v>5.5766400040544672</v>
      </c>
      <c r="BL51">
        <f t="shared" si="87"/>
        <v>4.8309070407313515</v>
      </c>
      <c r="BM51">
        <f t="shared" si="87"/>
        <v>4.5831056596874644</v>
      </c>
      <c r="BN51">
        <f t="shared" si="87"/>
        <v>3.7291855557803792</v>
      </c>
      <c r="BO51">
        <f t="shared" ref="BO51:DZ51" si="88">LOG(BO20)</f>
        <v>3.6269802334813259</v>
      </c>
      <c r="BP51">
        <f t="shared" si="88"/>
        <v>3.8243425832085611</v>
      </c>
      <c r="BQ51">
        <f t="shared" si="88"/>
        <v>3.577719776651676</v>
      </c>
      <c r="BR51">
        <f t="shared" si="88"/>
        <v>4.2450300527298657</v>
      </c>
      <c r="BS51">
        <f t="shared" si="88"/>
        <v>4.219496284880508</v>
      </c>
      <c r="BT51">
        <f t="shared" si="88"/>
        <v>3.998078407309233</v>
      </c>
      <c r="BU51">
        <f t="shared" si="88"/>
        <v>3.6898104172322101</v>
      </c>
      <c r="BV51">
        <f t="shared" si="88"/>
        <v>4.0827208596014044</v>
      </c>
      <c r="BW51">
        <f t="shared" si="88"/>
        <v>4.5370646863873461</v>
      </c>
      <c r="BX51">
        <f t="shared" si="88"/>
        <v>4.9387673439396851</v>
      </c>
      <c r="BY51">
        <f t="shared" si="88"/>
        <v>5.497266836071006</v>
      </c>
      <c r="BZ51">
        <f t="shared" si="88"/>
        <v>4.7342733854568042</v>
      </c>
      <c r="CA51">
        <f t="shared" si="88"/>
        <v>4.21985509658069</v>
      </c>
      <c r="CB51">
        <f t="shared" si="88"/>
        <v>4.0852588582519314</v>
      </c>
      <c r="CC51">
        <f t="shared" si="88"/>
        <v>3.9155737881706694</v>
      </c>
      <c r="CD51">
        <f t="shared" si="88"/>
        <v>4.6607729517186778</v>
      </c>
      <c r="CE51">
        <f t="shared" si="88"/>
        <v>4.6401925865690421</v>
      </c>
      <c r="CF51">
        <f t="shared" si="88"/>
        <v>4.5292849917719602</v>
      </c>
      <c r="CG51">
        <f t="shared" si="88"/>
        <v>2.7944806391431301</v>
      </c>
      <c r="CH51">
        <f t="shared" si="88"/>
        <v>1.8195753269597434</v>
      </c>
      <c r="CI51">
        <f t="shared" si="88"/>
        <v>2.134522864174079</v>
      </c>
      <c r="CJ51">
        <f t="shared" si="88"/>
        <v>2.370072082102777</v>
      </c>
      <c r="CK51">
        <f t="shared" si="88"/>
        <v>3.1697543267749864</v>
      </c>
      <c r="CL51">
        <f t="shared" si="88"/>
        <v>2.4395036125069303</v>
      </c>
      <c r="CM51">
        <f t="shared" si="88"/>
        <v>3.1108335555997022</v>
      </c>
      <c r="CN51">
        <f t="shared" si="88"/>
        <v>1.8788478627490079</v>
      </c>
      <c r="CO51">
        <f t="shared" si="88"/>
        <v>1.7604194253360053</v>
      </c>
      <c r="CP51" s="48">
        <f t="shared" si="80"/>
        <v>3.8699581856896152</v>
      </c>
      <c r="CQ51">
        <f t="shared" si="88"/>
        <v>2.4679485939422605</v>
      </c>
      <c r="CR51">
        <f t="shared" si="88"/>
        <v>2.387808680942701</v>
      </c>
      <c r="CS51">
        <f t="shared" si="88"/>
        <v>1.704522133792554</v>
      </c>
      <c r="CT51">
        <f t="shared" si="88"/>
        <v>1.7750143861950676</v>
      </c>
      <c r="CU51">
        <f t="shared" si="88"/>
        <v>1.1675715069486312</v>
      </c>
      <c r="CV51">
        <f t="shared" si="88"/>
        <v>1.3665178756521936</v>
      </c>
      <c r="CW51">
        <f t="shared" si="88"/>
        <v>3.4185909627120008</v>
      </c>
      <c r="CX51">
        <f t="shared" si="88"/>
        <v>3.9305367649754364</v>
      </c>
      <c r="CY51">
        <f t="shared" si="88"/>
        <v>2.5201899796897971</v>
      </c>
      <c r="CZ51">
        <f t="shared" si="88"/>
        <v>2.8457815069492711</v>
      </c>
      <c r="DA51">
        <f t="shared" si="88"/>
        <v>3.2168608573748396</v>
      </c>
      <c r="DB51">
        <f t="shared" si="88"/>
        <v>3.8142353253712566</v>
      </c>
      <c r="DC51">
        <f t="shared" si="88"/>
        <v>2.5703344693764572</v>
      </c>
      <c r="DD51">
        <f t="shared" si="88"/>
        <v>2.9842118347829736</v>
      </c>
      <c r="DE51">
        <f t="shared" si="88"/>
        <v>4.0555813600263866</v>
      </c>
      <c r="DF51">
        <f t="shared" si="88"/>
        <v>4.2134624730252312</v>
      </c>
      <c r="DG51">
        <f t="shared" si="88"/>
        <v>3.0898881712685986</v>
      </c>
      <c r="DH51">
        <f t="shared" si="88"/>
        <v>1.7034716518774442</v>
      </c>
      <c r="DI51">
        <f t="shared" si="88"/>
        <v>1.7027230956324617</v>
      </c>
      <c r="DJ51">
        <f t="shared" si="88"/>
        <v>2.5789866605176957</v>
      </c>
      <c r="DK51">
        <f t="shared" si="88"/>
        <v>3.0525814130837792</v>
      </c>
      <c r="DL51">
        <f t="shared" si="88"/>
        <v>3.2036126343091489</v>
      </c>
      <c r="DM51">
        <f t="shared" si="88"/>
        <v>3.3707570403518106</v>
      </c>
      <c r="DN51">
        <f t="shared" si="88"/>
        <v>3.0841767538807519</v>
      </c>
      <c r="DO51">
        <f t="shared" si="88"/>
        <v>3.9928399653803934</v>
      </c>
      <c r="DP51">
        <f t="shared" si="88"/>
        <v>4.1549828613400095</v>
      </c>
      <c r="DQ51">
        <f t="shared" si="88"/>
        <v>3.75487423846051</v>
      </c>
      <c r="DR51">
        <f t="shared" si="88"/>
        <v>3.5930913671744857</v>
      </c>
      <c r="DS51">
        <f t="shared" si="88"/>
        <v>2.7247520049284217</v>
      </c>
      <c r="DT51">
        <f t="shared" si="88"/>
        <v>1.8596034575802096</v>
      </c>
      <c r="DU51">
        <f t="shared" si="88"/>
        <v>3.2814336756612223</v>
      </c>
      <c r="DV51">
        <f t="shared" si="88"/>
        <v>2.1799636421672401</v>
      </c>
      <c r="DW51">
        <f t="shared" si="88"/>
        <v>1.5043288386065217</v>
      </c>
      <c r="DX51">
        <f t="shared" si="88"/>
        <v>2.5691006987523872</v>
      </c>
      <c r="DY51">
        <f t="shared" si="88"/>
        <v>2.9553391332643457</v>
      </c>
      <c r="DZ51">
        <f t="shared" si="88"/>
        <v>2.9858763577257803</v>
      </c>
      <c r="EA51">
        <f t="shared" ref="EA51:FI51" si="89">LOG(EA20)</f>
        <v>2.3737715123520844</v>
      </c>
      <c r="EB51">
        <f t="shared" si="89"/>
        <v>1.971074847519076</v>
      </c>
      <c r="EC51">
        <f t="shared" si="89"/>
        <v>2.9597671585260037</v>
      </c>
      <c r="ED51">
        <f t="shared" si="89"/>
        <v>3.4641122123294665</v>
      </c>
      <c r="EE51">
        <f t="shared" si="89"/>
        <v>3.1478297320309787</v>
      </c>
      <c r="EF51">
        <f t="shared" si="89"/>
        <v>3.4338850034288542</v>
      </c>
      <c r="EG51">
        <f t="shared" si="89"/>
        <v>3.216409297935753</v>
      </c>
      <c r="EH51">
        <f t="shared" si="89"/>
        <v>3.0563952322798378</v>
      </c>
      <c r="EI51">
        <f t="shared" si="89"/>
        <v>2.2619031171333481</v>
      </c>
      <c r="EJ51">
        <f t="shared" si="89"/>
        <v>2.3360099289582608</v>
      </c>
      <c r="EK51">
        <f t="shared" si="89"/>
        <v>2.4605073881488275</v>
      </c>
      <c r="EL51">
        <f t="shared" si="89"/>
        <v>1.6812540967428684</v>
      </c>
      <c r="EM51">
        <f t="shared" si="89"/>
        <v>2.4841851055338711</v>
      </c>
      <c r="EN51">
        <f t="shared" si="89"/>
        <v>2.1987982846843845</v>
      </c>
      <c r="EO51">
        <f t="shared" si="89"/>
        <v>2.2718721496732428</v>
      </c>
      <c r="EP51" s="48">
        <f t="shared" si="82"/>
        <v>2.8457815069492711</v>
      </c>
      <c r="EQ51">
        <f t="shared" si="89"/>
        <v>3.1908815630749059</v>
      </c>
      <c r="ER51">
        <f t="shared" si="89"/>
        <v>4.2483202998977969</v>
      </c>
      <c r="ES51">
        <f t="shared" si="89"/>
        <v>3.5906986470389284</v>
      </c>
      <c r="ET51">
        <f t="shared" si="89"/>
        <v>2.1244286434758921</v>
      </c>
      <c r="EU51">
        <f t="shared" si="89"/>
        <v>2.6374082028674342</v>
      </c>
      <c r="EV51">
        <f t="shared" si="89"/>
        <v>2.0981380108784657</v>
      </c>
      <c r="EW51">
        <f t="shared" si="89"/>
        <v>2.4935576695943142</v>
      </c>
      <c r="EX51">
        <f t="shared" si="89"/>
        <v>3.3418828227744193</v>
      </c>
      <c r="EY51">
        <f t="shared" si="89"/>
        <v>3.7409182427394896</v>
      </c>
      <c r="EZ51">
        <f t="shared" si="89"/>
        <v>3.2392080411951412</v>
      </c>
      <c r="FA51">
        <f t="shared" si="89"/>
        <v>2.2410766898275174</v>
      </c>
      <c r="FB51">
        <f t="shared" si="89"/>
        <v>3.3788872798805158</v>
      </c>
      <c r="FC51">
        <f t="shared" si="89"/>
        <v>2.1845960294686755</v>
      </c>
      <c r="FD51">
        <f t="shared" si="89"/>
        <v>3.3869606836444004</v>
      </c>
      <c r="FE51">
        <f t="shared" si="89"/>
        <v>3.9305367649754364</v>
      </c>
      <c r="FF51">
        <f t="shared" si="89"/>
        <v>3.2198404620246666</v>
      </c>
      <c r="FG51">
        <f t="shared" si="89"/>
        <v>2.8295186038067714</v>
      </c>
      <c r="FH51">
        <f t="shared" si="89"/>
        <v>1.940207226396268</v>
      </c>
      <c r="FI51">
        <f t="shared" si="89"/>
        <v>2.2474845380444508</v>
      </c>
      <c r="FJ51" s="62">
        <f t="shared" si="83"/>
        <v>3.1908815630749059</v>
      </c>
    </row>
    <row r="52" spans="1:175" ht="15">
      <c r="A52" s="9" t="s">
        <v>245</v>
      </c>
      <c r="B52" s="160" t="s">
        <v>187</v>
      </c>
      <c r="C52">
        <f t="shared" ref="C52:BN52" si="90">LOG(C21)</f>
        <v>2.7029733949494856</v>
      </c>
      <c r="D52">
        <f t="shared" si="90"/>
        <v>2.1705408644385167</v>
      </c>
      <c r="E52">
        <f t="shared" si="90"/>
        <v>3.498363243508551</v>
      </c>
      <c r="F52">
        <f t="shared" si="90"/>
        <v>3.3975316249880998</v>
      </c>
      <c r="G52">
        <f t="shared" si="90"/>
        <v>2.2991359515728158</v>
      </c>
      <c r="H52">
        <f t="shared" si="90"/>
        <v>2.4714007258150548</v>
      </c>
      <c r="I52">
        <f t="shared" si="90"/>
        <v>2.5454384438987612</v>
      </c>
      <c r="J52">
        <f t="shared" si="90"/>
        <v>4.0461989081670211</v>
      </c>
      <c r="K52">
        <f t="shared" si="90"/>
        <v>3.6587635358681987</v>
      </c>
      <c r="L52">
        <f t="shared" si="90"/>
        <v>2.4668940361113045</v>
      </c>
      <c r="M52">
        <f t="shared" si="90"/>
        <v>1.8822935928579247</v>
      </c>
      <c r="N52">
        <f t="shared" si="90"/>
        <v>2.3016659396880459</v>
      </c>
      <c r="O52">
        <f t="shared" si="90"/>
        <v>0</v>
      </c>
      <c r="P52">
        <f t="shared" si="90"/>
        <v>1.4718897035640985</v>
      </c>
      <c r="Q52">
        <f t="shared" si="90"/>
        <v>1.8816228557417018</v>
      </c>
      <c r="R52">
        <f t="shared" si="90"/>
        <v>1.475435742825663</v>
      </c>
      <c r="S52">
        <f t="shared" si="90"/>
        <v>2.106288577923991</v>
      </c>
      <c r="T52">
        <f t="shared" si="90"/>
        <v>2.5536947785287141</v>
      </c>
      <c r="U52" s="48">
        <f t="shared" si="77"/>
        <v>2.3842799878996752</v>
      </c>
      <c r="V52">
        <f t="shared" si="90"/>
        <v>5.0583367820691789</v>
      </c>
      <c r="W52">
        <f t="shared" si="90"/>
        <v>5.0609186212514556</v>
      </c>
      <c r="X52">
        <f t="shared" si="90"/>
        <v>5.035650468320128</v>
      </c>
      <c r="Y52">
        <f t="shared" si="90"/>
        <v>2.5995021524357078</v>
      </c>
      <c r="Z52">
        <f t="shared" si="90"/>
        <v>3.6094023696799331</v>
      </c>
      <c r="AA52">
        <f t="shared" si="90"/>
        <v>5.7609759660698368</v>
      </c>
      <c r="AB52">
        <f t="shared" si="90"/>
        <v>4.2233167927888839</v>
      </c>
      <c r="AC52">
        <f t="shared" si="90"/>
        <v>5.2199674881675548</v>
      </c>
      <c r="AD52">
        <f t="shared" si="90"/>
        <v>3.4399663463444803</v>
      </c>
      <c r="AE52">
        <f t="shared" si="90"/>
        <v>4.3133923878435345</v>
      </c>
      <c r="AF52">
        <f t="shared" si="90"/>
        <v>4.6608631741824231</v>
      </c>
      <c r="AG52">
        <f t="shared" si="90"/>
        <v>3.2518519817662233</v>
      </c>
      <c r="AH52">
        <f t="shared" si="90"/>
        <v>3.651032642926388</v>
      </c>
      <c r="AI52">
        <f t="shared" si="90"/>
        <v>4.2365971136933203</v>
      </c>
      <c r="AJ52">
        <f t="shared" si="90"/>
        <v>3.5084543487867985</v>
      </c>
      <c r="AK52">
        <f t="shared" si="90"/>
        <v>2.7122464013043048</v>
      </c>
      <c r="AL52">
        <f t="shared" si="90"/>
        <v>2.8522058541268729</v>
      </c>
      <c r="AM52">
        <f t="shared" si="90"/>
        <v>4.1668165997702999</v>
      </c>
      <c r="AN52">
        <f t="shared" si="90"/>
        <v>3.9683060773351633</v>
      </c>
      <c r="AO52">
        <f t="shared" si="90"/>
        <v>2.6655161189750727</v>
      </c>
      <c r="AP52">
        <f t="shared" si="90"/>
        <v>2.8842000085752497</v>
      </c>
      <c r="AQ52">
        <f t="shared" si="90"/>
        <v>2.7618853975673137</v>
      </c>
      <c r="AR52">
        <f t="shared" si="90"/>
        <v>3.3276780911751915</v>
      </c>
      <c r="AS52">
        <f t="shared" si="90"/>
        <v>4.232077080278013</v>
      </c>
      <c r="AT52">
        <f t="shared" si="90"/>
        <v>3.5244003991370363</v>
      </c>
      <c r="AU52" s="48">
        <f t="shared" si="78"/>
        <v>3.651032642926388</v>
      </c>
      <c r="AV52">
        <f t="shared" si="90"/>
        <v>2.0653524154418204</v>
      </c>
      <c r="AW52">
        <f t="shared" si="90"/>
        <v>3.5601243997470586</v>
      </c>
      <c r="AX52">
        <f t="shared" si="90"/>
        <v>2.906312473510023</v>
      </c>
      <c r="AY52">
        <f t="shared" si="90"/>
        <v>2.5578373020490757</v>
      </c>
      <c r="AZ52">
        <f t="shared" si="90"/>
        <v>2.4857311329126515</v>
      </c>
      <c r="BA52">
        <f t="shared" si="90"/>
        <v>3.7553990028346882</v>
      </c>
      <c r="BB52">
        <f t="shared" si="90"/>
        <v>5.0502744349198734</v>
      </c>
      <c r="BC52">
        <f t="shared" si="90"/>
        <v>4.7899005674288198</v>
      </c>
      <c r="BD52">
        <f t="shared" si="90"/>
        <v>3.7701537073533502</v>
      </c>
      <c r="BE52">
        <f t="shared" si="90"/>
        <v>3.5758214976700478</v>
      </c>
      <c r="BF52">
        <f t="shared" si="90"/>
        <v>4.1260811064571365</v>
      </c>
      <c r="BG52">
        <f t="shared" si="90"/>
        <v>4.0080995290145793</v>
      </c>
      <c r="BH52">
        <f t="shared" si="90"/>
        <v>4.1511806816792562</v>
      </c>
      <c r="BI52">
        <f t="shared" si="90"/>
        <v>3.9722694649571988</v>
      </c>
      <c r="BJ52">
        <f t="shared" si="90"/>
        <v>5.8289740298311177</v>
      </c>
      <c r="BK52">
        <f t="shared" si="90"/>
        <v>5.5429985276120624</v>
      </c>
      <c r="BL52">
        <f t="shared" si="90"/>
        <v>4.8910512824203565</v>
      </c>
      <c r="BM52">
        <f t="shared" si="90"/>
        <v>4.6856186705993688</v>
      </c>
      <c r="BN52">
        <f t="shared" si="90"/>
        <v>3.6950693356651816</v>
      </c>
      <c r="BO52">
        <f t="shared" ref="BO52:DZ52" si="91">LOG(BO21)</f>
        <v>3.7256986859779557</v>
      </c>
      <c r="BP52">
        <f t="shared" si="91"/>
        <v>3.8560596088543262</v>
      </c>
      <c r="BQ52">
        <f t="shared" si="91"/>
        <v>3.7165827578370201</v>
      </c>
      <c r="BR52">
        <f t="shared" si="91"/>
        <v>4.2250202031498505</v>
      </c>
      <c r="BS52">
        <f t="shared" si="91"/>
        <v>4.2179195216600744</v>
      </c>
      <c r="BT52">
        <f t="shared" si="91"/>
        <v>4.2179545956860167</v>
      </c>
      <c r="BU52">
        <f t="shared" si="91"/>
        <v>3.6729909720973444</v>
      </c>
      <c r="BV52">
        <f t="shared" si="91"/>
        <v>4.2045873066576833</v>
      </c>
      <c r="BW52">
        <f t="shared" si="91"/>
        <v>4.5835577037739883</v>
      </c>
      <c r="BX52">
        <f t="shared" si="91"/>
        <v>5.0150900866400763</v>
      </c>
      <c r="BY52">
        <f t="shared" si="91"/>
        <v>5.5427188195088695</v>
      </c>
      <c r="BZ52">
        <f t="shared" si="91"/>
        <v>4.8481272362410017</v>
      </c>
      <c r="CA52">
        <f t="shared" si="91"/>
        <v>4.3430779786262814</v>
      </c>
      <c r="CB52">
        <f t="shared" si="91"/>
        <v>4.0418544520099422</v>
      </c>
      <c r="CC52">
        <f t="shared" si="91"/>
        <v>3.9748961768527744</v>
      </c>
      <c r="CD52">
        <f t="shared" si="91"/>
        <v>4.6910975715415937</v>
      </c>
      <c r="CE52">
        <f t="shared" si="91"/>
        <v>4.7334872529501375</v>
      </c>
      <c r="CF52">
        <f t="shared" si="91"/>
        <v>4.6343073899460254</v>
      </c>
      <c r="CG52">
        <f t="shared" si="91"/>
        <v>2.2568010117351167</v>
      </c>
      <c r="CH52">
        <f t="shared" si="91"/>
        <v>2.1153736411660127</v>
      </c>
      <c r="CI52">
        <f t="shared" si="91"/>
        <v>2.2242306459721868</v>
      </c>
      <c r="CJ52">
        <f t="shared" si="91"/>
        <v>2.7070032681879663</v>
      </c>
      <c r="CK52">
        <f t="shared" si="91"/>
        <v>3.2687288738887417</v>
      </c>
      <c r="CL52">
        <f t="shared" si="91"/>
        <v>2.128583156032362</v>
      </c>
      <c r="CM52">
        <f t="shared" si="91"/>
        <v>2.6937618748092325</v>
      </c>
      <c r="CN52">
        <f t="shared" si="91"/>
        <v>2.4773284314206476</v>
      </c>
      <c r="CO52">
        <f t="shared" si="91"/>
        <v>1.9344942309706816</v>
      </c>
      <c r="CP52" s="48">
        <f t="shared" si="80"/>
        <v>3.9735828209049866</v>
      </c>
      <c r="CQ52">
        <f t="shared" si="91"/>
        <v>2.2442218665541409</v>
      </c>
      <c r="CR52">
        <f t="shared" si="91"/>
        <v>2.3278898132086221</v>
      </c>
      <c r="CS52">
        <f t="shared" si="91"/>
        <v>2.4118754775200024</v>
      </c>
      <c r="CT52">
        <f t="shared" si="91"/>
        <v>2.6038751753123113</v>
      </c>
      <c r="CU52">
        <f t="shared" si="91"/>
        <v>1.5361186611129725</v>
      </c>
      <c r="CV52">
        <f t="shared" si="91"/>
        <v>1.6874229809475196</v>
      </c>
      <c r="CW52">
        <f t="shared" si="91"/>
        <v>3.5718353512943839</v>
      </c>
      <c r="CX52">
        <f t="shared" si="91"/>
        <v>3.8996793433774117</v>
      </c>
      <c r="CY52">
        <f t="shared" si="91"/>
        <v>2.4935828471293164</v>
      </c>
      <c r="CZ52">
        <f t="shared" si="91"/>
        <v>2.9121914145910397</v>
      </c>
      <c r="DA52">
        <f t="shared" si="91"/>
        <v>2.2014745777735492</v>
      </c>
      <c r="DB52">
        <f t="shared" si="91"/>
        <v>3.5457952916844606</v>
      </c>
      <c r="DC52">
        <f t="shared" si="91"/>
        <v>1.9167927194340268</v>
      </c>
      <c r="DD52">
        <f t="shared" si="91"/>
        <v>3.0399818524417777</v>
      </c>
      <c r="DE52">
        <f t="shared" si="91"/>
        <v>4.1277149470295713</v>
      </c>
      <c r="DF52">
        <f t="shared" si="91"/>
        <v>4.1747355846444387</v>
      </c>
      <c r="DG52">
        <f t="shared" si="91"/>
        <v>2.250782772892594</v>
      </c>
      <c r="DH52">
        <f t="shared" si="91"/>
        <v>1.9338076432154585</v>
      </c>
      <c r="DI52">
        <f t="shared" si="91"/>
        <v>2.3112272334042583</v>
      </c>
      <c r="DJ52">
        <f t="shared" si="91"/>
        <v>2.451028782575801</v>
      </c>
      <c r="DK52">
        <f t="shared" si="91"/>
        <v>2.7901567338301043</v>
      </c>
      <c r="DL52">
        <f t="shared" si="91"/>
        <v>2.8760515086018117</v>
      </c>
      <c r="DM52">
        <f t="shared" si="91"/>
        <v>3.2772130378660358</v>
      </c>
      <c r="DN52">
        <f t="shared" si="91"/>
        <v>2.9928760396081637</v>
      </c>
      <c r="DO52">
        <f t="shared" si="91"/>
        <v>4.0004274550253855</v>
      </c>
      <c r="DP52">
        <f t="shared" si="91"/>
        <v>4.054634645191852</v>
      </c>
      <c r="DQ52">
        <f t="shared" si="91"/>
        <v>3.8103135673417392</v>
      </c>
      <c r="DR52">
        <f t="shared" si="91"/>
        <v>3.6282458502228101</v>
      </c>
      <c r="DS52">
        <f t="shared" si="91"/>
        <v>2.5199977201885577</v>
      </c>
      <c r="DT52">
        <f t="shared" si="91"/>
        <v>1.5954598053387155</v>
      </c>
      <c r="DU52">
        <f t="shared" si="91"/>
        <v>2.9894823717872638</v>
      </c>
      <c r="DV52">
        <f t="shared" si="91"/>
        <v>2.1568767786697762</v>
      </c>
      <c r="DW52">
        <f t="shared" si="91"/>
        <v>2.2522896529178844</v>
      </c>
      <c r="DX52">
        <f t="shared" si="91"/>
        <v>2.4741825420957531</v>
      </c>
      <c r="DY52">
        <f t="shared" si="91"/>
        <v>3.0257500018125203</v>
      </c>
      <c r="DZ52">
        <f t="shared" si="91"/>
        <v>2.9815354787479706</v>
      </c>
      <c r="EA52">
        <f t="shared" ref="EA52:FI52" si="92">LOG(EA21)</f>
        <v>2.6698222967254006</v>
      </c>
      <c r="EB52">
        <f t="shared" si="92"/>
        <v>1.6178930590585716</v>
      </c>
      <c r="EC52">
        <f t="shared" si="92"/>
        <v>3.099390418104377</v>
      </c>
      <c r="ED52">
        <f t="shared" si="92"/>
        <v>3.5758818012560525</v>
      </c>
      <c r="EE52">
        <f t="shared" si="92"/>
        <v>3.3156677330116038</v>
      </c>
      <c r="EF52">
        <f t="shared" si="92"/>
        <v>3.4642034019262242</v>
      </c>
      <c r="EG52">
        <f t="shared" si="92"/>
        <v>3.3174280962813691</v>
      </c>
      <c r="EH52">
        <f t="shared" si="92"/>
        <v>2.8744614576264973</v>
      </c>
      <c r="EI52">
        <f t="shared" si="92"/>
        <v>2.1320653669955449</v>
      </c>
      <c r="EJ52">
        <f t="shared" si="92"/>
        <v>1.9350319327483636</v>
      </c>
      <c r="EK52">
        <f t="shared" si="92"/>
        <v>2.5651697613734283</v>
      </c>
      <c r="EL52">
        <f t="shared" si="92"/>
        <v>2.0302022544886236</v>
      </c>
      <c r="EM52">
        <f t="shared" si="92"/>
        <v>2.7188543623518808</v>
      </c>
      <c r="EN52">
        <f t="shared" si="92"/>
        <v>2.6802968994175385</v>
      </c>
      <c r="EO52">
        <f t="shared" si="92"/>
        <v>2.3607430294066982</v>
      </c>
      <c r="EP52" s="48">
        <f t="shared" si="82"/>
        <v>2.6802968994175385</v>
      </c>
      <c r="EQ52">
        <f t="shared" si="92"/>
        <v>3.0892219036596988</v>
      </c>
      <c r="ER52">
        <f t="shared" si="92"/>
        <v>4.2908311786771689</v>
      </c>
      <c r="ES52">
        <f t="shared" si="92"/>
        <v>3.5705112191985839</v>
      </c>
      <c r="ET52">
        <f t="shared" si="92"/>
        <v>2.1192894191797356</v>
      </c>
      <c r="EU52">
        <f t="shared" si="92"/>
        <v>2.7507424067126527</v>
      </c>
      <c r="EV52">
        <f t="shared" si="92"/>
        <v>2.1535163133821245</v>
      </c>
      <c r="EW52">
        <f t="shared" si="92"/>
        <v>2.2759194351332774</v>
      </c>
      <c r="EX52">
        <f t="shared" si="92"/>
        <v>3.2506084583329344</v>
      </c>
      <c r="EY52">
        <f t="shared" si="92"/>
        <v>3.8330719214527789</v>
      </c>
      <c r="EZ52">
        <f t="shared" si="92"/>
        <v>3.4834413506200361</v>
      </c>
      <c r="FA52">
        <f t="shared" si="92"/>
        <v>2.4821059184066474</v>
      </c>
      <c r="FB52">
        <f t="shared" si="92"/>
        <v>3.4320152337865744</v>
      </c>
      <c r="FC52">
        <f t="shared" si="92"/>
        <v>2.3235296606751983</v>
      </c>
      <c r="FD52">
        <f t="shared" si="92"/>
        <v>3.4201666639298409</v>
      </c>
      <c r="FE52">
        <f t="shared" si="92"/>
        <v>3.8996793433774117</v>
      </c>
      <c r="FF52">
        <f t="shared" si="92"/>
        <v>2.9945265437076389</v>
      </c>
      <c r="FG52">
        <f t="shared" si="92"/>
        <v>2.9518520278682412</v>
      </c>
      <c r="FH52">
        <f t="shared" si="92"/>
        <v>2.0775974255352883</v>
      </c>
      <c r="FI52">
        <f t="shared" si="92"/>
        <v>2.3275333243231957</v>
      </c>
      <c r="FJ52" s="62">
        <f t="shared" si="83"/>
        <v>2.9945265437076389</v>
      </c>
    </row>
    <row r="53" spans="1:175" ht="15">
      <c r="A53" s="32"/>
      <c r="B53" s="20" t="s">
        <v>172</v>
      </c>
      <c r="C53" s="173">
        <f>AVERAGE(C48:C52)</f>
        <v>3.0454145936079171</v>
      </c>
      <c r="D53" s="173">
        <f t="shared" ref="D53:BQ53" si="93">AVERAGE(D48:D52)</f>
        <v>2.1841258338824892</v>
      </c>
      <c r="E53" s="173">
        <f t="shared" si="93"/>
        <v>3.5842776537222178</v>
      </c>
      <c r="F53" s="173">
        <f t="shared" si="93"/>
        <v>3.3988888980754459</v>
      </c>
      <c r="G53" s="173">
        <f t="shared" si="93"/>
        <v>2.2573134714941885</v>
      </c>
      <c r="H53" s="173">
        <f t="shared" si="93"/>
        <v>2.5169004585594514</v>
      </c>
      <c r="I53" s="173">
        <f t="shared" si="93"/>
        <v>2.5417296210749312</v>
      </c>
      <c r="J53" s="173">
        <f t="shared" si="93"/>
        <v>4.0484790949091636</v>
      </c>
      <c r="K53" s="173">
        <f t="shared" si="93"/>
        <v>3.7342895073783176</v>
      </c>
      <c r="L53" s="173">
        <f t="shared" si="93"/>
        <v>2.6266164032997321</v>
      </c>
      <c r="M53" s="173">
        <f t="shared" si="93"/>
        <v>1.8305511765487723</v>
      </c>
      <c r="N53" s="173">
        <f t="shared" si="93"/>
        <v>1.8151569043695432</v>
      </c>
      <c r="O53" s="173">
        <f t="shared" si="93"/>
        <v>0.94886881269796464</v>
      </c>
      <c r="P53" s="173">
        <f t="shared" si="93"/>
        <v>1.556912644592918</v>
      </c>
      <c r="Q53" s="173">
        <f t="shared" si="93"/>
        <v>0.68897887763050358</v>
      </c>
      <c r="R53" s="173">
        <f t="shared" si="93"/>
        <v>1.611621884054975</v>
      </c>
      <c r="S53" s="173">
        <f t="shared" si="93"/>
        <v>1.9642584545620896</v>
      </c>
      <c r="T53" s="173">
        <f t="shared" si="93"/>
        <v>2.2587507078696896</v>
      </c>
      <c r="U53" s="53"/>
      <c r="V53" s="173">
        <f t="shared" si="93"/>
        <v>5.0028664003091512</v>
      </c>
      <c r="W53" s="173">
        <f t="shared" si="93"/>
        <v>5.1209304964433127</v>
      </c>
      <c r="X53" s="173">
        <f t="shared" si="93"/>
        <v>5.1809121546641652</v>
      </c>
      <c r="Y53" s="173">
        <f t="shared" si="93"/>
        <v>2.4390184213328618</v>
      </c>
      <c r="Z53" s="173">
        <f t="shared" si="93"/>
        <v>3.6163308843062865</v>
      </c>
      <c r="AA53" s="173">
        <f t="shared" si="93"/>
        <v>5.9327959558842327</v>
      </c>
      <c r="AB53" s="173">
        <f t="shared" si="93"/>
        <v>4.253770637829656</v>
      </c>
      <c r="AC53" s="173">
        <f t="shared" si="93"/>
        <v>5.1413080440971068</v>
      </c>
      <c r="AD53" s="173">
        <f t="shared" si="93"/>
        <v>3.6410833655588517</v>
      </c>
      <c r="AE53" s="173">
        <f t="shared" si="93"/>
        <v>4.3727034168986876</v>
      </c>
      <c r="AF53" s="173">
        <f t="shared" si="93"/>
        <v>4.7926478760374822</v>
      </c>
      <c r="AG53" s="173">
        <f t="shared" si="93"/>
        <v>3.1448393369339982</v>
      </c>
      <c r="AH53" s="173">
        <f t="shared" si="93"/>
        <v>3.7031109469370187</v>
      </c>
      <c r="AI53" s="173">
        <f t="shared" si="93"/>
        <v>4.1135030612909347</v>
      </c>
      <c r="AJ53" s="173">
        <f t="shared" si="93"/>
        <v>3.5481390136566811</v>
      </c>
      <c r="AK53" s="173">
        <f t="shared" si="93"/>
        <v>2.7929397695941161</v>
      </c>
      <c r="AL53" s="173">
        <f t="shared" si="93"/>
        <v>2.5600015183514082</v>
      </c>
      <c r="AM53" s="173">
        <f t="shared" si="93"/>
        <v>3.9753627843658697</v>
      </c>
      <c r="AN53" s="173">
        <f t="shared" si="93"/>
        <v>3.9549120411264349</v>
      </c>
      <c r="AO53" s="173">
        <f t="shared" si="93"/>
        <v>2.3343156604962063</v>
      </c>
      <c r="AP53" s="173">
        <f t="shared" si="93"/>
        <v>3.0523227835856033</v>
      </c>
      <c r="AQ53" s="173">
        <f t="shared" si="93"/>
        <v>3.0189567828670105</v>
      </c>
      <c r="AR53" s="173">
        <f t="shared" si="93"/>
        <v>3.3929798944388536</v>
      </c>
      <c r="AS53" s="173">
        <f t="shared" si="93"/>
        <v>4.1788750785764481</v>
      </c>
      <c r="AT53" s="173">
        <f t="shared" si="93"/>
        <v>3.490839128433838</v>
      </c>
      <c r="AU53" s="53"/>
      <c r="AV53" s="173">
        <f t="shared" si="93"/>
        <v>1.942594708683052</v>
      </c>
      <c r="AW53" s="173">
        <f t="shared" si="93"/>
        <v>3.5103617816051269</v>
      </c>
      <c r="AX53" s="173">
        <f t="shared" si="93"/>
        <v>2.9628905703140207</v>
      </c>
      <c r="AY53" s="173">
        <f t="shared" si="93"/>
        <v>2.6017075946063328</v>
      </c>
      <c r="AZ53" s="173">
        <f t="shared" si="93"/>
        <v>2.3383984619540614</v>
      </c>
      <c r="BA53" s="173">
        <f t="shared" si="93"/>
        <v>3.6519479701312334</v>
      </c>
      <c r="BB53" s="173">
        <f t="shared" si="93"/>
        <v>5.0456312714910379</v>
      </c>
      <c r="BC53" s="173">
        <f t="shared" si="93"/>
        <v>4.7592344500666135</v>
      </c>
      <c r="BD53" s="173">
        <f t="shared" si="93"/>
        <v>3.6253040010958784</v>
      </c>
      <c r="BE53" s="173">
        <f t="shared" si="93"/>
        <v>3.4723053260620418</v>
      </c>
      <c r="BF53" s="173">
        <f t="shared" si="93"/>
        <v>4.0009320438832692</v>
      </c>
      <c r="BG53" s="173">
        <f t="shared" si="93"/>
        <v>4.0636356594856418</v>
      </c>
      <c r="BH53" s="173">
        <f t="shared" si="93"/>
        <v>4.1499219001715817</v>
      </c>
      <c r="BI53" s="173">
        <f t="shared" si="93"/>
        <v>3.934787042751732</v>
      </c>
      <c r="BJ53" s="173">
        <f t="shared" si="93"/>
        <v>5.7253822441238302</v>
      </c>
      <c r="BK53" s="173">
        <f t="shared" si="93"/>
        <v>5.5036828235199851</v>
      </c>
      <c r="BL53" s="173">
        <f t="shared" si="93"/>
        <v>4.8131200090829722</v>
      </c>
      <c r="BM53" s="173">
        <f t="shared" si="93"/>
        <v>4.6077308947190385</v>
      </c>
      <c r="BN53" s="173">
        <f t="shared" si="93"/>
        <v>3.6772799820179678</v>
      </c>
      <c r="BO53" s="173">
        <f t="shared" si="93"/>
        <v>3.7618670743461662</v>
      </c>
      <c r="BP53" s="173">
        <f t="shared" si="93"/>
        <v>3.7587067426472442</v>
      </c>
      <c r="BQ53" s="173">
        <f t="shared" si="93"/>
        <v>3.5369983350431204</v>
      </c>
      <c r="BR53" s="173">
        <f t="shared" ref="BR53:ED53" si="94">AVERAGE(BR48:BR52)</f>
        <v>4.1607171650531072</v>
      </c>
      <c r="BS53" s="173">
        <f t="shared" si="94"/>
        <v>4.1864673153525178</v>
      </c>
      <c r="BT53" s="173">
        <f t="shared" si="94"/>
        <v>4.0296380704156229</v>
      </c>
      <c r="BU53" s="173">
        <f t="shared" si="94"/>
        <v>3.6864292855900329</v>
      </c>
      <c r="BV53" s="173">
        <f t="shared" si="94"/>
        <v>4.2718807969739272</v>
      </c>
      <c r="BW53" s="173">
        <f t="shared" si="94"/>
        <v>4.5706681167620165</v>
      </c>
      <c r="BX53" s="173">
        <f t="shared" si="94"/>
        <v>4.9595766903602438</v>
      </c>
      <c r="BY53" s="173">
        <f t="shared" si="94"/>
        <v>5.477254351476665</v>
      </c>
      <c r="BZ53" s="173">
        <f t="shared" si="94"/>
        <v>4.8131980096542479</v>
      </c>
      <c r="CA53" s="173">
        <f t="shared" si="94"/>
        <v>4.2651444611704195</v>
      </c>
      <c r="CB53" s="173">
        <f t="shared" si="94"/>
        <v>4.0501598052974428</v>
      </c>
      <c r="CC53" s="173">
        <f t="shared" si="94"/>
        <v>3.9319482839296009</v>
      </c>
      <c r="CD53" s="173">
        <f t="shared" si="94"/>
        <v>4.6669483040797548</v>
      </c>
      <c r="CE53" s="173">
        <f t="shared" si="94"/>
        <v>4.6818829851320594</v>
      </c>
      <c r="CF53" s="173">
        <f t="shared" si="94"/>
        <v>4.5636728531461772</v>
      </c>
      <c r="CG53" s="173">
        <f t="shared" si="94"/>
        <v>2.5915961289420562</v>
      </c>
      <c r="CH53" s="173">
        <f t="shared" si="94"/>
        <v>2.0442349563974416</v>
      </c>
      <c r="CI53" s="173">
        <f t="shared" si="94"/>
        <v>3.7196648409271402</v>
      </c>
      <c r="CJ53" s="173">
        <f t="shared" si="94"/>
        <v>1.9906053806224222</v>
      </c>
      <c r="CK53" s="173">
        <f t="shared" si="94"/>
        <v>2.5273663732640816</v>
      </c>
      <c r="CL53" s="173">
        <f t="shared" si="94"/>
        <v>2.3956122925869168</v>
      </c>
      <c r="CM53" s="173">
        <f t="shared" si="94"/>
        <v>2.9594002545742497</v>
      </c>
      <c r="CN53" s="173">
        <f t="shared" si="94"/>
        <v>2.0974729610255451</v>
      </c>
      <c r="CO53" s="173">
        <f t="shared" si="94"/>
        <v>2.2272501716930102</v>
      </c>
      <c r="CP53" s="53"/>
      <c r="CQ53" s="173">
        <f t="shared" si="94"/>
        <v>2.4937923686491517</v>
      </c>
      <c r="CR53" s="173">
        <f t="shared" si="94"/>
        <v>2.3920927739913997</v>
      </c>
      <c r="CS53" s="173">
        <f t="shared" si="94"/>
        <v>2.3109814569454086</v>
      </c>
      <c r="CT53" s="173">
        <f t="shared" si="94"/>
        <v>2.0415924443094182</v>
      </c>
      <c r="CU53" s="173">
        <f t="shared" si="94"/>
        <v>1.1980983903188986</v>
      </c>
      <c r="CV53" s="173">
        <f t="shared" si="94"/>
        <v>1.6147374671106693</v>
      </c>
      <c r="CW53" s="173">
        <f t="shared" si="94"/>
        <v>3.6026566382653988</v>
      </c>
      <c r="CX53" s="173">
        <f t="shared" si="94"/>
        <v>4.1212300906876438</v>
      </c>
      <c r="CY53" s="173">
        <f t="shared" si="94"/>
        <v>2.27450141155995</v>
      </c>
      <c r="CZ53" s="173">
        <f t="shared" si="94"/>
        <v>2.8867338541902692</v>
      </c>
      <c r="DA53" s="173">
        <f t="shared" si="94"/>
        <v>2.7867185766336275</v>
      </c>
      <c r="DB53" s="173">
        <f t="shared" si="94"/>
        <v>3.5689747815285799</v>
      </c>
      <c r="DC53" s="173">
        <f t="shared" si="94"/>
        <v>2.243428905584619</v>
      </c>
      <c r="DD53" s="173">
        <f t="shared" si="94"/>
        <v>2.9392178837353988</v>
      </c>
      <c r="DE53" s="173">
        <f t="shared" si="94"/>
        <v>4.1276532901048757</v>
      </c>
      <c r="DF53" s="173">
        <f t="shared" si="94"/>
        <v>4.2142986866070258</v>
      </c>
      <c r="DG53" s="173">
        <f t="shared" si="94"/>
        <v>2.5754059355792935</v>
      </c>
      <c r="DH53" s="173">
        <f t="shared" si="94"/>
        <v>1.9096824713222311</v>
      </c>
      <c r="DI53" s="173">
        <f t="shared" si="94"/>
        <v>1.8664862587944584</v>
      </c>
      <c r="DJ53" s="173">
        <f t="shared" si="94"/>
        <v>2.5287329021309066</v>
      </c>
      <c r="DK53" s="173">
        <f t="shared" si="94"/>
        <v>2.8214415457817448</v>
      </c>
      <c r="DL53" s="173">
        <f t="shared" si="94"/>
        <v>2.8398055353090097</v>
      </c>
      <c r="DM53" s="173">
        <f t="shared" si="94"/>
        <v>3.2990972048878056</v>
      </c>
      <c r="DN53" s="173">
        <f t="shared" si="94"/>
        <v>2.9294999626992686</v>
      </c>
      <c r="DO53" s="173">
        <f t="shared" si="94"/>
        <v>3.949174207971982</v>
      </c>
      <c r="DP53" s="173">
        <f t="shared" si="94"/>
        <v>3.829414364671925</v>
      </c>
      <c r="DQ53" s="173">
        <f t="shared" si="94"/>
        <v>3.7498426428884386</v>
      </c>
      <c r="DR53" s="173">
        <f t="shared" si="94"/>
        <v>3.6823834425845616</v>
      </c>
      <c r="DS53" s="173">
        <f t="shared" si="94"/>
        <v>2.6775891717377194</v>
      </c>
      <c r="DT53" s="173">
        <f t="shared" si="94"/>
        <v>1.9377280780176007</v>
      </c>
      <c r="DU53" s="173">
        <f t="shared" si="94"/>
        <v>3.1255762781371077</v>
      </c>
      <c r="DV53" s="173">
        <f t="shared" si="94"/>
        <v>2.3460833318910526</v>
      </c>
      <c r="DW53" s="173">
        <f t="shared" si="94"/>
        <v>1.9367827183810462</v>
      </c>
      <c r="DX53" s="173">
        <f t="shared" si="94"/>
        <v>2.4458514835293812</v>
      </c>
      <c r="DY53" s="173">
        <f t="shared" si="94"/>
        <v>2.8518293534698307</v>
      </c>
      <c r="DZ53" s="173">
        <f t="shared" si="94"/>
        <v>3.0227841038288421</v>
      </c>
      <c r="EA53" s="173">
        <f t="shared" si="94"/>
        <v>2.692081730062827</v>
      </c>
      <c r="EB53" s="173">
        <f t="shared" si="94"/>
        <v>1.7140102175619678</v>
      </c>
      <c r="EC53" s="173">
        <f t="shared" si="94"/>
        <v>2.9669024634501433</v>
      </c>
      <c r="ED53" s="173">
        <f t="shared" si="94"/>
        <v>3.5455488117803271</v>
      </c>
      <c r="EE53" s="173">
        <f t="shared" ref="EE53:FI53" si="95">AVERAGE(EE48:EE52)</f>
        <v>3.1337343426553934</v>
      </c>
      <c r="EF53" s="173">
        <f t="shared" si="95"/>
        <v>3.2978817053028147</v>
      </c>
      <c r="EG53" s="173">
        <f t="shared" si="95"/>
        <v>3.3164426423483349</v>
      </c>
      <c r="EH53" s="173">
        <f t="shared" si="95"/>
        <v>2.9453733317082076</v>
      </c>
      <c r="EI53" s="173">
        <f t="shared" si="95"/>
        <v>2.2821479507433748</v>
      </c>
      <c r="EJ53" s="173">
        <f t="shared" si="95"/>
        <v>2.0756588049722837</v>
      </c>
      <c r="EK53" s="173">
        <f t="shared" si="95"/>
        <v>2.5897699833090448</v>
      </c>
      <c r="EL53" s="173">
        <f t="shared" si="95"/>
        <v>1.8461055295325095</v>
      </c>
      <c r="EM53" s="173">
        <f t="shared" si="95"/>
        <v>2.5724016303476125</v>
      </c>
      <c r="EN53" s="173">
        <f t="shared" si="95"/>
        <v>2.2732885530069145</v>
      </c>
      <c r="EO53" s="173">
        <f t="shared" si="95"/>
        <v>2.320139717648019</v>
      </c>
      <c r="EP53" s="53"/>
      <c r="EQ53" s="173">
        <f t="shared" si="95"/>
        <v>3.2279838170147492</v>
      </c>
      <c r="ER53" s="173">
        <f t="shared" si="95"/>
        <v>4.2942336343107534</v>
      </c>
      <c r="ES53" s="173">
        <f t="shared" si="95"/>
        <v>3.7066316929427301</v>
      </c>
      <c r="ET53" s="173">
        <f t="shared" si="95"/>
        <v>2.04574842517059</v>
      </c>
      <c r="EU53" s="173">
        <f t="shared" si="95"/>
        <v>2.7358877336975036</v>
      </c>
      <c r="EV53" s="173">
        <f t="shared" si="95"/>
        <v>2.1762449519922393</v>
      </c>
      <c r="EW53" s="173">
        <f t="shared" si="95"/>
        <v>2.4625529469765572</v>
      </c>
      <c r="EX53" s="173">
        <f t="shared" si="95"/>
        <v>3.2346982836136995</v>
      </c>
      <c r="EY53" s="173">
        <f t="shared" si="95"/>
        <v>3.8111355822115556</v>
      </c>
      <c r="EZ53" s="173">
        <f t="shared" si="95"/>
        <v>3.1888384907991152</v>
      </c>
      <c r="FA53" s="173">
        <f t="shared" si="95"/>
        <v>2.4197401401425949</v>
      </c>
      <c r="FB53" s="173">
        <f t="shared" si="95"/>
        <v>3.55416573031667</v>
      </c>
      <c r="FC53" s="173">
        <f t="shared" si="95"/>
        <v>2.2170098652156587</v>
      </c>
      <c r="FD53" s="173">
        <f t="shared" si="95"/>
        <v>3.508123464677527</v>
      </c>
      <c r="FE53" s="173">
        <f t="shared" si="95"/>
        <v>4.1212300906876438</v>
      </c>
      <c r="FF53" s="173">
        <f t="shared" si="95"/>
        <v>2.863034176056189</v>
      </c>
      <c r="FG53" s="173">
        <f t="shared" si="95"/>
        <v>3.0402708630574731</v>
      </c>
      <c r="FH53" s="173">
        <f t="shared" si="95"/>
        <v>2.225921349015294</v>
      </c>
      <c r="FI53" s="173">
        <f t="shared" si="95"/>
        <v>2.3324686911412007</v>
      </c>
      <c r="FJ53" s="173"/>
    </row>
    <row r="54" spans="1:175" ht="15">
      <c r="A54" s="32"/>
      <c r="B54" s="20" t="s">
        <v>165</v>
      </c>
      <c r="C54" s="37">
        <f>AVERAGE(C49:C53)</f>
        <v>3.0181023734486954</v>
      </c>
      <c r="D54" s="37">
        <f t="shared" ref="D54:BQ54" si="96">AVERAGE(D49:D53)</f>
        <v>2.2219530242496672</v>
      </c>
      <c r="E54" s="37">
        <f t="shared" si="96"/>
        <v>3.5752198658496495</v>
      </c>
      <c r="F54" s="37">
        <f t="shared" si="96"/>
        <v>3.4240056152802532</v>
      </c>
      <c r="G54" s="37">
        <f t="shared" si="96"/>
        <v>2.1666109998859078</v>
      </c>
      <c r="H54" s="37">
        <f t="shared" si="96"/>
        <v>2.4901540241328837</v>
      </c>
      <c r="I54" s="37">
        <f t="shared" si="96"/>
        <v>2.5156060342988433</v>
      </c>
      <c r="J54" s="37">
        <f t="shared" si="96"/>
        <v>4.0538086889620093</v>
      </c>
      <c r="K54" s="37">
        <f t="shared" si="96"/>
        <v>3.7465529694453834</v>
      </c>
      <c r="L54" s="37">
        <f t="shared" si="96"/>
        <v>2.5998655006727507</v>
      </c>
      <c r="M54" s="37">
        <f t="shared" si="96"/>
        <v>1.8653710789724891</v>
      </c>
      <c r="N54" s="37">
        <f t="shared" si="96"/>
        <v>1.7538657463001577</v>
      </c>
      <c r="O54" s="37">
        <f t="shared" si="96"/>
        <v>0.84146317723234709</v>
      </c>
      <c r="P54" s="37">
        <f t="shared" si="96"/>
        <v>1.5447092626900119</v>
      </c>
      <c r="Q54" s="37">
        <f t="shared" si="96"/>
        <v>0.82677465315660437</v>
      </c>
      <c r="R54" s="37">
        <f t="shared" si="96"/>
        <v>1.623910183775966</v>
      </c>
      <c r="S54" s="37">
        <f t="shared" si="96"/>
        <v>1.964147319310338</v>
      </c>
      <c r="T54" s="37">
        <f t="shared" si="96"/>
        <v>2.3470376134826529</v>
      </c>
      <c r="V54" s="37">
        <f t="shared" si="96"/>
        <v>4.9903642067582927</v>
      </c>
      <c r="W54" s="37">
        <f t="shared" si="96"/>
        <v>5.1108896801571486</v>
      </c>
      <c r="X54" s="37">
        <f t="shared" si="96"/>
        <v>5.1764267713959908</v>
      </c>
      <c r="Y54" s="37">
        <f t="shared" si="96"/>
        <v>2.4405311716302016</v>
      </c>
      <c r="Z54" s="37">
        <f t="shared" si="96"/>
        <v>3.578862035930249</v>
      </c>
      <c r="AA54" s="37">
        <f t="shared" si="96"/>
        <v>5.9360154015482296</v>
      </c>
      <c r="AB54" s="37">
        <f t="shared" si="96"/>
        <v>4.266854805279932</v>
      </c>
      <c r="AC54" s="37">
        <f t="shared" si="96"/>
        <v>5.1367544311087894</v>
      </c>
      <c r="AD54" s="37">
        <f t="shared" si="96"/>
        <v>3.5967333720187398</v>
      </c>
      <c r="AE54" s="37">
        <f t="shared" si="96"/>
        <v>4.3468329435376258</v>
      </c>
      <c r="AF54" s="37">
        <f t="shared" si="96"/>
        <v>4.7772189688645899</v>
      </c>
      <c r="AG54" s="37">
        <f t="shared" si="96"/>
        <v>3.1138831764855119</v>
      </c>
      <c r="AH54" s="37">
        <f t="shared" si="96"/>
        <v>3.6882258804898598</v>
      </c>
      <c r="AI54" s="37">
        <f t="shared" si="96"/>
        <v>4.0552779652010198</v>
      </c>
      <c r="AJ54" s="37">
        <f t="shared" si="96"/>
        <v>3.4789414852602336</v>
      </c>
      <c r="AK54" s="37">
        <f t="shared" si="96"/>
        <v>2.7929729434893842</v>
      </c>
      <c r="AL54" s="37">
        <f t="shared" si="96"/>
        <v>2.5306655096654889</v>
      </c>
      <c r="AM54" s="37">
        <f t="shared" si="96"/>
        <v>3.9220564996130554</v>
      </c>
      <c r="AN54" s="37">
        <f t="shared" si="96"/>
        <v>3.9222364431510366</v>
      </c>
      <c r="AO54" s="37">
        <f t="shared" si="96"/>
        <v>2.2947277473307031</v>
      </c>
      <c r="AP54" s="37">
        <f t="shared" si="96"/>
        <v>3.0339588146059282</v>
      </c>
      <c r="AQ54" s="37">
        <f t="shared" si="96"/>
        <v>2.9839217304591101</v>
      </c>
      <c r="AR54" s="37">
        <f t="shared" si="96"/>
        <v>3.384690248140223</v>
      </c>
      <c r="AS54" s="37">
        <f t="shared" si="96"/>
        <v>4.1939607175740834</v>
      </c>
      <c r="AT54" s="37">
        <f t="shared" si="96"/>
        <v>3.4573699307327326</v>
      </c>
      <c r="AV54" s="37">
        <f t="shared" si="96"/>
        <v>1.9858970645865419</v>
      </c>
      <c r="AW54" s="37">
        <f t="shared" si="96"/>
        <v>3.5056361905142879</v>
      </c>
      <c r="AX54" s="37">
        <f t="shared" si="96"/>
        <v>2.9645501959956775</v>
      </c>
      <c r="AY54" s="37">
        <f t="shared" si="96"/>
        <v>2.6150511800349543</v>
      </c>
      <c r="AZ54" s="37">
        <f t="shared" si="96"/>
        <v>2.2845460189968079</v>
      </c>
      <c r="BA54" s="37">
        <f t="shared" si="96"/>
        <v>3.6613553180935012</v>
      </c>
      <c r="BB54" s="37">
        <f t="shared" si="96"/>
        <v>5.0471231614404859</v>
      </c>
      <c r="BC54" s="37">
        <f t="shared" si="96"/>
        <v>4.7482990027446181</v>
      </c>
      <c r="BD54" s="37">
        <f t="shared" si="96"/>
        <v>3.5896112256845014</v>
      </c>
      <c r="BE54" s="37">
        <f t="shared" si="96"/>
        <v>3.4647459274773831</v>
      </c>
      <c r="BF54" s="37">
        <f t="shared" si="96"/>
        <v>3.9711218747278623</v>
      </c>
      <c r="BG54" s="37">
        <f t="shared" si="96"/>
        <v>4.0760868727729243</v>
      </c>
      <c r="BH54" s="37">
        <f t="shared" si="96"/>
        <v>4.1506345951647514</v>
      </c>
      <c r="BI54" s="37">
        <f t="shared" si="96"/>
        <v>3.9347814816988262</v>
      </c>
      <c r="BJ54" s="37">
        <f t="shared" si="96"/>
        <v>5.7506507499953559</v>
      </c>
      <c r="BK54" s="37">
        <f t="shared" si="96"/>
        <v>5.5011731638362535</v>
      </c>
      <c r="BL54" s="37">
        <f t="shared" si="96"/>
        <v>4.8114092202649958</v>
      </c>
      <c r="BM54" s="37">
        <f t="shared" si="96"/>
        <v>4.5914149183150856</v>
      </c>
      <c r="BN54" s="37">
        <f t="shared" si="96"/>
        <v>3.6316767395902971</v>
      </c>
      <c r="BO54" s="37">
        <f t="shared" si="96"/>
        <v>3.768849201010005</v>
      </c>
      <c r="BP54" s="37">
        <f t="shared" si="96"/>
        <v>3.7942773139228145</v>
      </c>
      <c r="BQ54" s="37">
        <f t="shared" si="96"/>
        <v>3.5588663221287362</v>
      </c>
      <c r="BR54" s="37">
        <f t="shared" ref="BR54:ED54" si="97">AVERAGE(BR49:BR53)</f>
        <v>4.1754749525108856</v>
      </c>
      <c r="BS54" s="37">
        <f t="shared" si="97"/>
        <v>4.1681173045092663</v>
      </c>
      <c r="BT54" s="37">
        <f t="shared" si="97"/>
        <v>3.9836622217410413</v>
      </c>
      <c r="BU54" s="37">
        <f t="shared" si="97"/>
        <v>3.6680866996800461</v>
      </c>
      <c r="BV54" s="37">
        <f t="shared" si="97"/>
        <v>4.274627435003028</v>
      </c>
      <c r="BW54" s="37">
        <f t="shared" si="97"/>
        <v>4.6014317008788961</v>
      </c>
      <c r="BX54" s="37">
        <f t="shared" si="97"/>
        <v>4.946462866462551</v>
      </c>
      <c r="BY54" s="37">
        <f t="shared" si="97"/>
        <v>5.4679944137752683</v>
      </c>
      <c r="BZ54" s="37">
        <f t="shared" si="97"/>
        <v>4.7925854033551891</v>
      </c>
      <c r="CA54" s="37">
        <f t="shared" si="97"/>
        <v>4.2406226188213134</v>
      </c>
      <c r="CB54" s="37">
        <f t="shared" si="97"/>
        <v>4.0486112267443328</v>
      </c>
      <c r="CC54" s="37">
        <f t="shared" si="97"/>
        <v>3.9168511036331575</v>
      </c>
      <c r="CD54" s="37">
        <f t="shared" si="97"/>
        <v>4.6921172762132572</v>
      </c>
      <c r="CE54" s="37">
        <f t="shared" si="97"/>
        <v>4.6775411910385687</v>
      </c>
      <c r="CF54" s="37">
        <f t="shared" si="97"/>
        <v>4.5409322408749357</v>
      </c>
      <c r="CG54" s="37">
        <f t="shared" si="97"/>
        <v>2.6124713365348002</v>
      </c>
      <c r="CH54" s="37">
        <f t="shared" si="97"/>
        <v>2.0594989320880286</v>
      </c>
      <c r="CI54" s="37">
        <f t="shared" si="97"/>
        <v>4.1130107820306447</v>
      </c>
      <c r="CJ54" s="37">
        <f t="shared" si="97"/>
        <v>1.8135361461826331</v>
      </c>
      <c r="CK54" s="37">
        <f t="shared" si="97"/>
        <v>2.3994713122986449</v>
      </c>
      <c r="CL54" s="37">
        <f t="shared" si="97"/>
        <v>2.3993824558820069</v>
      </c>
      <c r="CM54" s="37">
        <f t="shared" si="97"/>
        <v>2.9199964111470518</v>
      </c>
      <c r="CN54" s="37">
        <f t="shared" si="97"/>
        <v>2.1428301808261927</v>
      </c>
      <c r="CO54" s="37">
        <f t="shared" si="97"/>
        <v>2.2777744026098263</v>
      </c>
      <c r="CQ54" s="37">
        <f t="shared" si="97"/>
        <v>2.4573581833789255</v>
      </c>
      <c r="CR54" s="37">
        <f t="shared" si="97"/>
        <v>2.3912629258797415</v>
      </c>
      <c r="CS54" s="37">
        <f t="shared" si="97"/>
        <v>2.306286242743488</v>
      </c>
      <c r="CT54" s="37">
        <f t="shared" si="97"/>
        <v>2.0603504755176743</v>
      </c>
      <c r="CU54" s="37">
        <f t="shared" si="97"/>
        <v>1.2377180683826785</v>
      </c>
      <c r="CV54" s="37">
        <f t="shared" si="97"/>
        <v>1.6347812945267925</v>
      </c>
      <c r="CW54" s="37">
        <f t="shared" si="97"/>
        <v>3.5993463573551976</v>
      </c>
      <c r="CX54" s="37">
        <f t="shared" si="97"/>
        <v>4.099876445746383</v>
      </c>
      <c r="CY54" s="37">
        <f t="shared" si="97"/>
        <v>2.2204695032906665</v>
      </c>
      <c r="CZ54" s="37">
        <f t="shared" si="97"/>
        <v>2.8779811700809814</v>
      </c>
      <c r="DA54" s="37">
        <f t="shared" si="97"/>
        <v>2.819893156508678</v>
      </c>
      <c r="DB54" s="37">
        <f t="shared" si="97"/>
        <v>3.5605478238537023</v>
      </c>
      <c r="DC54" s="37">
        <f t="shared" si="97"/>
        <v>2.2222789493595778</v>
      </c>
      <c r="DD54" s="37">
        <f t="shared" si="97"/>
        <v>2.9129641843798941</v>
      </c>
      <c r="DE54" s="37">
        <f t="shared" si="97"/>
        <v>4.12873228018577</v>
      </c>
      <c r="DF54" s="37">
        <f t="shared" si="97"/>
        <v>4.2059857620828245</v>
      </c>
      <c r="DG54" s="37">
        <f t="shared" si="97"/>
        <v>2.4732538739164247</v>
      </c>
      <c r="DH54" s="37">
        <f t="shared" si="97"/>
        <v>1.8387580733032514</v>
      </c>
      <c r="DI54" s="37">
        <f t="shared" si="97"/>
        <v>1.9229747514923023</v>
      </c>
      <c r="DJ54" s="37">
        <f t="shared" si="97"/>
        <v>2.5076999320526734</v>
      </c>
      <c r="DK54" s="37">
        <f t="shared" si="97"/>
        <v>2.8305391553900576</v>
      </c>
      <c r="DL54" s="37">
        <f t="shared" si="97"/>
        <v>2.8907916093518828</v>
      </c>
      <c r="DM54" s="37">
        <f t="shared" si="97"/>
        <v>3.2991467709263285</v>
      </c>
      <c r="DN54" s="37">
        <f t="shared" si="97"/>
        <v>2.9415851001113387</v>
      </c>
      <c r="DO54" s="37">
        <f t="shared" si="97"/>
        <v>3.9425960673073077</v>
      </c>
      <c r="DP54" s="37">
        <f t="shared" si="97"/>
        <v>3.7864016831594265</v>
      </c>
      <c r="DQ54" s="37">
        <f t="shared" si="97"/>
        <v>3.7617375963061179</v>
      </c>
      <c r="DR54" s="37">
        <f t="shared" si="97"/>
        <v>3.6613158444413569</v>
      </c>
      <c r="DS54" s="37">
        <f t="shared" si="97"/>
        <v>2.6082976746476922</v>
      </c>
      <c r="DT54" s="37">
        <f t="shared" si="97"/>
        <v>1.8792536784144205</v>
      </c>
      <c r="DU54" s="37">
        <f t="shared" si="97"/>
        <v>3.1054192288031084</v>
      </c>
      <c r="DV54" s="37">
        <f t="shared" si="97"/>
        <v>2.2442671957027032</v>
      </c>
      <c r="DW54" s="37">
        <f t="shared" si="97"/>
        <v>1.860859771887263</v>
      </c>
      <c r="DX54" s="37">
        <f t="shared" si="97"/>
        <v>2.4182958174333837</v>
      </c>
      <c r="DY54" s="37">
        <f t="shared" si="97"/>
        <v>2.8404291516426357</v>
      </c>
      <c r="DZ54" s="37">
        <f t="shared" si="97"/>
        <v>3.0060653308343261</v>
      </c>
      <c r="EA54" s="37">
        <f t="shared" si="97"/>
        <v>2.6689422535297012</v>
      </c>
      <c r="EB54" s="37">
        <f t="shared" si="97"/>
        <v>1.7166431920715439</v>
      </c>
      <c r="EC54" s="37">
        <f t="shared" si="97"/>
        <v>2.9717750116623263</v>
      </c>
      <c r="ED54" s="37">
        <f t="shared" si="97"/>
        <v>3.5626730083662848</v>
      </c>
      <c r="EE54" s="37">
        <f t="shared" ref="EE54:FI54" si="98">AVERAGE(EE49:EE53)</f>
        <v>3.1113075534685715</v>
      </c>
      <c r="EF54" s="37">
        <f t="shared" si="98"/>
        <v>3.2578237893752942</v>
      </c>
      <c r="EG54" s="37">
        <f t="shared" si="98"/>
        <v>3.3073553629223071</v>
      </c>
      <c r="EH54" s="37">
        <f t="shared" si="98"/>
        <v>2.9540521608664578</v>
      </c>
      <c r="EI54" s="37">
        <f t="shared" si="98"/>
        <v>2.2682438522824939</v>
      </c>
      <c r="EJ54" s="37">
        <f t="shared" si="98"/>
        <v>2.0669804059997121</v>
      </c>
      <c r="EK54" s="37">
        <f t="shared" si="98"/>
        <v>2.5824108489404924</v>
      </c>
      <c r="EL54" s="37">
        <f t="shared" si="98"/>
        <v>1.8620965291209139</v>
      </c>
      <c r="EM54" s="37">
        <f t="shared" si="98"/>
        <v>2.5988506997494243</v>
      </c>
      <c r="EN54" s="37">
        <f t="shared" si="98"/>
        <v>2.2228071721546536</v>
      </c>
      <c r="EO54" s="37">
        <f t="shared" si="98"/>
        <v>2.2437932495888422</v>
      </c>
      <c r="EQ54" s="37">
        <f t="shared" si="98"/>
        <v>3.254239416431679</v>
      </c>
      <c r="ER54" s="37">
        <f t="shared" si="98"/>
        <v>4.2958408296633053</v>
      </c>
      <c r="ES54" s="37">
        <f t="shared" si="98"/>
        <v>3.7116227339800134</v>
      </c>
      <c r="ET54" s="37">
        <f t="shared" si="98"/>
        <v>2.121119631952249</v>
      </c>
      <c r="EU54" s="37">
        <f t="shared" si="98"/>
        <v>2.7102346646156157</v>
      </c>
      <c r="EV54" s="37">
        <f t="shared" si="98"/>
        <v>2.157482216150671</v>
      </c>
      <c r="EW54" s="37">
        <f t="shared" si="98"/>
        <v>2.3879201165425314</v>
      </c>
      <c r="EX54" s="37">
        <f t="shared" si="98"/>
        <v>3.2381722651293705</v>
      </c>
      <c r="EY54" s="37">
        <f t="shared" si="98"/>
        <v>3.8216047647770579</v>
      </c>
      <c r="EZ54" s="37">
        <f t="shared" si="98"/>
        <v>3.1523295876165416</v>
      </c>
      <c r="FA54" s="37">
        <f t="shared" si="98"/>
        <v>2.3928053506957001</v>
      </c>
      <c r="FB54" s="37">
        <f t="shared" si="98"/>
        <v>3.558866758901027</v>
      </c>
      <c r="FC54" s="37">
        <f t="shared" si="98"/>
        <v>2.2178946094086216</v>
      </c>
      <c r="FD54" s="37">
        <f t="shared" si="98"/>
        <v>3.509992248540422</v>
      </c>
      <c r="FE54" s="37">
        <f t="shared" si="98"/>
        <v>4.099876445746383</v>
      </c>
      <c r="FF54" s="37">
        <f t="shared" si="98"/>
        <v>2.7483698691655949</v>
      </c>
      <c r="FG54" s="37">
        <f t="shared" si="98"/>
        <v>3.0449993273078797</v>
      </c>
      <c r="FH54" s="37">
        <f t="shared" si="98"/>
        <v>2.2037956023055303</v>
      </c>
      <c r="FI54" s="37">
        <f t="shared" si="98"/>
        <v>2.2616187373282428</v>
      </c>
      <c r="FJ54" s="37"/>
    </row>
    <row r="56" spans="1:175" ht="15">
      <c r="A56" s="25" t="s">
        <v>189</v>
      </c>
      <c r="B56" s="23" t="s">
        <v>176</v>
      </c>
      <c r="C56" s="27">
        <f>_xlfn.T.TEST(C36:C41,C48:C52,2,3)</f>
        <v>0.10788877585324862</v>
      </c>
      <c r="D56" s="27">
        <f t="shared" ref="D56:BQ56" si="99">_xlfn.T.TEST(D36:D41,D48:D52,2,3)</f>
        <v>0.68796953063856403</v>
      </c>
      <c r="E56" s="27">
        <f t="shared" si="99"/>
        <v>3.5141407271838246E-2</v>
      </c>
      <c r="F56" s="27">
        <f t="shared" si="99"/>
        <v>0.61068418695806215</v>
      </c>
      <c r="G56" s="27">
        <f t="shared" si="99"/>
        <v>0.74149302170410913</v>
      </c>
      <c r="H56" s="27">
        <f t="shared" si="99"/>
        <v>0.20089529554664393</v>
      </c>
      <c r="I56" s="27">
        <f t="shared" si="99"/>
        <v>1.136592158092682E-2</v>
      </c>
      <c r="J56" s="27">
        <f t="shared" si="99"/>
        <v>0.33481163636219569</v>
      </c>
      <c r="K56" s="27">
        <f t="shared" si="99"/>
        <v>0.15117506649504572</v>
      </c>
      <c r="L56" s="27">
        <f t="shared" si="99"/>
        <v>0.82038105768796532</v>
      </c>
      <c r="M56" s="27">
        <f t="shared" si="99"/>
        <v>0.93945119310929115</v>
      </c>
      <c r="N56" s="27">
        <f t="shared" si="99"/>
        <v>0.86502578723486034</v>
      </c>
      <c r="O56" s="27">
        <f t="shared" si="99"/>
        <v>0.41357864862023652</v>
      </c>
      <c r="P56" s="27">
        <f t="shared" si="99"/>
        <v>0.40872784308535259</v>
      </c>
      <c r="Q56" s="27">
        <f t="shared" si="99"/>
        <v>0.42655402002817122</v>
      </c>
      <c r="R56" s="27">
        <f t="shared" si="99"/>
        <v>0.69663553072134576</v>
      </c>
      <c r="S56" s="27">
        <f t="shared" si="99"/>
        <v>9.4084138384301186E-2</v>
      </c>
      <c r="T56" s="27">
        <f t="shared" si="99"/>
        <v>0.70396800099807288</v>
      </c>
      <c r="U56" s="27"/>
      <c r="V56" s="27">
        <f t="shared" si="99"/>
        <v>0.48434400146317413</v>
      </c>
      <c r="W56" s="27">
        <f t="shared" si="99"/>
        <v>0.2194639956069076</v>
      </c>
      <c r="X56" s="27">
        <f t="shared" si="99"/>
        <v>1.030645901725573E-2</v>
      </c>
      <c r="Y56" s="27">
        <f t="shared" si="99"/>
        <v>0.11516075598922253</v>
      </c>
      <c r="Z56" s="27">
        <f t="shared" si="99"/>
        <v>0.37750760420176632</v>
      </c>
      <c r="AA56" s="27">
        <f t="shared" si="99"/>
        <v>5.9608576503764011E-3</v>
      </c>
      <c r="AB56" s="27">
        <f t="shared" si="99"/>
        <v>0.12968121827272175</v>
      </c>
      <c r="AC56" s="27">
        <f t="shared" si="99"/>
        <v>2.2455050002112616E-2</v>
      </c>
      <c r="AD56" s="27">
        <f t="shared" si="99"/>
        <v>1.1682902287052627E-2</v>
      </c>
      <c r="AE56" s="27">
        <f t="shared" si="99"/>
        <v>6.745722879623868E-2</v>
      </c>
      <c r="AF56" s="27">
        <f t="shared" si="99"/>
        <v>3.8561286439578452E-4</v>
      </c>
      <c r="AG56" s="27">
        <f t="shared" si="99"/>
        <v>0.63187269498508747</v>
      </c>
      <c r="AH56" s="27">
        <f t="shared" si="99"/>
        <v>0.54690196787262957</v>
      </c>
      <c r="AI56" s="27">
        <f t="shared" si="99"/>
        <v>0.80865106551070665</v>
      </c>
      <c r="AJ56" s="27">
        <f t="shared" si="99"/>
        <v>0.79622292834067543</v>
      </c>
      <c r="AK56" s="27">
        <f t="shared" si="99"/>
        <v>7.9839351379617683E-4</v>
      </c>
      <c r="AL56" s="27">
        <f t="shared" si="99"/>
        <v>0.68252564516511649</v>
      </c>
      <c r="AM56" s="27">
        <f t="shared" si="99"/>
        <v>0.41725343734452541</v>
      </c>
      <c r="AN56" s="27">
        <f t="shared" si="99"/>
        <v>1.048041511710949E-2</v>
      </c>
      <c r="AO56" s="27">
        <f t="shared" si="99"/>
        <v>0.78312669273441415</v>
      </c>
      <c r="AP56" s="27">
        <f t="shared" si="99"/>
        <v>5.8160813273889715E-2</v>
      </c>
      <c r="AQ56" s="27">
        <f t="shared" si="99"/>
        <v>6.3769777420659535E-2</v>
      </c>
      <c r="AR56" s="27">
        <f t="shared" si="99"/>
        <v>5.9995559953611562E-2</v>
      </c>
      <c r="AS56" s="27">
        <f t="shared" si="99"/>
        <v>0.61528754963223165</v>
      </c>
      <c r="AT56" s="27">
        <f t="shared" si="99"/>
        <v>0.12417793011584403</v>
      </c>
      <c r="AU56" s="27"/>
      <c r="AV56" s="27">
        <f t="shared" si="99"/>
        <v>0.23108424449658918</v>
      </c>
      <c r="AW56" s="27">
        <f t="shared" si="99"/>
        <v>0.5727280627717124</v>
      </c>
      <c r="AX56" s="27">
        <f t="shared" si="99"/>
        <v>0.40655761776381416</v>
      </c>
      <c r="AY56" s="27">
        <f t="shared" si="99"/>
        <v>1.4468989361320881E-2</v>
      </c>
      <c r="AZ56" s="27">
        <f t="shared" si="99"/>
        <v>0.57279392173880517</v>
      </c>
      <c r="BA56" s="27">
        <f t="shared" si="99"/>
        <v>0.10414950266572953</v>
      </c>
      <c r="BB56" s="27">
        <f t="shared" si="99"/>
        <v>0.13110210722152157</v>
      </c>
      <c r="BC56" s="27">
        <f t="shared" si="99"/>
        <v>6.88862799556972E-3</v>
      </c>
      <c r="BD56" s="27">
        <f t="shared" si="99"/>
        <v>2.5411369271375526E-2</v>
      </c>
      <c r="BE56" s="27">
        <f t="shared" si="99"/>
        <v>6.2115947175795392E-3</v>
      </c>
      <c r="BF56" s="27">
        <f t="shared" si="99"/>
        <v>0.48378181933467523</v>
      </c>
      <c r="BG56" s="27">
        <f t="shared" si="99"/>
        <v>0.52936824779958058</v>
      </c>
      <c r="BH56" s="27">
        <f t="shared" si="99"/>
        <v>0.10929138576958237</v>
      </c>
      <c r="BI56" s="27">
        <f t="shared" si="99"/>
        <v>6.2452615511949389E-3</v>
      </c>
      <c r="BJ56" s="27">
        <f t="shared" si="99"/>
        <v>0.52762423380363521</v>
      </c>
      <c r="BK56" s="27">
        <f t="shared" si="99"/>
        <v>0.17537319847203375</v>
      </c>
      <c r="BL56" s="27">
        <f t="shared" si="99"/>
        <v>3.6331760822584581E-2</v>
      </c>
      <c r="BM56" s="27">
        <f t="shared" si="99"/>
        <v>2.2350921324491839E-2</v>
      </c>
      <c r="BN56" s="27">
        <f t="shared" si="99"/>
        <v>8.2988908306188436E-2</v>
      </c>
      <c r="BO56" s="27">
        <f t="shared" si="99"/>
        <v>2.0356566420345893E-2</v>
      </c>
      <c r="BP56" s="27">
        <f t="shared" si="99"/>
        <v>0.47216941163310611</v>
      </c>
      <c r="BQ56" s="27">
        <f t="shared" si="99"/>
        <v>0.31764241439231367</v>
      </c>
      <c r="BR56" s="27">
        <f t="shared" ref="BR56:ED56" si="100">_xlfn.T.TEST(BR36:BR41,BR48:BR52,2,3)</f>
        <v>0.68217948831336583</v>
      </c>
      <c r="BS56" s="27">
        <f t="shared" si="100"/>
        <v>0.55381488995310635</v>
      </c>
      <c r="BT56" s="27">
        <f t="shared" si="100"/>
        <v>0.9777639507197492</v>
      </c>
      <c r="BU56" s="27">
        <f t="shared" si="100"/>
        <v>4.7727907619116876E-2</v>
      </c>
      <c r="BV56" s="27">
        <f t="shared" si="100"/>
        <v>7.6139751850154175E-2</v>
      </c>
      <c r="BW56" s="27">
        <f t="shared" si="100"/>
        <v>1.1001375944104259E-2</v>
      </c>
      <c r="BX56" s="27">
        <f t="shared" si="100"/>
        <v>0.1049664946358595</v>
      </c>
      <c r="BY56" s="27">
        <f t="shared" si="100"/>
        <v>0.32513353613108059</v>
      </c>
      <c r="BZ56" s="27">
        <f t="shared" si="100"/>
        <v>0.45101351077025309</v>
      </c>
      <c r="CA56" s="27">
        <f t="shared" si="100"/>
        <v>0.26072622431837839</v>
      </c>
      <c r="CB56" s="27">
        <f t="shared" si="100"/>
        <v>1.1538639717906378E-2</v>
      </c>
      <c r="CC56" s="27">
        <f t="shared" si="100"/>
        <v>4.1344160449704244E-2</v>
      </c>
      <c r="CD56" s="27">
        <f t="shared" si="100"/>
        <v>0.11461584834289251</v>
      </c>
      <c r="CE56" s="27">
        <f t="shared" si="100"/>
        <v>0.98894801854711301</v>
      </c>
      <c r="CF56" s="27">
        <f t="shared" si="100"/>
        <v>0.8911239918211773</v>
      </c>
      <c r="CG56" s="27">
        <f t="shared" si="100"/>
        <v>0.6243538772919166</v>
      </c>
      <c r="CH56" s="27">
        <f t="shared" si="100"/>
        <v>0.51775294100338742</v>
      </c>
      <c r="CI56" s="27">
        <f t="shared" si="100"/>
        <v>0.39934653108873697</v>
      </c>
      <c r="CJ56" s="27">
        <f t="shared" si="100"/>
        <v>0.50951822842230876</v>
      </c>
      <c r="CK56" s="50">
        <f t="shared" si="100"/>
        <v>0.41289114044974534</v>
      </c>
      <c r="CL56" s="27">
        <f t="shared" si="100"/>
        <v>0.99450908975418484</v>
      </c>
      <c r="CM56" s="27">
        <f t="shared" si="100"/>
        <v>0.23026851002447726</v>
      </c>
      <c r="CN56" s="27">
        <f t="shared" si="100"/>
        <v>0.95034989604373155</v>
      </c>
      <c r="CO56" s="27">
        <f t="shared" si="100"/>
        <v>0.74196138585087534</v>
      </c>
      <c r="CP56" s="27"/>
      <c r="CQ56" s="27">
        <f t="shared" si="100"/>
        <v>0.73724728311117249</v>
      </c>
      <c r="CR56" s="27">
        <f t="shared" si="100"/>
        <v>0.20286346736806968</v>
      </c>
      <c r="CS56" s="27">
        <f t="shared" si="100"/>
        <v>0.96571811776506089</v>
      </c>
      <c r="CT56" s="27">
        <f t="shared" si="100"/>
        <v>0.86100807824574233</v>
      </c>
      <c r="CU56" s="27">
        <f t="shared" si="100"/>
        <v>0.31401172671323724</v>
      </c>
      <c r="CV56" s="27">
        <f t="shared" si="100"/>
        <v>0.7159405759591001</v>
      </c>
      <c r="CW56" s="27">
        <f t="shared" si="100"/>
        <v>1.8195748368756804E-2</v>
      </c>
      <c r="CX56" s="27">
        <f t="shared" si="100"/>
        <v>0.29421894972012014</v>
      </c>
      <c r="CY56" s="27">
        <f t="shared" si="100"/>
        <v>0.16859918579197086</v>
      </c>
      <c r="CZ56" s="27">
        <f t="shared" si="100"/>
        <v>6.0563734593920809E-2</v>
      </c>
      <c r="DA56" s="27">
        <f t="shared" si="100"/>
        <v>0.90303698848909764</v>
      </c>
      <c r="DB56" s="27">
        <f t="shared" si="100"/>
        <v>0.28782145029683853</v>
      </c>
      <c r="DC56" s="27">
        <f t="shared" si="100"/>
        <v>5.1914399751733765E-2</v>
      </c>
      <c r="DD56" s="27">
        <f t="shared" si="100"/>
        <v>0.28392732896633144</v>
      </c>
      <c r="DE56" s="27">
        <f t="shared" si="100"/>
        <v>0.14776069630539099</v>
      </c>
      <c r="DF56" s="27">
        <f t="shared" si="100"/>
        <v>0.13186187512565856</v>
      </c>
      <c r="DG56" s="27">
        <f t="shared" si="100"/>
        <v>0.87367227670719849</v>
      </c>
      <c r="DH56" s="27">
        <f t="shared" si="100"/>
        <v>0.99097793929071321</v>
      </c>
      <c r="DI56" s="27">
        <f t="shared" si="100"/>
        <v>0.86211315391428045</v>
      </c>
      <c r="DJ56" s="27">
        <f t="shared" si="100"/>
        <v>0.51203071629470109</v>
      </c>
      <c r="DK56" s="27">
        <f t="shared" si="100"/>
        <v>0.4440648389682918</v>
      </c>
      <c r="DL56" s="27">
        <f t="shared" si="100"/>
        <v>0.34723510018648041</v>
      </c>
      <c r="DM56" s="27">
        <f t="shared" si="100"/>
        <v>0.66212984121800389</v>
      </c>
      <c r="DN56" s="27">
        <f t="shared" si="100"/>
        <v>0.57263378917486896</v>
      </c>
      <c r="DO56" s="27">
        <f t="shared" si="100"/>
        <v>0.77037323847091999</v>
      </c>
      <c r="DP56" s="27">
        <f t="shared" si="100"/>
        <v>0.30154105341943183</v>
      </c>
      <c r="DQ56" s="27">
        <f t="shared" si="100"/>
        <v>2.2360609790072112E-2</v>
      </c>
      <c r="DR56" s="27">
        <f t="shared" si="100"/>
        <v>3.884076129152373E-2</v>
      </c>
      <c r="DS56" s="27">
        <f t="shared" si="100"/>
        <v>0.12424202782963016</v>
      </c>
      <c r="DT56" s="27">
        <f t="shared" si="100"/>
        <v>0.93572223539178656</v>
      </c>
      <c r="DU56" s="27">
        <f t="shared" si="100"/>
        <v>0.21841387327719561</v>
      </c>
      <c r="DV56" s="27">
        <f t="shared" si="100"/>
        <v>0.68234768019254455</v>
      </c>
      <c r="DW56" s="27">
        <f t="shared" si="100"/>
        <v>0.9562506800587387</v>
      </c>
      <c r="DX56" s="27">
        <f t="shared" si="100"/>
        <v>0.16550926097767016</v>
      </c>
      <c r="DY56" s="27">
        <f t="shared" si="100"/>
        <v>3.9435762425492314E-2</v>
      </c>
      <c r="DZ56" s="27">
        <f t="shared" si="100"/>
        <v>5.8230213628890949E-3</v>
      </c>
      <c r="EA56" s="27">
        <f t="shared" si="100"/>
        <v>2.1538848340548804E-2</v>
      </c>
      <c r="EB56" s="27">
        <f t="shared" si="100"/>
        <v>1.381068342997702E-2</v>
      </c>
      <c r="EC56" s="27">
        <f t="shared" si="100"/>
        <v>0.19523144496559938</v>
      </c>
      <c r="ED56" s="27">
        <f t="shared" si="100"/>
        <v>2.1432839763173947E-3</v>
      </c>
      <c r="EE56" s="27">
        <f t="shared" ref="EE56:FI56" si="101">_xlfn.T.TEST(EE36:EE41,EE48:EE52,2,3)</f>
        <v>0.33245257454961641</v>
      </c>
      <c r="EF56" s="27">
        <f t="shared" si="101"/>
        <v>0.72714058362167477</v>
      </c>
      <c r="EG56" s="27">
        <f t="shared" si="101"/>
        <v>5.4519447927627567E-3</v>
      </c>
      <c r="EH56" s="27">
        <f t="shared" si="101"/>
        <v>8.6579349516116677E-2</v>
      </c>
      <c r="EI56" s="27">
        <f t="shared" si="101"/>
        <v>0.21027435518627977</v>
      </c>
      <c r="EJ56" s="27">
        <f t="shared" si="101"/>
        <v>0.99233628114336647</v>
      </c>
      <c r="EK56" s="27">
        <f t="shared" si="101"/>
        <v>1.4919781776388673E-3</v>
      </c>
      <c r="EL56" s="27">
        <f t="shared" si="101"/>
        <v>0.37505674565487912</v>
      </c>
      <c r="EM56" s="27">
        <f t="shared" si="101"/>
        <v>2.3353304289610351E-2</v>
      </c>
      <c r="EN56" s="27">
        <f t="shared" si="101"/>
        <v>0.89119523288479408</v>
      </c>
      <c r="EO56" s="27">
        <f t="shared" si="101"/>
        <v>3.3131780108486608E-2</v>
      </c>
      <c r="EP56" s="27"/>
      <c r="EQ56" s="27">
        <f t="shared" si="101"/>
        <v>0.31596567420040972</v>
      </c>
      <c r="ER56" s="27">
        <f t="shared" si="101"/>
        <v>7.1305362902406785E-2</v>
      </c>
      <c r="ES56" s="27">
        <f t="shared" si="101"/>
        <v>0.19982710298290898</v>
      </c>
      <c r="ET56" s="27">
        <f t="shared" si="101"/>
        <v>3.4364245450023999E-2</v>
      </c>
      <c r="EU56" s="27">
        <f t="shared" si="101"/>
        <v>6.4679833676098072E-2</v>
      </c>
      <c r="EV56" s="27">
        <f t="shared" si="101"/>
        <v>0.26578042952351028</v>
      </c>
      <c r="EW56" s="27">
        <f t="shared" si="101"/>
        <v>0.66073165406934053</v>
      </c>
      <c r="EX56" s="27">
        <f t="shared" si="101"/>
        <v>0.281640519193538</v>
      </c>
      <c r="EY56" s="27">
        <f t="shared" si="101"/>
        <v>1.1295926143692117E-2</v>
      </c>
      <c r="EZ56" s="27">
        <f t="shared" si="101"/>
        <v>0.23167987160873527</v>
      </c>
      <c r="FA56" s="27">
        <f t="shared" si="101"/>
        <v>0.28494943356814501</v>
      </c>
      <c r="FB56" s="27">
        <f t="shared" si="101"/>
        <v>8.8361062515278935E-2</v>
      </c>
      <c r="FC56" s="27">
        <f t="shared" si="101"/>
        <v>0.27934742314628042</v>
      </c>
      <c r="FD56" s="27">
        <f t="shared" si="101"/>
        <v>0.2598953138855431</v>
      </c>
      <c r="FE56" s="27">
        <f t="shared" si="101"/>
        <v>0.29421894972012014</v>
      </c>
      <c r="FF56" s="27">
        <f t="shared" si="101"/>
        <v>0.97667926131903826</v>
      </c>
      <c r="FG56" s="27">
        <f t="shared" si="101"/>
        <v>1.4694851453178457E-2</v>
      </c>
      <c r="FH56" s="27">
        <f t="shared" si="101"/>
        <v>2.2649739644680159E-2</v>
      </c>
      <c r="FI56" s="27">
        <f t="shared" si="101"/>
        <v>0.22426507550991806</v>
      </c>
    </row>
    <row r="58" spans="1:175" ht="35" customHeight="1"/>
    <row r="60" spans="1:175" ht="23">
      <c r="A60" s="52" t="s">
        <v>195</v>
      </c>
    </row>
    <row r="61" spans="1:175" ht="18">
      <c r="A61" s="30" t="s">
        <v>196</v>
      </c>
      <c r="B61" s="31"/>
      <c r="U61" s="21"/>
    </row>
    <row r="62" spans="1:175" s="40" customFormat="1" ht="89" customHeight="1">
      <c r="A62" s="13" t="s">
        <v>164</v>
      </c>
      <c r="B62" s="14" t="s">
        <v>0</v>
      </c>
      <c r="C62" s="14" t="s">
        <v>71</v>
      </c>
      <c r="D62" s="14" t="s">
        <v>72</v>
      </c>
      <c r="E62" s="14" t="s">
        <v>73</v>
      </c>
      <c r="F62" s="14" t="s">
        <v>74</v>
      </c>
      <c r="G62" s="14" t="s">
        <v>75</v>
      </c>
      <c r="H62" s="14" t="s">
        <v>76</v>
      </c>
      <c r="I62" s="14" t="s">
        <v>77</v>
      </c>
      <c r="J62" s="14" t="s">
        <v>78</v>
      </c>
      <c r="K62" s="14" t="s">
        <v>79</v>
      </c>
      <c r="L62" s="14" t="s">
        <v>80</v>
      </c>
      <c r="M62" s="14" t="s">
        <v>81</v>
      </c>
      <c r="N62" s="14" t="s">
        <v>82</v>
      </c>
      <c r="O62" s="14" t="s">
        <v>83</v>
      </c>
      <c r="P62" s="14" t="s">
        <v>84</v>
      </c>
      <c r="Q62" s="14" t="s">
        <v>85</v>
      </c>
      <c r="R62" s="14" t="s">
        <v>86</v>
      </c>
      <c r="S62" s="14" t="s">
        <v>87</v>
      </c>
      <c r="T62" s="14" t="s">
        <v>88</v>
      </c>
      <c r="U62" s="55"/>
      <c r="V62" s="14" t="s">
        <v>89</v>
      </c>
      <c r="W62" s="14" t="s">
        <v>90</v>
      </c>
      <c r="X62" s="14" t="s">
        <v>91</v>
      </c>
      <c r="Y62" s="14" t="s">
        <v>92</v>
      </c>
      <c r="Z62" s="14" t="s">
        <v>93</v>
      </c>
      <c r="AA62" s="14" t="s">
        <v>94</v>
      </c>
      <c r="AB62" s="14" t="s">
        <v>95</v>
      </c>
      <c r="AC62" s="14" t="s">
        <v>96</v>
      </c>
      <c r="AD62" s="14" t="s">
        <v>97</v>
      </c>
      <c r="AE62" s="14" t="s">
        <v>98</v>
      </c>
      <c r="AF62" s="14" t="s">
        <v>99</v>
      </c>
      <c r="AG62" s="14" t="s">
        <v>100</v>
      </c>
      <c r="AH62" s="14" t="s">
        <v>101</v>
      </c>
      <c r="AI62" s="14" t="s">
        <v>102</v>
      </c>
      <c r="AJ62" s="14" t="s">
        <v>103</v>
      </c>
      <c r="AK62" s="14" t="s">
        <v>104</v>
      </c>
      <c r="AL62" s="14" t="s">
        <v>105</v>
      </c>
      <c r="AM62" s="14" t="s">
        <v>106</v>
      </c>
      <c r="AN62" s="14" t="s">
        <v>107</v>
      </c>
      <c r="AO62" s="14" t="s">
        <v>108</v>
      </c>
      <c r="AP62" s="14" t="s">
        <v>109</v>
      </c>
      <c r="AQ62" s="14" t="s">
        <v>110</v>
      </c>
      <c r="AR62" s="14" t="s">
        <v>111</v>
      </c>
      <c r="AS62" s="14" t="s">
        <v>112</v>
      </c>
      <c r="AT62" s="14" t="s">
        <v>113</v>
      </c>
      <c r="AU62" s="55"/>
      <c r="AV62" s="14" t="s">
        <v>160</v>
      </c>
      <c r="AW62" s="14" t="s">
        <v>114</v>
      </c>
      <c r="AX62" s="14" t="s">
        <v>115</v>
      </c>
      <c r="AY62" s="14" t="s">
        <v>116</v>
      </c>
      <c r="AZ62" s="14" t="s">
        <v>117</v>
      </c>
      <c r="BA62" s="14" t="s">
        <v>118</v>
      </c>
      <c r="BB62" s="14" t="s">
        <v>119</v>
      </c>
      <c r="BC62" s="14" t="s">
        <v>120</v>
      </c>
      <c r="BD62" s="14" t="s">
        <v>121</v>
      </c>
      <c r="BE62" s="14" t="s">
        <v>122</v>
      </c>
      <c r="BF62" s="14" t="s">
        <v>123</v>
      </c>
      <c r="BG62" s="14" t="s">
        <v>124</v>
      </c>
      <c r="BH62" s="14" t="s">
        <v>125</v>
      </c>
      <c r="BI62" s="14" t="s">
        <v>126</v>
      </c>
      <c r="BJ62" s="14" t="s">
        <v>127</v>
      </c>
      <c r="BK62" s="14" t="s">
        <v>128</v>
      </c>
      <c r="BL62" s="14" t="s">
        <v>129</v>
      </c>
      <c r="BM62" s="14" t="s">
        <v>130</v>
      </c>
      <c r="BN62" s="14" t="s">
        <v>131</v>
      </c>
      <c r="BO62" s="14" t="s">
        <v>132</v>
      </c>
      <c r="BP62" s="14" t="s">
        <v>133</v>
      </c>
      <c r="BQ62" s="14" t="s">
        <v>134</v>
      </c>
      <c r="BR62" s="14" t="s">
        <v>135</v>
      </c>
      <c r="BS62" s="14" t="s">
        <v>136</v>
      </c>
      <c r="BT62" s="14" t="s">
        <v>137</v>
      </c>
      <c r="BU62" s="14" t="s">
        <v>138</v>
      </c>
      <c r="BV62" s="14" t="s">
        <v>139</v>
      </c>
      <c r="BW62" s="14" t="s">
        <v>140</v>
      </c>
      <c r="BX62" s="14" t="s">
        <v>141</v>
      </c>
      <c r="BY62" s="14" t="s">
        <v>142</v>
      </c>
      <c r="BZ62" s="14" t="s">
        <v>143</v>
      </c>
      <c r="CA62" s="14" t="s">
        <v>144</v>
      </c>
      <c r="CB62" s="14" t="s">
        <v>145</v>
      </c>
      <c r="CC62" s="14" t="s">
        <v>146</v>
      </c>
      <c r="CD62" s="14" t="s">
        <v>147</v>
      </c>
      <c r="CE62" s="14" t="s">
        <v>148</v>
      </c>
      <c r="CF62" s="14" t="s">
        <v>149</v>
      </c>
      <c r="CG62" s="14" t="s">
        <v>150</v>
      </c>
      <c r="CH62" s="14" t="s">
        <v>151</v>
      </c>
      <c r="CI62" s="14" t="s">
        <v>152</v>
      </c>
      <c r="CJ62" s="14" t="s">
        <v>153</v>
      </c>
      <c r="CK62" s="14" t="s">
        <v>154</v>
      </c>
      <c r="CL62" s="14" t="s">
        <v>155</v>
      </c>
      <c r="CM62" s="14" t="s">
        <v>156</v>
      </c>
      <c r="CN62" s="14" t="s">
        <v>157</v>
      </c>
      <c r="CO62" s="14" t="s">
        <v>158</v>
      </c>
      <c r="CP62" s="55"/>
      <c r="CQ62" s="14" t="s">
        <v>1</v>
      </c>
      <c r="CR62" s="14" t="s">
        <v>2</v>
      </c>
      <c r="CS62" s="14" t="s">
        <v>3</v>
      </c>
      <c r="CT62" s="14" t="s">
        <v>4</v>
      </c>
      <c r="CU62" s="14" t="s">
        <v>5</v>
      </c>
      <c r="CV62" s="14" t="s">
        <v>6</v>
      </c>
      <c r="CW62" s="14" t="s">
        <v>7</v>
      </c>
      <c r="CX62" s="14" t="s">
        <v>8</v>
      </c>
      <c r="CY62" s="14" t="s">
        <v>9</v>
      </c>
      <c r="CZ62" s="14" t="s">
        <v>10</v>
      </c>
      <c r="DA62" s="14" t="s">
        <v>11</v>
      </c>
      <c r="DB62" s="14" t="s">
        <v>12</v>
      </c>
      <c r="DC62" s="14" t="s">
        <v>13</v>
      </c>
      <c r="DD62" s="14" t="s">
        <v>14</v>
      </c>
      <c r="DE62" s="14" t="s">
        <v>15</v>
      </c>
      <c r="DF62" s="14" t="s">
        <v>16</v>
      </c>
      <c r="DG62" s="14" t="s">
        <v>17</v>
      </c>
      <c r="DH62" s="14" t="s">
        <v>18</v>
      </c>
      <c r="DI62" s="14" t="s">
        <v>19</v>
      </c>
      <c r="DJ62" s="14" t="s">
        <v>20</v>
      </c>
      <c r="DK62" s="14" t="s">
        <v>21</v>
      </c>
      <c r="DL62" s="14" t="s">
        <v>22</v>
      </c>
      <c r="DM62" s="14" t="s">
        <v>23</v>
      </c>
      <c r="DN62" s="14" t="s">
        <v>24</v>
      </c>
      <c r="DO62" s="14" t="s">
        <v>25</v>
      </c>
      <c r="DP62" s="14" t="s">
        <v>26</v>
      </c>
      <c r="DQ62" s="14" t="s">
        <v>27</v>
      </c>
      <c r="DR62" s="14" t="s">
        <v>28</v>
      </c>
      <c r="DS62" s="14" t="s">
        <v>29</v>
      </c>
      <c r="DT62" s="14" t="s">
        <v>30</v>
      </c>
      <c r="DU62" s="14" t="s">
        <v>31</v>
      </c>
      <c r="DV62" s="14" t="s">
        <v>32</v>
      </c>
      <c r="DW62" s="14" t="s">
        <v>33</v>
      </c>
      <c r="DX62" s="14" t="s">
        <v>34</v>
      </c>
      <c r="DY62" s="14" t="s">
        <v>35</v>
      </c>
      <c r="DZ62" s="14" t="s">
        <v>36</v>
      </c>
      <c r="EA62" s="14" t="s">
        <v>37</v>
      </c>
      <c r="EB62" s="14" t="s">
        <v>38</v>
      </c>
      <c r="EC62" s="14" t="s">
        <v>39</v>
      </c>
      <c r="ED62" s="14" t="s">
        <v>40</v>
      </c>
      <c r="EE62" s="14" t="s">
        <v>41</v>
      </c>
      <c r="EF62" s="14" t="s">
        <v>42</v>
      </c>
      <c r="EG62" s="14" t="s">
        <v>43</v>
      </c>
      <c r="EH62" s="14" t="s">
        <v>44</v>
      </c>
      <c r="EI62" s="14" t="s">
        <v>45</v>
      </c>
      <c r="EJ62" s="14" t="s">
        <v>46</v>
      </c>
      <c r="EK62" s="14" t="s">
        <v>47</v>
      </c>
      <c r="EL62" s="14" t="s">
        <v>48</v>
      </c>
      <c r="EM62" s="14" t="s">
        <v>49</v>
      </c>
      <c r="EN62" s="14" t="s">
        <v>50</v>
      </c>
      <c r="EO62" s="14" t="s">
        <v>51</v>
      </c>
      <c r="EP62" s="55"/>
      <c r="EQ62" s="14" t="s">
        <v>52</v>
      </c>
      <c r="ER62" s="14" t="s">
        <v>53</v>
      </c>
      <c r="ES62" s="14" t="s">
        <v>54</v>
      </c>
      <c r="ET62" s="14" t="s">
        <v>55</v>
      </c>
      <c r="EU62" s="14" t="s">
        <v>56</v>
      </c>
      <c r="EV62" s="14" t="s">
        <v>57</v>
      </c>
      <c r="EW62" s="14" t="s">
        <v>58</v>
      </c>
      <c r="EX62" s="14" t="s">
        <v>59</v>
      </c>
      <c r="EY62" s="14" t="s">
        <v>60</v>
      </c>
      <c r="EZ62" s="14" t="s">
        <v>61</v>
      </c>
      <c r="FA62" s="14" t="s">
        <v>62</v>
      </c>
      <c r="FB62" s="14" t="s">
        <v>63</v>
      </c>
      <c r="FC62" s="14" t="s">
        <v>64</v>
      </c>
      <c r="FD62" s="14" t="s">
        <v>65</v>
      </c>
      <c r="FE62" s="14" t="s">
        <v>66</v>
      </c>
      <c r="FF62" s="14" t="s">
        <v>67</v>
      </c>
      <c r="FG62" s="14" t="s">
        <v>68</v>
      </c>
      <c r="FH62" s="14" t="s">
        <v>69</v>
      </c>
      <c r="FI62" s="14" t="s">
        <v>70</v>
      </c>
      <c r="FJ62" s="39"/>
      <c r="FK62" s="39"/>
      <c r="FL62" s="39"/>
      <c r="FM62" s="39"/>
      <c r="FN62" s="39"/>
      <c r="FO62" s="39"/>
      <c r="FP62" s="39"/>
      <c r="FQ62" s="39"/>
      <c r="FR62" s="39"/>
      <c r="FS62" s="39"/>
    </row>
    <row r="63" spans="1:175" ht="15">
      <c r="A63" s="42" t="s">
        <v>177</v>
      </c>
      <c r="B63" s="22"/>
      <c r="U63" s="21"/>
    </row>
    <row r="64" spans="1:175" ht="15">
      <c r="A64" s="9" t="s">
        <v>218</v>
      </c>
      <c r="B64" s="41" t="s">
        <v>184</v>
      </c>
      <c r="C64" s="54">
        <f>C36/$U36</f>
        <v>1.525902330900536</v>
      </c>
      <c r="D64" s="54">
        <f t="shared" ref="D64:T64" si="102">D36/$U36</f>
        <v>0.98002194671409582</v>
      </c>
      <c r="E64" s="54">
        <f t="shared" si="102"/>
        <v>1.7356725185827242</v>
      </c>
      <c r="F64" s="54">
        <f t="shared" si="102"/>
        <v>1.5707497161989892</v>
      </c>
      <c r="G64" s="54">
        <f t="shared" si="102"/>
        <v>0.77506371865736723</v>
      </c>
      <c r="H64" s="54">
        <f t="shared" si="102"/>
        <v>1.0080306021091172</v>
      </c>
      <c r="I64" s="54">
        <f t="shared" si="102"/>
        <v>1.0680200026560216</v>
      </c>
      <c r="J64" s="54">
        <f t="shared" si="102"/>
        <v>1.8825595532935884</v>
      </c>
      <c r="K64" s="54">
        <f t="shared" si="102"/>
        <v>1.7881330144188978</v>
      </c>
      <c r="L64" s="54">
        <f t="shared" si="102"/>
        <v>1.2644313509793399</v>
      </c>
      <c r="M64" s="54">
        <f t="shared" si="102"/>
        <v>1.0506731745310123</v>
      </c>
      <c r="N64" s="54">
        <f t="shared" si="102"/>
        <v>0</v>
      </c>
      <c r="O64" s="54">
        <f t="shared" si="102"/>
        <v>0</v>
      </c>
      <c r="P64" s="54">
        <f t="shared" si="102"/>
        <v>0</v>
      </c>
      <c r="Q64" s="54">
        <f t="shared" si="102"/>
        <v>0</v>
      </c>
      <c r="R64" s="54">
        <f t="shared" si="102"/>
        <v>0.76115293882911383</v>
      </c>
      <c r="S64" s="54">
        <f t="shared" si="102"/>
        <v>0.99196939789088301</v>
      </c>
      <c r="T64" s="54">
        <f t="shared" si="102"/>
        <v>0.83616211889785896</v>
      </c>
      <c r="V64" s="54">
        <f>V48/$AU48</f>
        <v>1.3007736563289445</v>
      </c>
      <c r="W64" s="54">
        <f t="shared" ref="W64:AT64" si="103">W48/$AU48</f>
        <v>1.3279317893746532</v>
      </c>
      <c r="X64" s="54">
        <f t="shared" si="103"/>
        <v>1.3362018062433343</v>
      </c>
      <c r="Y64" s="54">
        <f t="shared" si="103"/>
        <v>0.62439023813600836</v>
      </c>
      <c r="Z64" s="54">
        <f t="shared" si="103"/>
        <v>0.97677231958506749</v>
      </c>
      <c r="AA64" s="54">
        <f t="shared" si="103"/>
        <v>1.5193904181304756</v>
      </c>
      <c r="AB64" s="54">
        <f t="shared" si="103"/>
        <v>1.0755556177181105</v>
      </c>
      <c r="AC64" s="54">
        <f t="shared" si="103"/>
        <v>1.3261191958306793</v>
      </c>
      <c r="AD64" s="54">
        <f t="shared" si="103"/>
        <v>0.9919639690367551</v>
      </c>
      <c r="AE64" s="54">
        <f t="shared" si="103"/>
        <v>1.1561143696198877</v>
      </c>
      <c r="AF64" s="54">
        <f t="shared" si="103"/>
        <v>1.2505480284905985</v>
      </c>
      <c r="AG64" s="54">
        <f t="shared" si="103"/>
        <v>0.84733251662433462</v>
      </c>
      <c r="AH64" s="54">
        <f t="shared" si="103"/>
        <v>0.97005994237571147</v>
      </c>
      <c r="AI64" s="54">
        <f t="shared" si="103"/>
        <v>1.1310953472359084</v>
      </c>
      <c r="AJ64" s="54">
        <f t="shared" si="103"/>
        <v>1</v>
      </c>
      <c r="AK64" s="54">
        <f t="shared" si="103"/>
        <v>0.71717592854194356</v>
      </c>
      <c r="AL64" s="54">
        <f t="shared" si="103"/>
        <v>0.69506767528004565</v>
      </c>
      <c r="AM64" s="54">
        <f t="shared" si="103"/>
        <v>1.0893056603558164</v>
      </c>
      <c r="AN64" s="54">
        <f t="shared" si="103"/>
        <v>1.0575644798404036</v>
      </c>
      <c r="AO64" s="54">
        <f t="shared" si="103"/>
        <v>0.65027551753019308</v>
      </c>
      <c r="AP64" s="54">
        <f t="shared" si="103"/>
        <v>0.80740636001941035</v>
      </c>
      <c r="AQ64" s="54">
        <f t="shared" si="103"/>
        <v>0.82024349163919064</v>
      </c>
      <c r="AR64" s="54">
        <f t="shared" si="103"/>
        <v>0.88195080171795426</v>
      </c>
      <c r="AS64" s="54">
        <f t="shared" si="103"/>
        <v>1.0537528042767288</v>
      </c>
      <c r="AT64" s="54">
        <f t="shared" si="103"/>
        <v>0.93941092327906162</v>
      </c>
      <c r="AV64" s="54">
        <f>AV36/$CP36</f>
        <v>0.42455308252505464</v>
      </c>
      <c r="AW64" s="54">
        <f t="shared" ref="AW64:CO64" si="104">AW36/$CP36</f>
        <v>0.87936939725005558</v>
      </c>
      <c r="AX64" s="54">
        <f t="shared" si="104"/>
        <v>0.76154811195003724</v>
      </c>
      <c r="AY64" s="54">
        <f t="shared" si="104"/>
        <v>0.69665169845567387</v>
      </c>
      <c r="AZ64" s="54">
        <f t="shared" si="104"/>
        <v>0.59913565492650533</v>
      </c>
      <c r="BA64" s="54">
        <f t="shared" si="104"/>
        <v>0.87960803815841282</v>
      </c>
      <c r="BB64" s="54">
        <f t="shared" si="104"/>
        <v>1.3054872889683273</v>
      </c>
      <c r="BC64" s="54">
        <f t="shared" si="104"/>
        <v>1.2540484812844157</v>
      </c>
      <c r="BD64" s="54">
        <f t="shared" si="104"/>
        <v>0.9995734747353443</v>
      </c>
      <c r="BE64" s="54">
        <f t="shared" si="104"/>
        <v>0.86029963629980455</v>
      </c>
      <c r="BF64" s="54">
        <f t="shared" si="104"/>
        <v>1.0319127752253436</v>
      </c>
      <c r="BG64" s="54">
        <f t="shared" si="104"/>
        <v>1.0159455591409079</v>
      </c>
      <c r="BH64" s="54">
        <f t="shared" si="104"/>
        <v>1.0647666304061914</v>
      </c>
      <c r="BI64" s="54">
        <f t="shared" si="104"/>
        <v>1.0303253849726006</v>
      </c>
      <c r="BJ64" s="54">
        <f t="shared" si="104"/>
        <v>1.4634456870753609</v>
      </c>
      <c r="BK64" s="54">
        <f t="shared" si="104"/>
        <v>1.4160660364405506</v>
      </c>
      <c r="BL64" s="54">
        <f t="shared" si="104"/>
        <v>1.2403552752630225</v>
      </c>
      <c r="BM64" s="54">
        <f t="shared" si="104"/>
        <v>1.2451165958480699</v>
      </c>
      <c r="BN64" s="54">
        <f t="shared" si="104"/>
        <v>0.96560420721588136</v>
      </c>
      <c r="BO64" s="54">
        <f t="shared" si="104"/>
        <v>0.87378979407371471</v>
      </c>
      <c r="BP64" s="54">
        <f t="shared" si="104"/>
        <v>0.93234419063067064</v>
      </c>
      <c r="BQ64" s="54">
        <f t="shared" si="104"/>
        <v>0.83748253327896705</v>
      </c>
      <c r="BR64" s="54">
        <f t="shared" si="104"/>
        <v>1.0815343801435457</v>
      </c>
      <c r="BS64" s="54">
        <f t="shared" si="104"/>
        <v>1.1052889357778475</v>
      </c>
      <c r="BT64" s="54">
        <f t="shared" si="104"/>
        <v>1.0631867175574061</v>
      </c>
      <c r="BU64" s="54">
        <f t="shared" si="104"/>
        <v>0.93523670032801931</v>
      </c>
      <c r="BV64" s="54">
        <f t="shared" si="104"/>
        <v>0.99294920258340036</v>
      </c>
      <c r="BW64" s="54">
        <f t="shared" si="104"/>
        <v>1.1081028716701562</v>
      </c>
      <c r="BX64" s="54">
        <f t="shared" si="104"/>
        <v>1.2963900653423428</v>
      </c>
      <c r="BY64" s="54">
        <f t="shared" si="104"/>
        <v>1.4499117112948563</v>
      </c>
      <c r="BZ64" s="54">
        <f t="shared" si="104"/>
        <v>1.2581901008176675</v>
      </c>
      <c r="CA64" s="54">
        <f t="shared" si="104"/>
        <v>1.1175623016191141</v>
      </c>
      <c r="CB64" s="54">
        <f t="shared" si="104"/>
        <v>1.0017040028815132</v>
      </c>
      <c r="CC64" s="54">
        <f t="shared" si="104"/>
        <v>1.0004265252646556</v>
      </c>
      <c r="CD64" s="54">
        <f t="shared" si="104"/>
        <v>1.1824315115714104</v>
      </c>
      <c r="CE64" s="54">
        <f t="shared" si="104"/>
        <v>1.2052760403855167</v>
      </c>
      <c r="CF64" s="54">
        <f t="shared" si="104"/>
        <v>1.171167823939866</v>
      </c>
      <c r="CG64" s="54">
        <f t="shared" si="104"/>
        <v>0.56090829987719515</v>
      </c>
      <c r="CH64" s="54">
        <f t="shared" si="104"/>
        <v>0.48047108998245508</v>
      </c>
      <c r="CI64" s="54">
        <f t="shared" si="104"/>
        <v>0.38968364041086168</v>
      </c>
      <c r="CJ64" s="54">
        <f t="shared" si="104"/>
        <v>0.70969914875332107</v>
      </c>
      <c r="CK64" s="54">
        <f t="shared" si="104"/>
        <v>0.79271467954953412</v>
      </c>
      <c r="CL64" s="54">
        <f t="shared" si="104"/>
        <v>0.59728061967629442</v>
      </c>
      <c r="CM64" s="54">
        <f t="shared" si="104"/>
        <v>0.84588150090215264</v>
      </c>
      <c r="CN64" s="54">
        <f t="shared" si="104"/>
        <v>0.55151488238172608</v>
      </c>
      <c r="CO64" s="54">
        <f t="shared" si="104"/>
        <v>0.49029141158492701</v>
      </c>
      <c r="CQ64" s="61">
        <f>CQ36/$EP36</f>
        <v>0.72387909967558806</v>
      </c>
      <c r="CR64" s="61">
        <f t="shared" ref="CR64:EO64" si="105">CR36/$EP36</f>
        <v>0.76355936081356901</v>
      </c>
      <c r="CS64" s="61">
        <f t="shared" si="105"/>
        <v>0.90902988122211736</v>
      </c>
      <c r="CT64" s="61">
        <f t="shared" si="105"/>
        <v>0.76281967692432784</v>
      </c>
      <c r="CU64" s="61">
        <f t="shared" si="105"/>
        <v>0.49853815125705092</v>
      </c>
      <c r="CV64" s="61">
        <f t="shared" si="105"/>
        <v>0.63780161672604496</v>
      </c>
      <c r="CW64" s="61">
        <f t="shared" si="105"/>
        <v>1.2549075123313886</v>
      </c>
      <c r="CX64" s="61">
        <f t="shared" si="105"/>
        <v>1.4675368420190003</v>
      </c>
      <c r="CY64" s="61">
        <f t="shared" si="105"/>
        <v>0.87019620348107785</v>
      </c>
      <c r="CZ64" s="61">
        <f t="shared" si="105"/>
        <v>0.9642362747961456</v>
      </c>
      <c r="DA64" s="61">
        <f t="shared" si="105"/>
        <v>1.1242696880654499</v>
      </c>
      <c r="DB64" s="61">
        <f t="shared" si="105"/>
        <v>1.3389319833989546</v>
      </c>
      <c r="DC64" s="61">
        <f t="shared" si="105"/>
        <v>0.98974060586343127</v>
      </c>
      <c r="DD64" s="61">
        <f t="shared" si="105"/>
        <v>1.084395572432191</v>
      </c>
      <c r="DE64" s="61">
        <f t="shared" si="105"/>
        <v>1.510709204658429</v>
      </c>
      <c r="DF64" s="61">
        <f t="shared" si="105"/>
        <v>1.5403404515510553</v>
      </c>
      <c r="DG64" s="61">
        <f t="shared" si="105"/>
        <v>1.1128486233570076</v>
      </c>
      <c r="DH64" s="61">
        <f t="shared" si="105"/>
        <v>0.86558440335026876</v>
      </c>
      <c r="DI64" s="61">
        <f t="shared" si="105"/>
        <v>0.54743440252325237</v>
      </c>
      <c r="DJ64" s="61">
        <f t="shared" si="105"/>
        <v>0.95146095070046932</v>
      </c>
      <c r="DK64" s="61">
        <f t="shared" si="105"/>
        <v>1.0318430527763993</v>
      </c>
      <c r="DL64" s="61">
        <f t="shared" si="105"/>
        <v>1.0392602469868137</v>
      </c>
      <c r="DM64" s="61">
        <f t="shared" si="105"/>
        <v>1.2313626105371935</v>
      </c>
      <c r="DN64" s="61">
        <f t="shared" si="105"/>
        <v>1.0350927331834441</v>
      </c>
      <c r="DO64" s="61">
        <f t="shared" si="105"/>
        <v>1.4355703346544237</v>
      </c>
      <c r="DP64" s="61">
        <f t="shared" si="105"/>
        <v>1.4464771759649835</v>
      </c>
      <c r="DQ64" s="61">
        <f t="shared" si="105"/>
        <v>1.3478499900022027</v>
      </c>
      <c r="DR64" s="61">
        <f t="shared" si="105"/>
        <v>1.3388694856230161</v>
      </c>
      <c r="DS64" s="61">
        <f t="shared" si="105"/>
        <v>1.0165890654239278</v>
      </c>
      <c r="DT64" s="61">
        <f t="shared" si="105"/>
        <v>0.69825603537658387</v>
      </c>
      <c r="DU64" s="61">
        <f t="shared" si="105"/>
        <v>1.1476779216572004</v>
      </c>
      <c r="DV64" s="61">
        <f t="shared" si="105"/>
        <v>0.96807768601530586</v>
      </c>
      <c r="DW64" s="61">
        <f t="shared" si="105"/>
        <v>0.46890838613718999</v>
      </c>
      <c r="DX64" s="61">
        <f t="shared" si="105"/>
        <v>0.9986717205297162</v>
      </c>
      <c r="DY64" s="61">
        <f t="shared" si="105"/>
        <v>0.99474838177379632</v>
      </c>
      <c r="DZ64" s="61">
        <f t="shared" si="105"/>
        <v>1.0908885587025043</v>
      </c>
      <c r="EA64" s="61">
        <f t="shared" si="105"/>
        <v>0.94997936933878413</v>
      </c>
      <c r="EB64" s="61">
        <f t="shared" si="105"/>
        <v>0.54803499796541977</v>
      </c>
      <c r="EC64" s="61">
        <f t="shared" si="105"/>
        <v>1.001328279470284</v>
      </c>
      <c r="ED64" s="61">
        <f t="shared" si="105"/>
        <v>1.2313914170810611</v>
      </c>
      <c r="EE64" s="61">
        <f t="shared" si="105"/>
        <v>1.159016547614091</v>
      </c>
      <c r="EF64" s="61">
        <f t="shared" si="105"/>
        <v>1.2766516247465671</v>
      </c>
      <c r="EG64" s="61">
        <f t="shared" si="105"/>
        <v>1.1409859288945352</v>
      </c>
      <c r="EH64" s="61">
        <f t="shared" si="105"/>
        <v>1.0119325176043741</v>
      </c>
      <c r="EI64" s="61">
        <f t="shared" si="105"/>
        <v>0.92312485852464787</v>
      </c>
      <c r="EJ64" s="61">
        <f t="shared" si="105"/>
        <v>0.70887411548407619</v>
      </c>
      <c r="EK64" s="61">
        <f t="shared" si="105"/>
        <v>0.79761951894452388</v>
      </c>
      <c r="EL64" s="61">
        <f t="shared" si="105"/>
        <v>0.6453531451999277</v>
      </c>
      <c r="EM64" s="61">
        <f t="shared" si="105"/>
        <v>0.81952187642723751</v>
      </c>
      <c r="EN64" s="61">
        <f t="shared" si="105"/>
        <v>0.90259468752043648</v>
      </c>
      <c r="EO64" s="61">
        <f t="shared" si="105"/>
        <v>0.74958559275835279</v>
      </c>
      <c r="EQ64" s="59">
        <f>EQ36/$FJ36</f>
        <v>1.0623114071906228</v>
      </c>
      <c r="ER64" s="59">
        <f t="shared" ref="ER64:FI64" si="106">ER36/$FJ36</f>
        <v>1.3780527127527591</v>
      </c>
      <c r="ES64" s="59">
        <f t="shared" si="106"/>
        <v>1.1742011850932224</v>
      </c>
      <c r="ET64" s="59">
        <f t="shared" si="106"/>
        <v>0.54453737352451381</v>
      </c>
      <c r="EU64" s="59">
        <f t="shared" si="106"/>
        <v>0.85916588835112273</v>
      </c>
      <c r="EV64" s="59">
        <f t="shared" si="106"/>
        <v>0.74194181867141218</v>
      </c>
      <c r="EW64" s="59">
        <f t="shared" si="106"/>
        <v>0.73795767800401346</v>
      </c>
      <c r="EX64" s="59">
        <f t="shared" si="106"/>
        <v>1.0044615392271865</v>
      </c>
      <c r="EY64" s="59">
        <f t="shared" si="106"/>
        <v>1.1532914016637166</v>
      </c>
      <c r="EZ64" s="59">
        <f t="shared" si="106"/>
        <v>1.0307635583002384</v>
      </c>
      <c r="FA64" s="59">
        <f t="shared" si="106"/>
        <v>0.66796011010976486</v>
      </c>
      <c r="FB64" s="59">
        <f t="shared" si="106"/>
        <v>1.0606105276443387</v>
      </c>
      <c r="FC64" s="59">
        <f t="shared" si="106"/>
        <v>0.75151465091766323</v>
      </c>
      <c r="FD64" s="59">
        <f t="shared" si="106"/>
        <v>1.1204707919172541</v>
      </c>
      <c r="FE64" s="59">
        <f t="shared" si="106"/>
        <v>1.2592786687681652</v>
      </c>
      <c r="FF64" s="59">
        <f t="shared" si="106"/>
        <v>1</v>
      </c>
      <c r="FG64" s="59">
        <f t="shared" si="106"/>
        <v>0.94111097449289105</v>
      </c>
      <c r="FH64" s="59">
        <f t="shared" si="106"/>
        <v>0.74923072643725663</v>
      </c>
      <c r="FI64" s="59">
        <f t="shared" si="106"/>
        <v>0.67211323147729407</v>
      </c>
    </row>
    <row r="65" spans="1:166" ht="15">
      <c r="A65" s="9" t="s">
        <v>179</v>
      </c>
      <c r="B65" s="38" t="s">
        <v>184</v>
      </c>
      <c r="C65" s="54">
        <f t="shared" ref="C65:T65" si="107">C37/$U37</f>
        <v>1.504419254696296</v>
      </c>
      <c r="D65" s="54">
        <f t="shared" si="107"/>
        <v>1.0451540979376865</v>
      </c>
      <c r="E65" s="54">
        <f t="shared" si="107"/>
        <v>1.6892900026240236</v>
      </c>
      <c r="F65" s="54">
        <f t="shared" si="107"/>
        <v>1.478904940573295</v>
      </c>
      <c r="G65" s="54">
        <f t="shared" si="107"/>
        <v>0.85245934808785995</v>
      </c>
      <c r="H65" s="54">
        <f t="shared" si="107"/>
        <v>1.0295804478469488</v>
      </c>
      <c r="I65" s="54">
        <f t="shared" si="107"/>
        <v>0.86973538312345111</v>
      </c>
      <c r="J65" s="54">
        <f t="shared" si="107"/>
        <v>1.7006113194143637</v>
      </c>
      <c r="K65" s="54">
        <f t="shared" si="107"/>
        <v>1.6073115211391609</v>
      </c>
      <c r="L65" s="54">
        <f t="shared" si="107"/>
        <v>1.2691905616489707</v>
      </c>
      <c r="M65" s="54">
        <f t="shared" si="107"/>
        <v>0.58568368625889133</v>
      </c>
      <c r="N65" s="54">
        <f t="shared" si="107"/>
        <v>0.85790936340002777</v>
      </c>
      <c r="O65" s="54">
        <f t="shared" si="107"/>
        <v>0.70280575522994493</v>
      </c>
      <c r="P65" s="54">
        <f t="shared" si="107"/>
        <v>0.62834936025655386</v>
      </c>
      <c r="Q65" s="54">
        <f t="shared" si="107"/>
        <v>0</v>
      </c>
      <c r="R65" s="54">
        <f t="shared" si="107"/>
        <v>0.63362820597931213</v>
      </c>
      <c r="S65" s="54">
        <f t="shared" si="107"/>
        <v>0.97041955215305131</v>
      </c>
      <c r="T65" s="54">
        <f t="shared" si="107"/>
        <v>1.0305644396693858</v>
      </c>
      <c r="V65" s="54">
        <f t="shared" ref="V65:AT65" si="108">V49/$AU49</f>
        <v>1.3314677075710484</v>
      </c>
      <c r="W65" s="54">
        <f t="shared" si="108"/>
        <v>1.4068546502873027</v>
      </c>
      <c r="X65" s="54">
        <f t="shared" si="108"/>
        <v>1.4522693409103278</v>
      </c>
      <c r="Y65" s="54">
        <f t="shared" si="108"/>
        <v>0.54443573908517062</v>
      </c>
      <c r="Z65" s="54">
        <f t="shared" si="108"/>
        <v>0.89761415547986823</v>
      </c>
      <c r="AA65" s="54">
        <f t="shared" si="108"/>
        <v>1.7205417770444529</v>
      </c>
      <c r="AB65" s="54">
        <f t="shared" si="108"/>
        <v>1.2312083598552483</v>
      </c>
      <c r="AC65" s="54">
        <f t="shared" si="108"/>
        <v>1.3836489793498445</v>
      </c>
      <c r="AD65" s="54">
        <f t="shared" si="108"/>
        <v>1.0408448403946875</v>
      </c>
      <c r="AE65" s="54">
        <f t="shared" si="108"/>
        <v>1.2837452890205376</v>
      </c>
      <c r="AF65" s="54">
        <f t="shared" si="108"/>
        <v>1.3477561496560664</v>
      </c>
      <c r="AG65" s="54">
        <f t="shared" si="108"/>
        <v>0.88313372116079147</v>
      </c>
      <c r="AH65" s="54">
        <f t="shared" si="108"/>
        <v>1.0037866543827683</v>
      </c>
      <c r="AI65" s="54">
        <f t="shared" si="108"/>
        <v>1</v>
      </c>
      <c r="AJ65" s="54">
        <f t="shared" si="108"/>
        <v>0.80477854073975796</v>
      </c>
      <c r="AK65" s="54">
        <f t="shared" si="108"/>
        <v>0.78147439438698729</v>
      </c>
      <c r="AL65" s="54">
        <f t="shared" si="108"/>
        <v>0.67390815916689251</v>
      </c>
      <c r="AM65" s="54">
        <f t="shared" si="108"/>
        <v>0.95282286923051784</v>
      </c>
      <c r="AN65" s="54">
        <f t="shared" si="108"/>
        <v>1.0452165795097594</v>
      </c>
      <c r="AO65" s="54">
        <f t="shared" si="108"/>
        <v>0.43655159589099429</v>
      </c>
      <c r="AP65" s="54">
        <f t="shared" si="108"/>
        <v>0.82062030659203689</v>
      </c>
      <c r="AQ65" s="54">
        <f t="shared" si="108"/>
        <v>0.81741789939800202</v>
      </c>
      <c r="AR65" s="54">
        <f t="shared" si="108"/>
        <v>0.91725602360702374</v>
      </c>
      <c r="AS65" s="54">
        <f t="shared" si="108"/>
        <v>1.2003105044916533</v>
      </c>
      <c r="AT65" s="54">
        <f t="shared" si="108"/>
        <v>0.79135419207802826</v>
      </c>
      <c r="AV65" s="54">
        <f t="shared" ref="AV65:CO65" si="109">AV37/$CP37</f>
        <v>0.64015890229749273</v>
      </c>
      <c r="AW65" s="54">
        <f t="shared" si="109"/>
        <v>0.93805768414131419</v>
      </c>
      <c r="AX65" s="54">
        <f t="shared" si="109"/>
        <v>0.83452282767591401</v>
      </c>
      <c r="AY65" s="54">
        <f t="shared" si="109"/>
        <v>0.73293393160263598</v>
      </c>
      <c r="AZ65" s="54">
        <f t="shared" si="109"/>
        <v>0.5857076348184741</v>
      </c>
      <c r="BA65" s="54">
        <f t="shared" si="109"/>
        <v>1.0352768769309522</v>
      </c>
      <c r="BB65" s="54">
        <f t="shared" si="109"/>
        <v>1.2937437469517366</v>
      </c>
      <c r="BC65" s="54">
        <f t="shared" si="109"/>
        <v>1.2582785480054053</v>
      </c>
      <c r="BD65" s="54">
        <f t="shared" si="109"/>
        <v>1.0454990408026745</v>
      </c>
      <c r="BE65" s="54">
        <f t="shared" si="109"/>
        <v>0.8052889995331598</v>
      </c>
      <c r="BF65" s="54">
        <f t="shared" si="109"/>
        <v>1.0201950761094218</v>
      </c>
      <c r="BG65" s="54">
        <f t="shared" si="109"/>
        <v>1.0152960467527066</v>
      </c>
      <c r="BH65" s="54">
        <f t="shared" si="109"/>
        <v>1.0766349238298074</v>
      </c>
      <c r="BI65" s="54">
        <f t="shared" si="109"/>
        <v>1.0297605828833294</v>
      </c>
      <c r="BJ65" s="54">
        <f t="shared" si="109"/>
        <v>1.3846661637484703</v>
      </c>
      <c r="BK65" s="54">
        <f t="shared" si="109"/>
        <v>1.3741278053197985</v>
      </c>
      <c r="BL65" s="54">
        <f t="shared" si="109"/>
        <v>1.2335800778241086</v>
      </c>
      <c r="BM65" s="54">
        <f t="shared" si="109"/>
        <v>1.1993329495643739</v>
      </c>
      <c r="BN65" s="54">
        <f t="shared" si="109"/>
        <v>1.0087937507917073</v>
      </c>
      <c r="BO65" s="54">
        <f t="shared" si="109"/>
        <v>0.88694431223253978</v>
      </c>
      <c r="BP65" s="54">
        <f t="shared" si="109"/>
        <v>0.91558890595979359</v>
      </c>
      <c r="BQ65" s="54">
        <f t="shared" si="109"/>
        <v>0.84191253831550306</v>
      </c>
      <c r="BR65" s="54">
        <f t="shared" si="109"/>
        <v>1.0012431180634582</v>
      </c>
      <c r="BS65" s="54">
        <f t="shared" si="109"/>
        <v>0.99875688193654166</v>
      </c>
      <c r="BT65" s="54">
        <f t="shared" si="109"/>
        <v>0.97699328831400722</v>
      </c>
      <c r="BU65" s="54">
        <f t="shared" si="109"/>
        <v>0.86180325613109421</v>
      </c>
      <c r="BV65" s="54">
        <f t="shared" si="109"/>
        <v>1.0114694684241363</v>
      </c>
      <c r="BW65" s="54">
        <f t="shared" si="109"/>
        <v>1.0678918700013866</v>
      </c>
      <c r="BX65" s="54">
        <f t="shared" si="109"/>
        <v>1.2380264001576384</v>
      </c>
      <c r="BY65" s="54">
        <f t="shared" si="109"/>
        <v>1.3621921085900737</v>
      </c>
      <c r="BZ65" s="54">
        <f t="shared" si="109"/>
        <v>1.2117879294606613</v>
      </c>
      <c r="CA65" s="54">
        <f t="shared" si="109"/>
        <v>1.0865448651628533</v>
      </c>
      <c r="CB65" s="54">
        <f t="shared" si="109"/>
        <v>0.94020252526590209</v>
      </c>
      <c r="CC65" s="54">
        <f t="shared" si="109"/>
        <v>0.91507284916292364</v>
      </c>
      <c r="CD65" s="54">
        <f t="shared" si="109"/>
        <v>1.1291476523661206</v>
      </c>
      <c r="CE65" s="54">
        <f t="shared" si="109"/>
        <v>1.1701129704759397</v>
      </c>
      <c r="CF65" s="54">
        <f t="shared" si="109"/>
        <v>1.1101162796157307</v>
      </c>
      <c r="CG65" s="54">
        <f t="shared" si="109"/>
        <v>0.6958143955864039</v>
      </c>
      <c r="CH65" s="54">
        <f t="shared" si="109"/>
        <v>0.47926992218154724</v>
      </c>
      <c r="CI65" s="54">
        <f t="shared" si="109"/>
        <v>0.50857659193115257</v>
      </c>
      <c r="CJ65" s="54">
        <f t="shared" si="109"/>
        <v>0.59627021990208251</v>
      </c>
      <c r="CK65" s="54">
        <f t="shared" si="109"/>
        <v>0.77339268201710687</v>
      </c>
      <c r="CL65" s="54">
        <f t="shared" si="109"/>
        <v>0.58254933011240528</v>
      </c>
      <c r="CM65" s="54">
        <f t="shared" si="109"/>
        <v>0.73638605191296147</v>
      </c>
      <c r="CN65" s="54">
        <f t="shared" si="109"/>
        <v>0.6128858508419931</v>
      </c>
      <c r="CO65" s="54">
        <f t="shared" si="109"/>
        <v>0.50303421276979254</v>
      </c>
      <c r="CQ65" s="61">
        <f t="shared" ref="CQ65:EO65" si="110">CQ37/$EP37</f>
        <v>1.1264069800049901</v>
      </c>
      <c r="CR65" s="61">
        <f t="shared" si="110"/>
        <v>0.97782900194621358</v>
      </c>
      <c r="CS65" s="61">
        <f t="shared" si="110"/>
        <v>0.75917815948784229</v>
      </c>
      <c r="CT65" s="61">
        <f t="shared" si="110"/>
        <v>0.89803297045449904</v>
      </c>
      <c r="CU65" s="61">
        <f t="shared" si="110"/>
        <v>0.60626333962995582</v>
      </c>
      <c r="CV65" s="61">
        <f t="shared" si="110"/>
        <v>0.4655003064598523</v>
      </c>
      <c r="CW65" s="61">
        <f t="shared" si="110"/>
        <v>1.3268966450353445</v>
      </c>
      <c r="CX65" s="61">
        <f t="shared" si="110"/>
        <v>1.6044501743380026</v>
      </c>
      <c r="CY65" s="61">
        <f t="shared" si="110"/>
        <v>0.63151711410220113</v>
      </c>
      <c r="CZ65" s="61">
        <f t="shared" si="110"/>
        <v>1.1083333325559428</v>
      </c>
      <c r="DA65" s="61">
        <f t="shared" si="110"/>
        <v>1.1283234360396088</v>
      </c>
      <c r="DB65" s="61">
        <f t="shared" si="110"/>
        <v>1.3710395781688076</v>
      </c>
      <c r="DC65" s="61">
        <f t="shared" si="110"/>
        <v>0.99516872825432767</v>
      </c>
      <c r="DD65" s="61">
        <f t="shared" si="110"/>
        <v>0.91709278713939668</v>
      </c>
      <c r="DE65" s="61">
        <f t="shared" si="110"/>
        <v>1.1339604915692878</v>
      </c>
      <c r="DF65" s="61">
        <f t="shared" si="110"/>
        <v>1.5934185233182017</v>
      </c>
      <c r="DG65" s="61">
        <f t="shared" si="110"/>
        <v>0.83652633293586809</v>
      </c>
      <c r="DH65" s="61">
        <f t="shared" si="110"/>
        <v>0.64598529922477788</v>
      </c>
      <c r="DI65" s="61">
        <f t="shared" si="110"/>
        <v>0.82093034890991079</v>
      </c>
      <c r="DJ65" s="61">
        <f t="shared" si="110"/>
        <v>0.9883456942546599</v>
      </c>
      <c r="DK65" s="61">
        <f t="shared" si="110"/>
        <v>1.1251836532109738</v>
      </c>
      <c r="DL65" s="61">
        <f t="shared" si="110"/>
        <v>1.1820860608370578</v>
      </c>
      <c r="DM65" s="61">
        <f t="shared" si="110"/>
        <v>1.1945527222482788</v>
      </c>
      <c r="DN65" s="61">
        <f t="shared" si="110"/>
        <v>1.1186808878298415</v>
      </c>
      <c r="DO65" s="61">
        <f t="shared" si="110"/>
        <v>1.5516445883320795</v>
      </c>
      <c r="DP65" s="61">
        <f t="shared" si="110"/>
        <v>1.1233117741116789</v>
      </c>
      <c r="DQ65" s="61">
        <f t="shared" si="110"/>
        <v>1.4203075279872388</v>
      </c>
      <c r="DR65" s="61">
        <f t="shared" si="110"/>
        <v>1.3792898231690565</v>
      </c>
      <c r="DS65" s="61">
        <f t="shared" si="110"/>
        <v>0.75961240338964953</v>
      </c>
      <c r="DT65" s="61">
        <f t="shared" si="110"/>
        <v>0.70336826851608203</v>
      </c>
      <c r="DU65" s="61">
        <f t="shared" si="110"/>
        <v>1.1234325642445888</v>
      </c>
      <c r="DV65" s="61">
        <f t="shared" si="110"/>
        <v>1.0048312717456724</v>
      </c>
      <c r="DW65" s="61">
        <f t="shared" si="110"/>
        <v>0.75482347587671561</v>
      </c>
      <c r="DX65" s="61">
        <f t="shared" si="110"/>
        <v>0.63667122472882887</v>
      </c>
      <c r="DY65" s="61">
        <f t="shared" si="110"/>
        <v>0.83971564716675073</v>
      </c>
      <c r="DZ65" s="61">
        <f t="shared" si="110"/>
        <v>1.0193407571974233</v>
      </c>
      <c r="EA65" s="61">
        <f t="shared" si="110"/>
        <v>0.72232273380152112</v>
      </c>
      <c r="EB65" s="61">
        <f t="shared" si="110"/>
        <v>0.61125991298784577</v>
      </c>
      <c r="EC65" s="61">
        <f t="shared" si="110"/>
        <v>1.0826853826797975</v>
      </c>
      <c r="ED65" s="61">
        <f t="shared" si="110"/>
        <v>1.2860575400889327</v>
      </c>
      <c r="EE65" s="61">
        <f t="shared" si="110"/>
        <v>1.182097942717075</v>
      </c>
      <c r="EF65" s="61">
        <f t="shared" si="110"/>
        <v>1.2932570031894226</v>
      </c>
      <c r="EG65" s="61">
        <f t="shared" si="110"/>
        <v>1.2531990384396892</v>
      </c>
      <c r="EH65" s="61">
        <f t="shared" si="110"/>
        <v>1.1936159617211852</v>
      </c>
      <c r="EI65" s="61">
        <f t="shared" si="110"/>
        <v>0.66689049877594286</v>
      </c>
      <c r="EJ65" s="61">
        <f t="shared" si="110"/>
        <v>0.89565857355103629</v>
      </c>
      <c r="EK65" s="61">
        <f t="shared" si="110"/>
        <v>0.88659441878152956</v>
      </c>
      <c r="EL65" s="61">
        <f t="shared" si="110"/>
        <v>0.67396838948265758</v>
      </c>
      <c r="EM65" s="61">
        <f t="shared" si="110"/>
        <v>0.51921571447632464</v>
      </c>
      <c r="EN65" s="61">
        <f t="shared" si="110"/>
        <v>0.86690528929606314</v>
      </c>
      <c r="EO65" s="61">
        <f t="shared" si="110"/>
        <v>0.86243766924433651</v>
      </c>
      <c r="EQ65" s="59">
        <f t="shared" ref="EQ65:FI65" si="111">EQ37/$FJ37</f>
        <v>1.2021081845159889</v>
      </c>
      <c r="ER65" s="59">
        <f t="shared" si="111"/>
        <v>1.5179007939359435</v>
      </c>
      <c r="ES65" s="59">
        <f t="shared" si="111"/>
        <v>1.315635138824129</v>
      </c>
      <c r="ET65" s="59">
        <f t="shared" si="111"/>
        <v>0.56758258381010129</v>
      </c>
      <c r="EU65" s="59">
        <f t="shared" si="111"/>
        <v>0.80821069964548176</v>
      </c>
      <c r="EV65" s="59">
        <f t="shared" si="111"/>
        <v>0.73534364943314923</v>
      </c>
      <c r="EW65" s="59">
        <f t="shared" si="111"/>
        <v>1.0214160349908186</v>
      </c>
      <c r="EX65" s="59">
        <f t="shared" si="111"/>
        <v>1.172858839354781</v>
      </c>
      <c r="EY65" s="59">
        <f t="shared" si="111"/>
        <v>1.273482444839559</v>
      </c>
      <c r="EZ65" s="59">
        <f t="shared" si="111"/>
        <v>0.75026418374043735</v>
      </c>
      <c r="FA65" s="59">
        <f t="shared" si="111"/>
        <v>0.93046892458232522</v>
      </c>
      <c r="FB65" s="59">
        <f t="shared" si="111"/>
        <v>1.2452666082180472</v>
      </c>
      <c r="FC65" s="59">
        <f t="shared" si="111"/>
        <v>0.60151590395623711</v>
      </c>
      <c r="FD65" s="59">
        <f t="shared" si="111"/>
        <v>1.2823839728788715</v>
      </c>
      <c r="FE65" s="59">
        <f t="shared" si="111"/>
        <v>1.5494315896755517</v>
      </c>
      <c r="FF65" s="59">
        <f t="shared" si="111"/>
        <v>0.70586044166303263</v>
      </c>
      <c r="FG65" s="59">
        <f t="shared" si="111"/>
        <v>1</v>
      </c>
      <c r="FH65" s="59">
        <f t="shared" si="111"/>
        <v>0.64375169116032749</v>
      </c>
      <c r="FI65" s="59">
        <f t="shared" si="111"/>
        <v>0.86449447359611187</v>
      </c>
    </row>
    <row r="66" spans="1:166" ht="15">
      <c r="A66" s="9" t="s">
        <v>180</v>
      </c>
      <c r="B66" s="38" t="s">
        <v>184</v>
      </c>
      <c r="C66" s="54">
        <f t="shared" ref="C66:T66" si="112">C38/$U38</f>
        <v>1.5321688772167812</v>
      </c>
      <c r="D66" s="54">
        <f t="shared" si="112"/>
        <v>0.71945428885480023</v>
      </c>
      <c r="E66" s="54">
        <f t="shared" si="112"/>
        <v>1.7965253826232002</v>
      </c>
      <c r="F66" s="54">
        <f t="shared" si="112"/>
        <v>1.5597987610397186</v>
      </c>
      <c r="G66" s="54">
        <f t="shared" si="112"/>
        <v>1.0869781864177959</v>
      </c>
      <c r="H66" s="54">
        <f t="shared" si="112"/>
        <v>1.0146349126411236</v>
      </c>
      <c r="I66" s="54">
        <f t="shared" si="112"/>
        <v>0.81139218297603055</v>
      </c>
      <c r="J66" s="54">
        <f t="shared" si="112"/>
        <v>1.9926739743819561</v>
      </c>
      <c r="K66" s="54">
        <f t="shared" si="112"/>
        <v>1.889627466994966</v>
      </c>
      <c r="L66" s="54">
        <f t="shared" si="112"/>
        <v>1.3778212306144564</v>
      </c>
      <c r="M66" s="54">
        <f t="shared" si="112"/>
        <v>0.80261592811678384</v>
      </c>
      <c r="N66" s="54">
        <f t="shared" si="112"/>
        <v>1.0042816541845803</v>
      </c>
      <c r="O66" s="54">
        <f t="shared" si="112"/>
        <v>0.84280152428530997</v>
      </c>
      <c r="P66" s="54">
        <f t="shared" si="112"/>
        <v>0.76145963239794878</v>
      </c>
      <c r="Q66" s="54">
        <f t="shared" si="112"/>
        <v>0</v>
      </c>
      <c r="R66" s="54">
        <f t="shared" si="112"/>
        <v>0.88492650513429649</v>
      </c>
      <c r="S66" s="54">
        <f t="shared" si="112"/>
        <v>0.99571834581541963</v>
      </c>
      <c r="T66" s="54">
        <f t="shared" si="112"/>
        <v>0.79067309413279663</v>
      </c>
      <c r="V66" s="54">
        <f t="shared" ref="V66:AT66" si="113">V50/$AU50</f>
        <v>1.3015386762215964</v>
      </c>
      <c r="W66" s="54">
        <f t="shared" si="113"/>
        <v>1.3374492550935124</v>
      </c>
      <c r="X66" s="54">
        <f t="shared" si="113"/>
        <v>1.3919540800444237</v>
      </c>
      <c r="Y66" s="54">
        <f t="shared" si="113"/>
        <v>0.72501096460776548</v>
      </c>
      <c r="Z66" s="54">
        <f t="shared" si="113"/>
        <v>0.98539784812571996</v>
      </c>
      <c r="AA66" s="54">
        <f t="shared" si="113"/>
        <v>1.5302850175345426</v>
      </c>
      <c r="AB66" s="54">
        <f t="shared" si="113"/>
        <v>1.0747041672855191</v>
      </c>
      <c r="AC66" s="54">
        <f t="shared" si="113"/>
        <v>1.3174715126882968</v>
      </c>
      <c r="AD66" s="54">
        <f t="shared" si="113"/>
        <v>1</v>
      </c>
      <c r="AE66" s="54">
        <f t="shared" si="113"/>
        <v>1.1315418834109305</v>
      </c>
      <c r="AF66" s="54">
        <f t="shared" si="113"/>
        <v>1.2628542958119442</v>
      </c>
      <c r="AG66" s="54">
        <f t="shared" si="113"/>
        <v>0.74998925561847618</v>
      </c>
      <c r="AH66" s="54">
        <f t="shared" si="113"/>
        <v>0.9570576965187948</v>
      </c>
      <c r="AI66" s="54">
        <f t="shared" si="113"/>
        <v>1.0944424256330281</v>
      </c>
      <c r="AJ66" s="54">
        <f t="shared" si="113"/>
        <v>0.96184137355850696</v>
      </c>
      <c r="AK66" s="54">
        <f t="shared" si="113"/>
        <v>0.72570810756739557</v>
      </c>
      <c r="AL66" s="54">
        <f t="shared" si="113"/>
        <v>0.66752007432237792</v>
      </c>
      <c r="AM66" s="54">
        <f t="shared" si="113"/>
        <v>1.0524386746862435</v>
      </c>
      <c r="AN66" s="54">
        <f t="shared" si="113"/>
        <v>1.0927085370359577</v>
      </c>
      <c r="AO66" s="54">
        <f t="shared" si="113"/>
        <v>0.67645054157320306</v>
      </c>
      <c r="AP66" s="54">
        <f t="shared" si="113"/>
        <v>0.86634175159972682</v>
      </c>
      <c r="AQ66" s="54">
        <f t="shared" si="113"/>
        <v>0.79839765200932622</v>
      </c>
      <c r="AR66" s="54">
        <f t="shared" si="113"/>
        <v>0.90891998817053532</v>
      </c>
      <c r="AS66" s="54">
        <f t="shared" si="113"/>
        <v>1.0828530915283672</v>
      </c>
      <c r="AT66" s="54">
        <f t="shared" si="113"/>
        <v>0.93858692176364122</v>
      </c>
      <c r="AV66" s="54">
        <f t="shared" ref="AV66:CO66" si="114">AV38/$CP38</f>
        <v>0.44260392872616494</v>
      </c>
      <c r="AW66" s="54">
        <f t="shared" si="114"/>
        <v>0.88591090352321433</v>
      </c>
      <c r="AX66" s="54">
        <f t="shared" si="114"/>
        <v>0.72368383338201581</v>
      </c>
      <c r="AY66" s="54">
        <f t="shared" si="114"/>
        <v>0.667385617284868</v>
      </c>
      <c r="AZ66" s="54">
        <f t="shared" si="114"/>
        <v>0.5520342527146318</v>
      </c>
      <c r="BA66" s="54">
        <f t="shared" si="114"/>
        <v>1.0338043146916078</v>
      </c>
      <c r="BB66" s="54">
        <f t="shared" si="114"/>
        <v>1.274942108670958</v>
      </c>
      <c r="BC66" s="54">
        <f t="shared" si="114"/>
        <v>1.2415020508079158</v>
      </c>
      <c r="BD66" s="54">
        <f t="shared" si="114"/>
        <v>1.0006954468101081</v>
      </c>
      <c r="BE66" s="54">
        <f t="shared" si="114"/>
        <v>0.82367186218949995</v>
      </c>
      <c r="BF66" s="54">
        <f t="shared" si="114"/>
        <v>1.02607222064625</v>
      </c>
      <c r="BG66" s="54">
        <f t="shared" si="114"/>
        <v>1.0049647946405991</v>
      </c>
      <c r="BH66" s="54">
        <f t="shared" si="114"/>
        <v>1.0895815007185021</v>
      </c>
      <c r="BI66" s="54">
        <f t="shared" si="114"/>
        <v>1.0302005815551574</v>
      </c>
      <c r="BJ66" s="54">
        <f t="shared" si="114"/>
        <v>1.4177125033168512</v>
      </c>
      <c r="BK66" s="54">
        <f t="shared" si="114"/>
        <v>1.4031867985648661</v>
      </c>
      <c r="BL66" s="54">
        <f t="shared" si="114"/>
        <v>1.2371699189466998</v>
      </c>
      <c r="BM66" s="54">
        <f t="shared" si="114"/>
        <v>1.1919284367700227</v>
      </c>
      <c r="BN66" s="54">
        <f t="shared" si="114"/>
        <v>0.97616981417134874</v>
      </c>
      <c r="BO66" s="54">
        <f t="shared" si="114"/>
        <v>0.88956320785407916</v>
      </c>
      <c r="BP66" s="54">
        <f t="shared" si="114"/>
        <v>0.92673845785343589</v>
      </c>
      <c r="BQ66" s="54">
        <f t="shared" si="114"/>
        <v>0.85494414381416006</v>
      </c>
      <c r="BR66" s="54">
        <f t="shared" si="114"/>
        <v>0.99930455318989164</v>
      </c>
      <c r="BS66" s="54">
        <f t="shared" si="114"/>
        <v>1.0111388172996865</v>
      </c>
      <c r="BT66" s="54">
        <f t="shared" si="114"/>
        <v>1.0016339662015357</v>
      </c>
      <c r="BU66" s="54">
        <f t="shared" si="114"/>
        <v>0.9183226318986093</v>
      </c>
      <c r="BV66" s="54">
        <f t="shared" si="114"/>
        <v>1.0585286376031706</v>
      </c>
      <c r="BW66" s="54">
        <f t="shared" si="114"/>
        <v>1.1005710759592655</v>
      </c>
      <c r="BX66" s="54">
        <f t="shared" si="114"/>
        <v>1.2367202749971276</v>
      </c>
      <c r="BY66" s="54">
        <f t="shared" si="114"/>
        <v>1.3683319457326828</v>
      </c>
      <c r="BZ66" s="54">
        <f t="shared" si="114"/>
        <v>1.206048638163121</v>
      </c>
      <c r="CA66" s="54">
        <f t="shared" si="114"/>
        <v>1.093364709179401</v>
      </c>
      <c r="CB66" s="54">
        <f t="shared" si="114"/>
        <v>0.93776842942000216</v>
      </c>
      <c r="CC66" s="54">
        <f t="shared" si="114"/>
        <v>0.89966180619014235</v>
      </c>
      <c r="CD66" s="54">
        <f t="shared" si="114"/>
        <v>1.0852356730251578</v>
      </c>
      <c r="CE66" s="54">
        <f t="shared" si="114"/>
        <v>1.1424472403003259</v>
      </c>
      <c r="CF66" s="54">
        <f t="shared" si="114"/>
        <v>1.1543203208325918</v>
      </c>
      <c r="CG66" s="54">
        <f t="shared" si="114"/>
        <v>0.77970591258395405</v>
      </c>
      <c r="CH66" s="54">
        <f t="shared" si="114"/>
        <v>0.61848143130929267</v>
      </c>
      <c r="CI66" s="54">
        <f t="shared" si="114"/>
        <v>0.51007932848729709</v>
      </c>
      <c r="CJ66" s="54">
        <f t="shared" si="114"/>
        <v>0.7041529495601776</v>
      </c>
      <c r="CK66" s="54">
        <f t="shared" si="114"/>
        <v>0.80166857874771413</v>
      </c>
      <c r="CL66" s="54">
        <f t="shared" si="114"/>
        <v>0.51105958607378965</v>
      </c>
      <c r="CM66" s="54">
        <f t="shared" si="114"/>
        <v>0.81632975972990929</v>
      </c>
      <c r="CN66" s="54">
        <f t="shared" si="114"/>
        <v>0.47509213894209362</v>
      </c>
      <c r="CO66" s="54">
        <f t="shared" si="114"/>
        <v>0.4434267691559256</v>
      </c>
      <c r="CQ66" s="61">
        <f t="shared" ref="CQ66:EO66" si="115">CQ38/$EP38</f>
        <v>0.96935598459616423</v>
      </c>
      <c r="CR66" s="61">
        <f t="shared" si="115"/>
        <v>0.87648464083613931</v>
      </c>
      <c r="CS66" s="61">
        <f t="shared" si="115"/>
        <v>0.90605702898283524</v>
      </c>
      <c r="CT66" s="61">
        <f t="shared" si="115"/>
        <v>0.79027762635765164</v>
      </c>
      <c r="CU66" s="61">
        <f t="shared" si="115"/>
        <v>0.40386483933682354</v>
      </c>
      <c r="CV66" s="61">
        <f t="shared" si="115"/>
        <v>0.61081895482023696</v>
      </c>
      <c r="CW66" s="61">
        <f t="shared" si="115"/>
        <v>1.2818266399241385</v>
      </c>
      <c r="CX66" s="61">
        <f t="shared" si="115"/>
        <v>1.4584632614396693</v>
      </c>
      <c r="CY66" s="61">
        <f t="shared" si="115"/>
        <v>0.89148111933268626</v>
      </c>
      <c r="CZ66" s="61">
        <f t="shared" si="115"/>
        <v>1.0408028170894665</v>
      </c>
      <c r="DA66" s="61">
        <f t="shared" si="115"/>
        <v>0.79361615027095012</v>
      </c>
      <c r="DB66" s="61">
        <f t="shared" si="115"/>
        <v>1.4154451440257017</v>
      </c>
      <c r="DC66" s="61">
        <f t="shared" si="115"/>
        <v>0.98359219729981373</v>
      </c>
      <c r="DD66" s="61">
        <f t="shared" si="115"/>
        <v>1.1251133142285372</v>
      </c>
      <c r="DE66" s="61">
        <f t="shared" si="115"/>
        <v>1.5346045319107207</v>
      </c>
      <c r="DF66" s="61">
        <f t="shared" si="115"/>
        <v>1.5771317934583065</v>
      </c>
      <c r="DG66" s="61">
        <f t="shared" si="115"/>
        <v>1.1637229538299916</v>
      </c>
      <c r="DH66" s="61">
        <f t="shared" si="115"/>
        <v>0.78318521105460137</v>
      </c>
      <c r="DI66" s="61">
        <f t="shared" si="115"/>
        <v>0.74793344244512605</v>
      </c>
      <c r="DJ66" s="61">
        <f t="shared" si="115"/>
        <v>0.94667733963543343</v>
      </c>
      <c r="DK66" s="61">
        <f t="shared" si="115"/>
        <v>1.0672370079226858</v>
      </c>
      <c r="DL66" s="61">
        <f t="shared" si="115"/>
        <v>1.1622369803877752</v>
      </c>
      <c r="DM66" s="61">
        <f t="shared" si="115"/>
        <v>1.2434270079533023</v>
      </c>
      <c r="DN66" s="61">
        <f t="shared" si="115"/>
        <v>1.0818422684958613</v>
      </c>
      <c r="DO66" s="61">
        <f t="shared" si="115"/>
        <v>1.4692724443293643</v>
      </c>
      <c r="DP66" s="61">
        <f t="shared" si="115"/>
        <v>1.509099257692389</v>
      </c>
      <c r="DQ66" s="61">
        <f t="shared" si="115"/>
        <v>1.3704895358436042</v>
      </c>
      <c r="DR66" s="61">
        <f t="shared" si="115"/>
        <v>1.308281688614142</v>
      </c>
      <c r="DS66" s="61">
        <f t="shared" si="115"/>
        <v>0.96807162466955077</v>
      </c>
      <c r="DT66" s="61">
        <f t="shared" si="115"/>
        <v>0.83213137562146722</v>
      </c>
      <c r="DU66" s="61">
        <f t="shared" si="115"/>
        <v>1.1687988472300637</v>
      </c>
      <c r="DV66" s="61">
        <f t="shared" si="115"/>
        <v>0.93399238057653144</v>
      </c>
      <c r="DW66" s="61">
        <f t="shared" si="115"/>
        <v>0.85037069411666388</v>
      </c>
      <c r="DX66" s="61">
        <f t="shared" si="115"/>
        <v>0.89829407908558134</v>
      </c>
      <c r="DY66" s="61">
        <f t="shared" si="115"/>
        <v>1.0263053781784504</v>
      </c>
      <c r="DZ66" s="61">
        <f t="shared" si="115"/>
        <v>1.1088285299396476</v>
      </c>
      <c r="EA66" s="61">
        <f t="shared" si="115"/>
        <v>0.91268630942453621</v>
      </c>
      <c r="EB66" s="61">
        <f t="shared" si="115"/>
        <v>0.54158587383697543</v>
      </c>
      <c r="EC66" s="61">
        <f t="shared" si="115"/>
        <v>1.1147099081624545</v>
      </c>
      <c r="ED66" s="61">
        <f t="shared" si="115"/>
        <v>1.25513825140479</v>
      </c>
      <c r="EE66" s="61">
        <f t="shared" si="115"/>
        <v>1.1427143863408824</v>
      </c>
      <c r="EF66" s="61">
        <f t="shared" si="115"/>
        <v>1.238159482192368</v>
      </c>
      <c r="EG66" s="61">
        <f t="shared" si="115"/>
        <v>1.1876277280117791</v>
      </c>
      <c r="EH66" s="61">
        <f t="shared" si="115"/>
        <v>1.0164078027001862</v>
      </c>
      <c r="EI66" s="61">
        <f t="shared" si="115"/>
        <v>0.80974797001768284</v>
      </c>
      <c r="EJ66" s="61">
        <f t="shared" si="115"/>
        <v>0.71256505832846373</v>
      </c>
      <c r="EK66" s="61">
        <f t="shared" si="115"/>
        <v>0.89449363029816897</v>
      </c>
      <c r="EL66" s="61">
        <f t="shared" si="115"/>
        <v>0.54757968336815921</v>
      </c>
      <c r="EM66" s="61">
        <f t="shared" si="115"/>
        <v>0.78151610523164516</v>
      </c>
      <c r="EN66" s="61">
        <f t="shared" si="115"/>
        <v>0.7066940475150526</v>
      </c>
      <c r="EO66" s="61">
        <f t="shared" si="115"/>
        <v>0.7598488011202067</v>
      </c>
      <c r="EQ66" s="59">
        <f t="shared" ref="EQ66:FI66" si="116">EQ38/$FJ38</f>
        <v>1.0155116624163587</v>
      </c>
      <c r="ER66" s="59">
        <f t="shared" si="116"/>
        <v>1.4513578172571273</v>
      </c>
      <c r="ES66" s="59">
        <f t="shared" si="116"/>
        <v>1.263828528237775</v>
      </c>
      <c r="ET66" s="59">
        <f t="shared" si="116"/>
        <v>0.61465526262472947</v>
      </c>
      <c r="EU66" s="59">
        <f t="shared" si="116"/>
        <v>0.8670442118731545</v>
      </c>
      <c r="EV66" s="59">
        <f t="shared" si="116"/>
        <v>0.83079567397113296</v>
      </c>
      <c r="EW66" s="59">
        <f t="shared" si="116"/>
        <v>0.80746344502694645</v>
      </c>
      <c r="EX66" s="59">
        <f t="shared" si="116"/>
        <v>1.0393938828538203</v>
      </c>
      <c r="EY66" s="59">
        <f t="shared" si="116"/>
        <v>1.0815032298655709</v>
      </c>
      <c r="EZ66" s="59">
        <f t="shared" si="116"/>
        <v>1.0694732577068906</v>
      </c>
      <c r="FA66" s="59">
        <f t="shared" si="116"/>
        <v>0.72663561911659602</v>
      </c>
      <c r="FB66" s="59">
        <f t="shared" si="116"/>
        <v>1.157965443815528</v>
      </c>
      <c r="FC66" s="59">
        <f t="shared" si="116"/>
        <v>0.80222563181122686</v>
      </c>
      <c r="FD66" s="59">
        <f t="shared" si="116"/>
        <v>1.1881536943177819</v>
      </c>
      <c r="FE66" s="59">
        <f t="shared" si="116"/>
        <v>1.3234102469001836</v>
      </c>
      <c r="FF66" s="59">
        <f t="shared" si="116"/>
        <v>1</v>
      </c>
      <c r="FG66" s="59">
        <f t="shared" si="116"/>
        <v>0.94780875238902529</v>
      </c>
      <c r="FH66" s="59">
        <f t="shared" si="116"/>
        <v>0.48232897080904474</v>
      </c>
      <c r="FI66" s="59">
        <f t="shared" si="116"/>
        <v>0.65167443944954206</v>
      </c>
    </row>
    <row r="67" spans="1:166" ht="15">
      <c r="A67" s="9" t="s">
        <v>183</v>
      </c>
      <c r="B67" s="38" t="s">
        <v>185</v>
      </c>
      <c r="C67" s="54">
        <f t="shared" ref="C67:T67" si="117">C39/$U39</f>
        <v>1.4455761861927852</v>
      </c>
      <c r="D67" s="54">
        <f t="shared" si="117"/>
        <v>0.88665717105644715</v>
      </c>
      <c r="E67" s="54">
        <f t="shared" si="117"/>
        <v>1.6738509478341124</v>
      </c>
      <c r="F67" s="54">
        <f t="shared" si="117"/>
        <v>1.4614693831964811</v>
      </c>
      <c r="G67" s="54">
        <f t="shared" si="117"/>
        <v>1.193816711327649</v>
      </c>
      <c r="H67" s="54">
        <f t="shared" si="117"/>
        <v>0.74498780954697053</v>
      </c>
      <c r="I67" s="54">
        <f t="shared" si="117"/>
        <v>0.99485613283026963</v>
      </c>
      <c r="J67" s="54">
        <f t="shared" si="117"/>
        <v>1.7847568399552773</v>
      </c>
      <c r="K67" s="54">
        <f t="shared" si="117"/>
        <v>1.694760805142699</v>
      </c>
      <c r="L67" s="54">
        <f t="shared" si="117"/>
        <v>1.2572312654709314</v>
      </c>
      <c r="M67" s="54">
        <f t="shared" si="117"/>
        <v>1.0051438671697304</v>
      </c>
      <c r="N67" s="54">
        <f t="shared" si="117"/>
        <v>0.7144709305623913</v>
      </c>
      <c r="O67" s="54">
        <f t="shared" si="117"/>
        <v>0.69670280259851769</v>
      </c>
      <c r="P67" s="54">
        <f t="shared" si="117"/>
        <v>0.82259300738068442</v>
      </c>
      <c r="Q67" s="54">
        <f t="shared" si="117"/>
        <v>0</v>
      </c>
      <c r="R67" s="54">
        <f t="shared" si="117"/>
        <v>0.76269979818094813</v>
      </c>
      <c r="S67" s="54">
        <f t="shared" si="117"/>
        <v>1.0067812161145988</v>
      </c>
      <c r="T67" s="54">
        <f t="shared" si="117"/>
        <v>0.62382059583928984</v>
      </c>
      <c r="V67" s="54">
        <f t="shared" ref="V67:AT67" si="118">V51/$AU51</f>
        <v>1.3424098809115472</v>
      </c>
      <c r="W67" s="54">
        <f t="shared" si="118"/>
        <v>1.3615051094551507</v>
      </c>
      <c r="X67" s="54">
        <f t="shared" si="118"/>
        <v>1.3400077158591051</v>
      </c>
      <c r="Y67" s="54">
        <f t="shared" si="118"/>
        <v>0.63607693094206874</v>
      </c>
      <c r="Z67" s="54">
        <f t="shared" si="118"/>
        <v>0.96118148769438883</v>
      </c>
      <c r="AA67" s="54">
        <f t="shared" si="118"/>
        <v>1.5575311157989651</v>
      </c>
      <c r="AB67" s="54">
        <f t="shared" si="118"/>
        <v>1.131798913868199</v>
      </c>
      <c r="AC67" s="54">
        <f t="shared" si="118"/>
        <v>1.3907975372204593</v>
      </c>
      <c r="AD67" s="54">
        <f t="shared" si="118"/>
        <v>0.87188839909658344</v>
      </c>
      <c r="AE67" s="54">
        <f t="shared" si="118"/>
        <v>1.0740948944431377</v>
      </c>
      <c r="AF67" s="54">
        <f t="shared" si="118"/>
        <v>1.2452550253175132</v>
      </c>
      <c r="AG67" s="54">
        <f t="shared" si="118"/>
        <v>0.8200975645796903</v>
      </c>
      <c r="AH67" s="54">
        <f t="shared" si="118"/>
        <v>1</v>
      </c>
      <c r="AI67" s="54">
        <f t="shared" si="118"/>
        <v>1.0850637130331842</v>
      </c>
      <c r="AJ67" s="54">
        <f t="shared" si="118"/>
        <v>0.98615669658085481</v>
      </c>
      <c r="AK67" s="54">
        <f t="shared" si="118"/>
        <v>0.75288980263707794</v>
      </c>
      <c r="AL67" s="54">
        <f t="shared" si="118"/>
        <v>0.59217880994333927</v>
      </c>
      <c r="AM67" s="54">
        <f t="shared" si="118"/>
        <v>1.0516693430568962</v>
      </c>
      <c r="AN67" s="54">
        <f t="shared" si="118"/>
        <v>0.98069158411777058</v>
      </c>
      <c r="AO67" s="54">
        <f t="shared" si="118"/>
        <v>0.6056961738119383</v>
      </c>
      <c r="AP67" s="54">
        <f t="shared" si="118"/>
        <v>0.77636269310012795</v>
      </c>
      <c r="AQ67" s="54">
        <f t="shared" si="118"/>
        <v>0.82402506733171743</v>
      </c>
      <c r="AR67" s="54">
        <f t="shared" si="118"/>
        <v>0.89752152304123634</v>
      </c>
      <c r="AS67" s="54">
        <f t="shared" si="118"/>
        <v>1.0738399740740656</v>
      </c>
      <c r="AT67" s="54">
        <f t="shared" si="118"/>
        <v>1.0051554560001756</v>
      </c>
      <c r="AV67" s="54">
        <f t="shared" ref="AV67:CO67" si="119">AV39/$CP39</f>
        <v>0.53582178110715217</v>
      </c>
      <c r="AW67" s="54">
        <f t="shared" si="119"/>
        <v>0.84218689148833858</v>
      </c>
      <c r="AX67" s="54">
        <f t="shared" si="119"/>
        <v>0.69317810280520609</v>
      </c>
      <c r="AY67" s="54">
        <f t="shared" si="119"/>
        <v>0.68432838254830142</v>
      </c>
      <c r="AZ67" s="54">
        <f t="shared" si="119"/>
        <v>0.55995834217490936</v>
      </c>
      <c r="BA67" s="54">
        <f t="shared" si="119"/>
        <v>1.0032486136914753</v>
      </c>
      <c r="BB67" s="54">
        <f t="shared" si="119"/>
        <v>1.2649318777802208</v>
      </c>
      <c r="BC67" s="54">
        <f t="shared" si="119"/>
        <v>1.2381424428353998</v>
      </c>
      <c r="BD67" s="54">
        <f t="shared" si="119"/>
        <v>1.0110088151341514</v>
      </c>
      <c r="BE67" s="54">
        <f t="shared" si="119"/>
        <v>0.81179181354990804</v>
      </c>
      <c r="BF67" s="54">
        <f t="shared" si="119"/>
        <v>1.0014195821454679</v>
      </c>
      <c r="BG67" s="54">
        <f t="shared" si="119"/>
        <v>0.98818621914710103</v>
      </c>
      <c r="BH67" s="54">
        <f t="shared" si="119"/>
        <v>1.0548008548601806</v>
      </c>
      <c r="BI67" s="54">
        <f t="shared" si="119"/>
        <v>1.0176927516040131</v>
      </c>
      <c r="BJ67" s="54">
        <f t="shared" si="119"/>
        <v>1.3781639988954848</v>
      </c>
      <c r="BK67" s="54">
        <f t="shared" si="119"/>
        <v>1.3653859551917715</v>
      </c>
      <c r="BL67" s="54">
        <f t="shared" si="119"/>
        <v>1.2150989324645585</v>
      </c>
      <c r="BM67" s="54">
        <f t="shared" si="119"/>
        <v>1.1870812352294076</v>
      </c>
      <c r="BN67" s="54">
        <f t="shared" si="119"/>
        <v>0.98389825343752269</v>
      </c>
      <c r="BO67" s="54">
        <f t="shared" si="119"/>
        <v>0.87026313250035481</v>
      </c>
      <c r="BP67" s="54">
        <f t="shared" si="119"/>
        <v>0.86923666729628579</v>
      </c>
      <c r="BQ67" s="54">
        <f t="shared" si="119"/>
        <v>0.86457836206065908</v>
      </c>
      <c r="BR67" s="54">
        <f t="shared" si="119"/>
        <v>1.028676657623125</v>
      </c>
      <c r="BS67" s="54">
        <f t="shared" si="119"/>
        <v>1.0330364988957335</v>
      </c>
      <c r="BT67" s="54">
        <f t="shared" si="119"/>
        <v>0.99858041785453211</v>
      </c>
      <c r="BU67" s="54">
        <f t="shared" si="119"/>
        <v>0.82124503149944028</v>
      </c>
      <c r="BV67" s="54">
        <f t="shared" si="119"/>
        <v>0.9917577996397795</v>
      </c>
      <c r="BW67" s="54">
        <f t="shared" si="119"/>
        <v>1.0705802258225099</v>
      </c>
      <c r="BX67" s="54">
        <f t="shared" si="119"/>
        <v>1.2496944268279666</v>
      </c>
      <c r="BY67" s="54">
        <f t="shared" si="119"/>
        <v>1.3709599497233664</v>
      </c>
      <c r="BZ67" s="54">
        <f t="shared" si="119"/>
        <v>1.2025142190577836</v>
      </c>
      <c r="CA67" s="54">
        <f t="shared" si="119"/>
        <v>1.066650996929668</v>
      </c>
      <c r="CB67" s="54">
        <f t="shared" si="119"/>
        <v>1.0018468930295792</v>
      </c>
      <c r="CC67" s="54">
        <f t="shared" si="119"/>
        <v>0.95320930906009382</v>
      </c>
      <c r="CD67" s="54">
        <f t="shared" si="119"/>
        <v>1.1474430749677429</v>
      </c>
      <c r="CE67" s="54">
        <f t="shared" si="119"/>
        <v>1.1505866754272926</v>
      </c>
      <c r="CF67" s="54">
        <f t="shared" si="119"/>
        <v>1.1112761683374786</v>
      </c>
      <c r="CG67" s="54">
        <f t="shared" si="119"/>
        <v>0.67450910286662746</v>
      </c>
      <c r="CH67" s="54">
        <f t="shared" si="119"/>
        <v>0.58154759412379553</v>
      </c>
      <c r="CI67" s="54">
        <f t="shared" si="119"/>
        <v>1.5561867415602595</v>
      </c>
      <c r="CJ67" s="54">
        <f t="shared" si="119"/>
        <v>0.24771342587965831</v>
      </c>
      <c r="CK67" s="54">
        <f t="shared" si="119"/>
        <v>0.54470586973105406</v>
      </c>
      <c r="CL67" s="54">
        <f t="shared" si="119"/>
        <v>0.58678814695636194</v>
      </c>
      <c r="CM67" s="54">
        <f t="shared" si="119"/>
        <v>0.732391003036993</v>
      </c>
      <c r="CN67" s="54">
        <f t="shared" si="119"/>
        <v>0.58710838234475859</v>
      </c>
      <c r="CO67" s="54">
        <f t="shared" si="119"/>
        <v>0.69023906911122268</v>
      </c>
      <c r="CQ67" s="61">
        <f t="shared" ref="CQ67:EO67" si="120">CQ39/$EP39</f>
        <v>1.0031241224872398</v>
      </c>
      <c r="CR67" s="61">
        <f t="shared" si="120"/>
        <v>0.86517428404924857</v>
      </c>
      <c r="CS67" s="61">
        <f t="shared" si="120"/>
        <v>0.86480065308723308</v>
      </c>
      <c r="CT67" s="61">
        <f t="shared" si="120"/>
        <v>0.78210848079628248</v>
      </c>
      <c r="CU67" s="61">
        <f t="shared" si="120"/>
        <v>0.73203401984170113</v>
      </c>
      <c r="CV67" s="61">
        <f t="shared" si="120"/>
        <v>0.73506103409137358</v>
      </c>
      <c r="CW67" s="61">
        <f t="shared" si="120"/>
        <v>1.2287652556219681</v>
      </c>
      <c r="CX67" s="61">
        <f t="shared" si="120"/>
        <v>1.4810512018063071</v>
      </c>
      <c r="CY67" s="61">
        <f t="shared" si="120"/>
        <v>0.69156045445917724</v>
      </c>
      <c r="CZ67" s="61">
        <f t="shared" si="120"/>
        <v>0.98138616412102675</v>
      </c>
      <c r="DA67" s="61">
        <f t="shared" si="120"/>
        <v>0.8111645165563135</v>
      </c>
      <c r="DB67" s="61">
        <f t="shared" si="120"/>
        <v>1.3672586193880896</v>
      </c>
      <c r="DC67" s="61">
        <f t="shared" si="120"/>
        <v>1.0103618620399204</v>
      </c>
      <c r="DD67" s="61">
        <f t="shared" si="120"/>
        <v>1.1068156239367775</v>
      </c>
      <c r="DE67" s="61">
        <f t="shared" si="120"/>
        <v>1.5181047773070206</v>
      </c>
      <c r="DF67" s="61">
        <f t="shared" si="120"/>
        <v>1.5580457840409547</v>
      </c>
      <c r="DG67" s="61">
        <f t="shared" si="120"/>
        <v>1.153552845281429</v>
      </c>
      <c r="DH67" s="61">
        <f t="shared" si="120"/>
        <v>0.85789930354741195</v>
      </c>
      <c r="DI67" s="61">
        <f t="shared" si="120"/>
        <v>0.79143652989362157</v>
      </c>
      <c r="DJ67" s="61">
        <f t="shared" si="120"/>
        <v>0.99995022407318046</v>
      </c>
      <c r="DK67" s="61">
        <f t="shared" si="120"/>
        <v>1.1024463300505385</v>
      </c>
      <c r="DL67" s="61">
        <f t="shared" si="120"/>
        <v>1.0095368298661147</v>
      </c>
      <c r="DM67" s="61">
        <f t="shared" si="120"/>
        <v>1.2336467660430142</v>
      </c>
      <c r="DN67" s="61">
        <f t="shared" si="120"/>
        <v>1.0805936092226816</v>
      </c>
      <c r="DO67" s="61">
        <f t="shared" si="120"/>
        <v>1.4421793287354288</v>
      </c>
      <c r="DP67" s="61">
        <f t="shared" si="120"/>
        <v>1.4594521703745624</v>
      </c>
      <c r="DQ67" s="61">
        <f t="shared" si="120"/>
        <v>1.3360501984899182</v>
      </c>
      <c r="DR67" s="61">
        <f t="shared" si="120"/>
        <v>1.3178040688110082</v>
      </c>
      <c r="DS67" s="61">
        <f t="shared" si="120"/>
        <v>0.99721690786799466</v>
      </c>
      <c r="DT67" s="61">
        <f t="shared" si="120"/>
        <v>0.6834518393453356</v>
      </c>
      <c r="DU67" s="61">
        <f t="shared" si="120"/>
        <v>1.1307682257746858</v>
      </c>
      <c r="DV67" s="61">
        <f t="shared" si="120"/>
        <v>0.63420748265571059</v>
      </c>
      <c r="DW67" s="61">
        <f t="shared" si="120"/>
        <v>0.86517959512122056</v>
      </c>
      <c r="DX67" s="61">
        <f t="shared" si="120"/>
        <v>0.89138327586950006</v>
      </c>
      <c r="DY67" s="61">
        <f t="shared" si="120"/>
        <v>1.0000497759268197</v>
      </c>
      <c r="DZ67" s="61">
        <f t="shared" si="120"/>
        <v>0.98868733812600085</v>
      </c>
      <c r="EA67" s="61">
        <f t="shared" si="120"/>
        <v>0.93608404425074443</v>
      </c>
      <c r="EB67" s="61">
        <f t="shared" si="120"/>
        <v>0.55390505483827279</v>
      </c>
      <c r="EC67" s="61">
        <f t="shared" si="120"/>
        <v>1.0254490241647869</v>
      </c>
      <c r="ED67" s="61">
        <f t="shared" si="120"/>
        <v>1.1990833080212315</v>
      </c>
      <c r="EE67" s="61">
        <f t="shared" si="120"/>
        <v>1.122342144095438</v>
      </c>
      <c r="EF67" s="61">
        <f t="shared" si="120"/>
        <v>1.2176545295437182</v>
      </c>
      <c r="EG67" s="61">
        <f t="shared" si="120"/>
        <v>1.158031834154335</v>
      </c>
      <c r="EH67" s="61">
        <f t="shared" si="120"/>
        <v>1.0108342419635983</v>
      </c>
      <c r="EI67" s="61">
        <f t="shared" si="120"/>
        <v>0.81798412664628473</v>
      </c>
      <c r="EJ67" s="61">
        <f t="shared" si="120"/>
        <v>0.71962241582011888</v>
      </c>
      <c r="EK67" s="61">
        <f t="shared" si="120"/>
        <v>0.77033952692619234</v>
      </c>
      <c r="EL67" s="61">
        <f t="shared" si="120"/>
        <v>0.57200992221399305</v>
      </c>
      <c r="EM67" s="61">
        <f t="shared" si="120"/>
        <v>0.84824483113529403</v>
      </c>
      <c r="EN67" s="61">
        <f t="shared" si="120"/>
        <v>0.90161520099137815</v>
      </c>
      <c r="EO67" s="61">
        <f t="shared" si="120"/>
        <v>0.6480747018700026</v>
      </c>
      <c r="EQ67" s="59">
        <f t="shared" ref="EQ67:FI67" si="121">EQ39/$FJ39</f>
        <v>1</v>
      </c>
      <c r="ER67" s="59">
        <f t="shared" si="121"/>
        <v>1.3865949412247405</v>
      </c>
      <c r="ES67" s="59">
        <f t="shared" si="121"/>
        <v>1.1536464919065048</v>
      </c>
      <c r="ET67" s="59">
        <f t="shared" si="121"/>
        <v>0.5655138900419473</v>
      </c>
      <c r="EU67" s="59">
        <f t="shared" si="121"/>
        <v>0.85502788825456422</v>
      </c>
      <c r="EV67" s="59">
        <f t="shared" si="121"/>
        <v>0.60326103444414569</v>
      </c>
      <c r="EW67" s="59">
        <f t="shared" si="121"/>
        <v>0.96434882037862901</v>
      </c>
      <c r="EX67" s="59">
        <f t="shared" si="121"/>
        <v>1.0628914642434966</v>
      </c>
      <c r="EY67" s="59">
        <f t="shared" si="121"/>
        <v>1.1736746246036704</v>
      </c>
      <c r="EZ67" s="59">
        <f t="shared" si="121"/>
        <v>1.0618959335436444</v>
      </c>
      <c r="FA67" s="59">
        <f t="shared" si="121"/>
        <v>0.85715335219372568</v>
      </c>
      <c r="FB67" s="59">
        <f t="shared" si="121"/>
        <v>1.0909445870925296</v>
      </c>
      <c r="FC67" s="59">
        <f t="shared" si="121"/>
        <v>0.74155312604495294</v>
      </c>
      <c r="FD67" s="59">
        <f t="shared" si="121"/>
        <v>1.0888098331728795</v>
      </c>
      <c r="FE67" s="59">
        <f t="shared" si="121"/>
        <v>1.3476738705267577</v>
      </c>
      <c r="FF67" s="59">
        <f t="shared" si="121"/>
        <v>1.0967256498510778</v>
      </c>
      <c r="FG67" s="59">
        <f t="shared" si="121"/>
        <v>0.94484132459698655</v>
      </c>
      <c r="FH67" s="59">
        <f t="shared" si="121"/>
        <v>0.57910100194586867</v>
      </c>
      <c r="FI67" s="59">
        <f t="shared" si="121"/>
        <v>0.73494709499161492</v>
      </c>
    </row>
    <row r="68" spans="1:166" ht="15">
      <c r="A68" s="9" t="s">
        <v>182</v>
      </c>
      <c r="B68" s="38" t="s">
        <v>185</v>
      </c>
      <c r="C68" s="54">
        <f t="shared" ref="C68:T68" si="122">C40/$U40</f>
        <v>1.3850616983996866</v>
      </c>
      <c r="D68" s="54">
        <f t="shared" si="122"/>
        <v>0.69840132660619836</v>
      </c>
      <c r="E68" s="54">
        <f t="shared" si="122"/>
        <v>1.6614334740775099</v>
      </c>
      <c r="F68" s="54">
        <f t="shared" si="122"/>
        <v>0.89769513820259728</v>
      </c>
      <c r="G68" s="54">
        <f t="shared" si="122"/>
        <v>1.1783398875365141</v>
      </c>
      <c r="H68" s="54">
        <f t="shared" si="122"/>
        <v>1.0613921316478538</v>
      </c>
      <c r="I68" s="54">
        <f t="shared" si="122"/>
        <v>1.0653648309155062</v>
      </c>
      <c r="J68" s="54">
        <f t="shared" si="122"/>
        <v>1.8774717428459924</v>
      </c>
      <c r="K68" s="54">
        <f t="shared" si="122"/>
        <v>1.7633745390041426</v>
      </c>
      <c r="L68" s="54">
        <f t="shared" si="122"/>
        <v>0.67071907797508723</v>
      </c>
      <c r="M68" s="54">
        <f t="shared" si="122"/>
        <v>0.79341834622124952</v>
      </c>
      <c r="N68" s="54">
        <f t="shared" si="122"/>
        <v>0.93860786835214582</v>
      </c>
      <c r="O68" s="54">
        <f t="shared" si="122"/>
        <v>0.76971364423721567</v>
      </c>
      <c r="P68" s="54">
        <f t="shared" si="122"/>
        <v>0.68454781150453237</v>
      </c>
      <c r="Q68" s="54">
        <f t="shared" si="122"/>
        <v>0</v>
      </c>
      <c r="R68" s="54">
        <f t="shared" si="122"/>
        <v>0.70419923094353176</v>
      </c>
      <c r="S68" s="54">
        <f t="shared" si="122"/>
        <v>1.0673900562908367</v>
      </c>
      <c r="T68" s="54">
        <f t="shared" si="122"/>
        <v>1.1849667216438389</v>
      </c>
      <c r="V68" s="54">
        <f t="shared" ref="V68:AT68" si="123">V52/$AU52</f>
        <v>1.3854537268707638</v>
      </c>
      <c r="W68" s="54">
        <f t="shared" si="123"/>
        <v>1.3861608800065428</v>
      </c>
      <c r="X68" s="54">
        <f t="shared" si="123"/>
        <v>1.379240056392357</v>
      </c>
      <c r="Y68" s="54">
        <f t="shared" si="123"/>
        <v>0.71199093699478566</v>
      </c>
      <c r="Z68" s="54">
        <f t="shared" si="123"/>
        <v>0.98859767158556899</v>
      </c>
      <c r="AA68" s="54">
        <f t="shared" si="123"/>
        <v>1.5779031658978211</v>
      </c>
      <c r="AB68" s="54">
        <f t="shared" si="123"/>
        <v>1.1567458321610067</v>
      </c>
      <c r="AC68" s="54">
        <f t="shared" si="123"/>
        <v>1.4297235874570622</v>
      </c>
      <c r="AD68" s="54">
        <f t="shared" si="123"/>
        <v>0.9421899727489883</v>
      </c>
      <c r="AE68" s="54">
        <f t="shared" si="123"/>
        <v>1.1814170974889586</v>
      </c>
      <c r="AF68" s="54">
        <f t="shared" si="123"/>
        <v>1.2765876479391409</v>
      </c>
      <c r="AG68" s="54">
        <f t="shared" si="123"/>
        <v>0.89066636751836537</v>
      </c>
      <c r="AH68" s="54">
        <f t="shared" si="123"/>
        <v>1</v>
      </c>
      <c r="AI68" s="54">
        <f t="shared" si="123"/>
        <v>1.1603832471619835</v>
      </c>
      <c r="AJ68" s="54">
        <f t="shared" si="123"/>
        <v>0.96094850194894188</v>
      </c>
      <c r="AK68" s="54">
        <f t="shared" si="123"/>
        <v>0.74287103583121517</v>
      </c>
      <c r="AL68" s="54">
        <f t="shared" si="123"/>
        <v>0.7812052460426</v>
      </c>
      <c r="AM68" s="54">
        <f t="shared" si="123"/>
        <v>1.1412707053833677</v>
      </c>
      <c r="AN68" s="54">
        <f t="shared" si="123"/>
        <v>1.0868996433169311</v>
      </c>
      <c r="AO68" s="54">
        <f t="shared" si="123"/>
        <v>0.73007183985038249</v>
      </c>
      <c r="AP68" s="54">
        <f t="shared" si="123"/>
        <v>0.78996828860546586</v>
      </c>
      <c r="AQ68" s="54">
        <f t="shared" si="123"/>
        <v>0.7564669143449777</v>
      </c>
      <c r="AR68" s="54">
        <f t="shared" si="123"/>
        <v>0.9114347683585704</v>
      </c>
      <c r="AS68" s="54">
        <f t="shared" si="123"/>
        <v>1.1591452320968307</v>
      </c>
      <c r="AT68" s="54">
        <f t="shared" si="123"/>
        <v>0.96531604721894437</v>
      </c>
      <c r="AV68" s="54">
        <f t="shared" ref="AV68:CO69" si="124">AV40/$CP40</f>
        <v>0.6804518448182576</v>
      </c>
      <c r="AW68" s="54">
        <f t="shared" si="124"/>
        <v>0.91163370986886516</v>
      </c>
      <c r="AX68" s="54">
        <f t="shared" si="124"/>
        <v>0.78320238103118678</v>
      </c>
      <c r="AY68" s="54">
        <f t="shared" si="124"/>
        <v>0.74926855441210727</v>
      </c>
      <c r="AZ68" s="54">
        <f t="shared" si="124"/>
        <v>0.67782574378661942</v>
      </c>
      <c r="BA68" s="54">
        <f t="shared" si="124"/>
        <v>0.9224046660738715</v>
      </c>
      <c r="BB68" s="54">
        <f t="shared" si="124"/>
        <v>1.295464032016046</v>
      </c>
      <c r="BC68" s="54">
        <f t="shared" si="124"/>
        <v>1.2663832138360065</v>
      </c>
      <c r="BD68" s="54">
        <f t="shared" si="124"/>
        <v>1.0015821527731665</v>
      </c>
      <c r="BE68" s="54">
        <f t="shared" si="124"/>
        <v>0.78289552279852415</v>
      </c>
      <c r="BF68" s="54">
        <f t="shared" si="124"/>
        <v>1.0242889982096397</v>
      </c>
      <c r="BG68" s="54">
        <f t="shared" si="124"/>
        <v>1.0297928579190625</v>
      </c>
      <c r="BH68" s="54">
        <f t="shared" si="124"/>
        <v>1.097358550641951</v>
      </c>
      <c r="BI68" s="54">
        <f t="shared" si="124"/>
        <v>1.073006575871944</v>
      </c>
      <c r="BJ68" s="54">
        <f t="shared" si="124"/>
        <v>1.4661714401598831</v>
      </c>
      <c r="BK68" s="54">
        <f t="shared" si="124"/>
        <v>1.4353368017168828</v>
      </c>
      <c r="BL68" s="54">
        <f t="shared" si="124"/>
        <v>1.2523630192452819</v>
      </c>
      <c r="BM68" s="54">
        <f t="shared" si="124"/>
        <v>1.1904682202979939</v>
      </c>
      <c r="BN68" s="54">
        <f t="shared" si="124"/>
        <v>0.93526360936839714</v>
      </c>
      <c r="BO68" s="54">
        <f t="shared" si="124"/>
        <v>0.87425773852243938</v>
      </c>
      <c r="BP68" s="54">
        <f t="shared" si="124"/>
        <v>0.93077795266480079</v>
      </c>
      <c r="BQ68" s="54">
        <f t="shared" si="124"/>
        <v>0.94499494549319574</v>
      </c>
      <c r="BR68" s="54">
        <f t="shared" si="124"/>
        <v>1.0981094348813063</v>
      </c>
      <c r="BS68" s="54">
        <f t="shared" si="124"/>
        <v>1.0816696628177904</v>
      </c>
      <c r="BT68" s="54">
        <f t="shared" si="124"/>
        <v>1.0389971664759621</v>
      </c>
      <c r="BU68" s="54">
        <f t="shared" si="124"/>
        <v>0.92554803747043768</v>
      </c>
      <c r="BV68" s="54">
        <f t="shared" si="124"/>
        <v>1.0671610154892988</v>
      </c>
      <c r="BW68" s="54">
        <f t="shared" si="124"/>
        <v>1.1219899637059736</v>
      </c>
      <c r="BX68" s="54">
        <f t="shared" si="124"/>
        <v>1.2960787665315916</v>
      </c>
      <c r="BY68" s="54">
        <f t="shared" si="124"/>
        <v>1.4091713911250503</v>
      </c>
      <c r="BZ68" s="54">
        <f t="shared" si="124"/>
        <v>1.2054077554946556</v>
      </c>
      <c r="CA68" s="54">
        <f t="shared" si="124"/>
        <v>1.0989005469246791</v>
      </c>
      <c r="CB68" s="54">
        <f t="shared" si="124"/>
        <v>0.99841784722683335</v>
      </c>
      <c r="CC68" s="54">
        <f t="shared" si="124"/>
        <v>0.97602257411644422</v>
      </c>
      <c r="CD68" s="54">
        <f t="shared" si="124"/>
        <v>1.1749026394006243</v>
      </c>
      <c r="CE68" s="54">
        <f t="shared" si="124"/>
        <v>1.1832628691896168</v>
      </c>
      <c r="CF68" s="54">
        <f t="shared" si="124"/>
        <v>1.1828314484511089</v>
      </c>
      <c r="CG68" s="54">
        <f t="shared" si="124"/>
        <v>0.730991778805133</v>
      </c>
      <c r="CH68" s="54">
        <f t="shared" si="124"/>
        <v>0.55888881348902941</v>
      </c>
      <c r="CI68" s="54">
        <f t="shared" si="124"/>
        <v>0.52624767810333795</v>
      </c>
      <c r="CJ68" s="54">
        <f t="shared" si="124"/>
        <v>0.66798737218409132</v>
      </c>
      <c r="CK68" s="54">
        <f t="shared" si="124"/>
        <v>0.81249531430817157</v>
      </c>
      <c r="CL68" s="54">
        <f t="shared" si="124"/>
        <v>0.65336975618181281</v>
      </c>
      <c r="CM68" s="54">
        <f t="shared" si="124"/>
        <v>0.82597063745465504</v>
      </c>
      <c r="CN68" s="54">
        <f t="shared" si="124"/>
        <v>0.39093852478903363</v>
      </c>
      <c r="CO68" s="54">
        <f t="shared" si="124"/>
        <v>0.52374951457148355</v>
      </c>
      <c r="CQ68" s="61">
        <f t="shared" ref="CQ68:EO69" si="125">CQ40/$EP40</f>
        <v>1.0197070862581075</v>
      </c>
      <c r="CR68" s="61">
        <f t="shared" si="125"/>
        <v>0.84959373401995131</v>
      </c>
      <c r="CS68" s="61">
        <f t="shared" si="125"/>
        <v>0.85649288251070244</v>
      </c>
      <c r="CT68" s="61">
        <f t="shared" si="125"/>
        <v>0.84147889086000638</v>
      </c>
      <c r="CU68" s="61">
        <f t="shared" si="125"/>
        <v>0.40328934114357173</v>
      </c>
      <c r="CV68" s="61">
        <f t="shared" si="125"/>
        <v>0.48896007730790386</v>
      </c>
      <c r="CW68" s="61">
        <f t="shared" si="125"/>
        <v>1.3476716149560233</v>
      </c>
      <c r="CX68" s="61">
        <f t="shared" si="125"/>
        <v>1.5200672303968046</v>
      </c>
      <c r="CY68" s="61">
        <f t="shared" si="125"/>
        <v>0.82199622533124583</v>
      </c>
      <c r="CZ68" s="61">
        <f t="shared" si="125"/>
        <v>1.15855371055261</v>
      </c>
      <c r="DA68" s="61">
        <f t="shared" si="125"/>
        <v>1.3113484564587472</v>
      </c>
      <c r="DB68" s="61">
        <f t="shared" si="125"/>
        <v>1.5107830730855001</v>
      </c>
      <c r="DC68" s="61">
        <f t="shared" si="125"/>
        <v>1.0662646234951798</v>
      </c>
      <c r="DD68" s="61">
        <f t="shared" si="125"/>
        <v>1.1099394918444985</v>
      </c>
      <c r="DE68" s="61">
        <f t="shared" si="125"/>
        <v>1.6387599813135565</v>
      </c>
      <c r="DF68" s="61">
        <f t="shared" si="125"/>
        <v>1.6660716163468143</v>
      </c>
      <c r="DG68" s="61">
        <f t="shared" si="125"/>
        <v>0.97308570302149733</v>
      </c>
      <c r="DH68" s="61">
        <f t="shared" si="125"/>
        <v>0.64859748382278359</v>
      </c>
      <c r="DI68" s="61">
        <f t="shared" si="125"/>
        <v>0.49129491601394731</v>
      </c>
      <c r="DJ68" s="61">
        <f t="shared" si="125"/>
        <v>0.98029291374189242</v>
      </c>
      <c r="DK68" s="61">
        <f t="shared" si="125"/>
        <v>1.1675707526728676</v>
      </c>
      <c r="DL68" s="61">
        <f t="shared" si="125"/>
        <v>1.2383519538854726</v>
      </c>
      <c r="DM68" s="61">
        <f t="shared" si="125"/>
        <v>1.3652580261734404</v>
      </c>
      <c r="DN68" s="61">
        <f t="shared" si="125"/>
        <v>1.1905508574801036</v>
      </c>
      <c r="DO68" s="61">
        <f t="shared" si="125"/>
        <v>1.6026044598212768</v>
      </c>
      <c r="DP68" s="61">
        <f t="shared" si="125"/>
        <v>1.2153405597125335</v>
      </c>
      <c r="DQ68" s="61">
        <f t="shared" si="125"/>
        <v>1.4889700639436163</v>
      </c>
      <c r="DR68" s="61">
        <f t="shared" si="125"/>
        <v>1.4071250030049305</v>
      </c>
      <c r="DS68" s="61">
        <f t="shared" si="125"/>
        <v>0.70362510962101432</v>
      </c>
      <c r="DT68" s="61">
        <f t="shared" si="125"/>
        <v>0.73132150632485027</v>
      </c>
      <c r="DU68" s="61">
        <f t="shared" si="125"/>
        <v>1.1777278871071573</v>
      </c>
      <c r="DV68" s="61">
        <f t="shared" si="125"/>
        <v>0.83186089261905005</v>
      </c>
      <c r="DW68" s="61">
        <f t="shared" si="125"/>
        <v>0.7870919131126376</v>
      </c>
      <c r="DX68" s="61">
        <f t="shared" si="125"/>
        <v>0.71958728441057318</v>
      </c>
      <c r="DY68" s="61">
        <f t="shared" si="125"/>
        <v>0.9241515612261243</v>
      </c>
      <c r="DZ68" s="61">
        <f t="shared" si="125"/>
        <v>1.0843340894827853</v>
      </c>
      <c r="EA68" s="61">
        <f t="shared" si="125"/>
        <v>0.8963807801197049</v>
      </c>
      <c r="EB68" s="61">
        <f t="shared" si="125"/>
        <v>0.52150388611298715</v>
      </c>
      <c r="EC68" s="61">
        <f t="shared" si="125"/>
        <v>1.1761165337699468</v>
      </c>
      <c r="ED68" s="61">
        <f t="shared" si="125"/>
        <v>1.3698121957243024</v>
      </c>
      <c r="EE68" s="61">
        <f t="shared" si="125"/>
        <v>0.91054874742046055</v>
      </c>
      <c r="EF68" s="61">
        <f t="shared" si="125"/>
        <v>1.3776738693659367</v>
      </c>
      <c r="EG68" s="61">
        <f t="shared" si="125"/>
        <v>1.2251522878044132</v>
      </c>
      <c r="EH68" s="61">
        <f t="shared" si="125"/>
        <v>1.0411883222474891</v>
      </c>
      <c r="EI68" s="61">
        <f t="shared" si="125"/>
        <v>0.90466923068108329</v>
      </c>
      <c r="EJ68" s="61">
        <f t="shared" si="125"/>
        <v>0.80891137574065808</v>
      </c>
      <c r="EK68" s="61">
        <f t="shared" si="125"/>
        <v>0.89599237213584859</v>
      </c>
      <c r="EL68" s="61">
        <f t="shared" si="125"/>
        <v>0.82471839556960547</v>
      </c>
      <c r="EM68" s="61">
        <f t="shared" si="125"/>
        <v>0.78261886255677215</v>
      </c>
      <c r="EN68" s="61">
        <f t="shared" si="125"/>
        <v>0.850297648238584</v>
      </c>
      <c r="EO68" s="61">
        <f t="shared" si="125"/>
        <v>0.7007752988149375</v>
      </c>
      <c r="EQ68" s="59">
        <f t="shared" ref="EQ68:FI68" si="126">EQ40/$FJ40</f>
        <v>1.298421464286261</v>
      </c>
      <c r="ER68" s="59">
        <f t="shared" si="126"/>
        <v>1.7644895964021949</v>
      </c>
      <c r="ES68" s="59">
        <f t="shared" si="126"/>
        <v>1.5534064971943726</v>
      </c>
      <c r="ET68" s="59">
        <f t="shared" si="126"/>
        <v>0.71159754820917931</v>
      </c>
      <c r="EU68" s="59">
        <f t="shared" si="126"/>
        <v>0.98591258024956918</v>
      </c>
      <c r="EV68" s="59">
        <f t="shared" si="126"/>
        <v>0.79077525341473942</v>
      </c>
      <c r="EW68" s="59">
        <f t="shared" si="126"/>
        <v>0.96684347420868977</v>
      </c>
      <c r="EX68" s="59">
        <f t="shared" si="126"/>
        <v>1.3531638599089777</v>
      </c>
      <c r="EY68" s="59">
        <f t="shared" si="126"/>
        <v>1.5469233293004527</v>
      </c>
      <c r="EZ68" s="59">
        <f t="shared" si="126"/>
        <v>0.90594761579489869</v>
      </c>
      <c r="FA68" s="59">
        <f t="shared" si="126"/>
        <v>1</v>
      </c>
      <c r="FB68" s="59">
        <f t="shared" si="126"/>
        <v>0.88169279959674718</v>
      </c>
      <c r="FC68" s="59">
        <f t="shared" si="126"/>
        <v>0.75370860833420505</v>
      </c>
      <c r="FD68" s="59">
        <f t="shared" si="126"/>
        <v>1.4355568793068101</v>
      </c>
      <c r="FE68" s="59">
        <f t="shared" si="126"/>
        <v>1.5732531605799123</v>
      </c>
      <c r="FF68" s="59">
        <f t="shared" si="126"/>
        <v>1.2820270782813117</v>
      </c>
      <c r="FG68" s="59">
        <f t="shared" si="126"/>
        <v>1.1067076488736007</v>
      </c>
      <c r="FH68" s="59">
        <f t="shared" si="126"/>
        <v>0.68686882339537036</v>
      </c>
      <c r="FI68" s="59">
        <f t="shared" si="126"/>
        <v>0.88394345004659935</v>
      </c>
    </row>
    <row r="69" spans="1:166" ht="15">
      <c r="A69" s="9" t="s">
        <v>181</v>
      </c>
      <c r="B69" s="38" t="s">
        <v>184</v>
      </c>
      <c r="C69" s="54">
        <f t="shared" ref="C69:T69" si="127">C41/$U41</f>
        <v>1.4094249651048458</v>
      </c>
      <c r="D69" s="54">
        <f t="shared" si="127"/>
        <v>1.0217663343263819</v>
      </c>
      <c r="E69" s="54">
        <f t="shared" si="127"/>
        <v>1.5875253739145334</v>
      </c>
      <c r="F69" s="54">
        <f t="shared" si="127"/>
        <v>1.4458391404846158</v>
      </c>
      <c r="G69" s="54">
        <f t="shared" si="127"/>
        <v>0.64185288117585493</v>
      </c>
      <c r="H69" s="54">
        <f t="shared" si="127"/>
        <v>1.0294980837555934</v>
      </c>
      <c r="I69" s="54">
        <f t="shared" si="127"/>
        <v>0.8076969772443251</v>
      </c>
      <c r="J69" s="54">
        <f t="shared" si="127"/>
        <v>1.6189718703463156</v>
      </c>
      <c r="K69" s="54">
        <f t="shared" si="127"/>
        <v>1.5370126371799402</v>
      </c>
      <c r="L69" s="54">
        <f t="shared" si="127"/>
        <v>1.1633719044626818</v>
      </c>
      <c r="M69" s="54">
        <f t="shared" si="127"/>
        <v>0.53826136978658867</v>
      </c>
      <c r="N69" s="54">
        <f t="shared" si="127"/>
        <v>0.90526288471117111</v>
      </c>
      <c r="O69" s="54">
        <f t="shared" si="127"/>
        <v>0.54054731376914644</v>
      </c>
      <c r="P69" s="54">
        <f t="shared" si="127"/>
        <v>0.52188145337212721</v>
      </c>
      <c r="Q69" s="54">
        <f t="shared" si="127"/>
        <v>0.60210652285242461</v>
      </c>
      <c r="R69" s="54">
        <f t="shared" si="127"/>
        <v>0.59696504213319102</v>
      </c>
      <c r="S69" s="54">
        <f t="shared" si="127"/>
        <v>0.97823366567361802</v>
      </c>
      <c r="T69" s="54">
        <f t="shared" si="127"/>
        <v>1.0384096906201929</v>
      </c>
      <c r="V69" s="56">
        <f>V41/AU41</f>
        <v>1.3501772788878155</v>
      </c>
      <c r="W69" s="56">
        <f t="shared" ref="W69:AT69" si="128">W41/AV41</f>
        <v>2.1804828134424996</v>
      </c>
      <c r="X69" s="56">
        <f t="shared" si="128"/>
        <v>1.3814272223803357</v>
      </c>
      <c r="Y69" s="56">
        <f t="shared" si="128"/>
        <v>0.86748109030795073</v>
      </c>
      <c r="Z69" s="56">
        <f t="shared" si="128"/>
        <v>1.1232131070902502</v>
      </c>
      <c r="AA69" s="56">
        <f t="shared" si="128"/>
        <v>1.9169346053337353</v>
      </c>
      <c r="AB69" s="56">
        <f t="shared" si="128"/>
        <v>1.0036864478603202</v>
      </c>
      <c r="AC69" s="56">
        <f t="shared" si="128"/>
        <v>1.0002958589479931</v>
      </c>
      <c r="AD69" s="56">
        <f t="shared" si="128"/>
        <v>0.62767111334749837</v>
      </c>
      <c r="AE69" s="56">
        <f t="shared" si="128"/>
        <v>0.8950211627555793</v>
      </c>
      <c r="AF69" s="56">
        <f t="shared" si="128"/>
        <v>1.2894259602490215</v>
      </c>
      <c r="AG69" s="56">
        <f t="shared" si="128"/>
        <v>0.75152799674645021</v>
      </c>
      <c r="AH69" s="56">
        <f t="shared" si="128"/>
        <v>0.90099863027400007</v>
      </c>
      <c r="AI69" s="56">
        <f t="shared" si="128"/>
        <v>0.93021418139092027</v>
      </c>
      <c r="AJ69" s="56">
        <f t="shared" si="128"/>
        <v>0.83735957925229654</v>
      </c>
      <c r="AK69" s="56">
        <f t="shared" si="128"/>
        <v>0.42328946692695485</v>
      </c>
      <c r="AL69" s="56">
        <f t="shared" si="128"/>
        <v>0.44278900328064458</v>
      </c>
      <c r="AM69" s="56">
        <f t="shared" si="128"/>
        <v>0.75071491320415296</v>
      </c>
      <c r="AN69" s="56">
        <f t="shared" si="128"/>
        <v>0.72890658761680271</v>
      </c>
      <c r="AO69" s="56">
        <f t="shared" si="128"/>
        <v>0.55305276109119939</v>
      </c>
      <c r="AP69" s="56">
        <f t="shared" si="128"/>
        <v>0.69328462533695012</v>
      </c>
      <c r="AQ69" s="56">
        <f t="shared" si="128"/>
        <v>0.74741064619880393</v>
      </c>
      <c r="AR69" s="56">
        <f t="shared" si="128"/>
        <v>0.94041948159093602</v>
      </c>
      <c r="AS69" s="56">
        <f t="shared" si="128"/>
        <v>1.0464901429732407</v>
      </c>
      <c r="AT69" s="56">
        <f t="shared" si="128"/>
        <v>0.92650733410055541</v>
      </c>
      <c r="AV69" s="54">
        <f>AV41/$CP41</f>
        <v>0.57255559315597249</v>
      </c>
      <c r="AW69" s="54">
        <f t="shared" si="124"/>
        <v>0.88849688739672184</v>
      </c>
      <c r="AX69" s="54">
        <f t="shared" si="124"/>
        <v>0.77567607715976039</v>
      </c>
      <c r="AY69" s="54">
        <f t="shared" si="124"/>
        <v>0.77017556994644298</v>
      </c>
      <c r="AZ69" s="54">
        <f t="shared" si="124"/>
        <v>0.71368157621254369</v>
      </c>
      <c r="BA69" s="54">
        <f t="shared" si="124"/>
        <v>1.0646399016327026</v>
      </c>
      <c r="BB69" s="54">
        <f t="shared" si="124"/>
        <v>1.3121032554089807</v>
      </c>
      <c r="BC69" s="54">
        <f t="shared" si="124"/>
        <v>1.267798289940204</v>
      </c>
      <c r="BD69" s="54">
        <f t="shared" si="124"/>
        <v>1.0556813798186058</v>
      </c>
      <c r="BE69" s="54">
        <f t="shared" si="124"/>
        <v>0.82365771356577044</v>
      </c>
      <c r="BF69" s="54">
        <f t="shared" si="124"/>
        <v>1.030485900158215</v>
      </c>
      <c r="BG69" s="54">
        <f t="shared" si="124"/>
        <v>0.9964490211711079</v>
      </c>
      <c r="BH69" s="54">
        <f t="shared" si="124"/>
        <v>1.0675521689000047</v>
      </c>
      <c r="BI69" s="54">
        <f t="shared" si="124"/>
        <v>1.0275804378045093</v>
      </c>
      <c r="BJ69" s="54">
        <f t="shared" si="124"/>
        <v>1.4256420463893449</v>
      </c>
      <c r="BK69" s="54">
        <f t="shared" si="124"/>
        <v>1.3878629671293525</v>
      </c>
      <c r="BL69" s="54">
        <f t="shared" si="124"/>
        <v>1.2574450043100402</v>
      </c>
      <c r="BM69" s="54">
        <f t="shared" si="124"/>
        <v>1.2103338370152295</v>
      </c>
      <c r="BN69" s="54">
        <f t="shared" si="124"/>
        <v>1.0036131863044595</v>
      </c>
      <c r="BO69" s="54">
        <f t="shared" si="124"/>
        <v>0.92797732814137401</v>
      </c>
      <c r="BP69" s="54">
        <f t="shared" si="124"/>
        <v>0.97777575594880617</v>
      </c>
      <c r="BQ69" s="54">
        <f t="shared" si="124"/>
        <v>0.85122856898173749</v>
      </c>
      <c r="BR69" s="54">
        <f t="shared" si="124"/>
        <v>1.0056513462961048</v>
      </c>
      <c r="BS69" s="54">
        <f t="shared" si="124"/>
        <v>1.0035509788288921</v>
      </c>
      <c r="BT69" s="54">
        <f t="shared" si="124"/>
        <v>0.98431266865201172</v>
      </c>
      <c r="BU69" s="54">
        <f t="shared" si="124"/>
        <v>0.85878541047957713</v>
      </c>
      <c r="BV69" s="54">
        <f t="shared" si="124"/>
        <v>1.0349190736598231</v>
      </c>
      <c r="BW69" s="54">
        <f t="shared" si="124"/>
        <v>1.1167040948876503</v>
      </c>
      <c r="BX69" s="54">
        <f t="shared" si="124"/>
        <v>1.2541113061153708</v>
      </c>
      <c r="BY69" s="54">
        <f t="shared" si="124"/>
        <v>1.364851052667666</v>
      </c>
      <c r="BZ69" s="54">
        <f t="shared" si="124"/>
        <v>1.2225447052675256</v>
      </c>
      <c r="CA69" s="54">
        <f t="shared" si="124"/>
        <v>1.0915911122448188</v>
      </c>
      <c r="CB69" s="54">
        <f t="shared" si="124"/>
        <v>0.97178514269879179</v>
      </c>
      <c r="CC69" s="54">
        <f t="shared" si="124"/>
        <v>0.94055551716223329</v>
      </c>
      <c r="CD69" s="54">
        <f t="shared" si="124"/>
        <v>1.1470095203271111</v>
      </c>
      <c r="CE69" s="54">
        <f t="shared" si="124"/>
        <v>1.1840014010812459</v>
      </c>
      <c r="CF69" s="54">
        <f t="shared" si="124"/>
        <v>1.1156135000000895</v>
      </c>
      <c r="CG69" s="54">
        <f t="shared" si="124"/>
        <v>0.58427440297983246</v>
      </c>
      <c r="CH69" s="54">
        <f t="shared" si="124"/>
        <v>0.50373839186064295</v>
      </c>
      <c r="CI69" s="54">
        <f t="shared" si="124"/>
        <v>0.37387734080276197</v>
      </c>
      <c r="CJ69" s="54">
        <f t="shared" si="124"/>
        <v>0.58978199187383695</v>
      </c>
      <c r="CK69" s="54">
        <f t="shared" si="124"/>
        <v>0.70866861585457064</v>
      </c>
      <c r="CL69" s="54">
        <f t="shared" si="124"/>
        <v>0.66731695255312351</v>
      </c>
      <c r="CM69" s="54">
        <f t="shared" si="124"/>
        <v>0.83278196547607841</v>
      </c>
      <c r="CN69" s="54">
        <f t="shared" si="124"/>
        <v>0.54748464237613925</v>
      </c>
      <c r="CO69" s="54">
        <f t="shared" si="124"/>
        <v>0.53711706932143954</v>
      </c>
      <c r="CQ69" s="56">
        <f>CQ41/$EP41</f>
        <v>1.0003556492389627</v>
      </c>
      <c r="CR69" s="56">
        <f t="shared" si="125"/>
        <v>0.85209848885953687</v>
      </c>
      <c r="CS69" s="56">
        <f t="shared" si="125"/>
        <v>0.99964435076103753</v>
      </c>
      <c r="CT69" s="56">
        <f t="shared" si="125"/>
        <v>0.49831473654580716</v>
      </c>
      <c r="CU69" s="56">
        <f t="shared" si="125"/>
        <v>0.51764113432063397</v>
      </c>
      <c r="CV69" s="56">
        <f t="shared" si="125"/>
        <v>0.59685412716630037</v>
      </c>
      <c r="CW69" s="56">
        <f t="shared" si="125"/>
        <v>1.2964038532620048</v>
      </c>
      <c r="CX69" s="56">
        <f t="shared" si="125"/>
        <v>1.5973387413487139</v>
      </c>
      <c r="CY69" s="56">
        <f t="shared" si="125"/>
        <v>0.50953071930506055</v>
      </c>
      <c r="CZ69" s="56">
        <f t="shared" si="125"/>
        <v>1.0933611694629046</v>
      </c>
      <c r="DA69" s="56">
        <f t="shared" si="125"/>
        <v>1.1471235027564324</v>
      </c>
      <c r="DB69" s="56">
        <f t="shared" si="125"/>
        <v>1.3822691466217367</v>
      </c>
      <c r="DC69" s="56">
        <f t="shared" si="125"/>
        <v>0.97255561270793556</v>
      </c>
      <c r="DD69" s="56">
        <f t="shared" si="125"/>
        <v>1.0624995114574962</v>
      </c>
      <c r="DE69" s="56">
        <f t="shared" si="125"/>
        <v>1.1489896195010341</v>
      </c>
      <c r="DF69" s="56">
        <f t="shared" si="125"/>
        <v>1.6138143361889974</v>
      </c>
      <c r="DG69" s="56">
        <f t="shared" si="125"/>
        <v>0.73440316415776097</v>
      </c>
      <c r="DH69" s="56">
        <f t="shared" si="125"/>
        <v>0.54614939897058568</v>
      </c>
      <c r="DI69" s="56">
        <f t="shared" si="125"/>
        <v>0.76733782490708025</v>
      </c>
      <c r="DJ69" s="56">
        <f t="shared" si="125"/>
        <v>0.62568045044624832</v>
      </c>
      <c r="DK69" s="56">
        <f t="shared" si="125"/>
        <v>1.1231480546247843</v>
      </c>
      <c r="DL69" s="56">
        <f t="shared" si="125"/>
        <v>1.142837263041423</v>
      </c>
      <c r="DM69" s="56">
        <f t="shared" si="125"/>
        <v>1.2164776704848463</v>
      </c>
      <c r="DN69" s="56">
        <f t="shared" si="125"/>
        <v>1.1166956323810266</v>
      </c>
      <c r="DO69" s="56">
        <f t="shared" si="125"/>
        <v>1.5579931165741716</v>
      </c>
      <c r="DP69" s="56">
        <f t="shared" si="125"/>
        <v>1.1439058140771614</v>
      </c>
      <c r="DQ69" s="56">
        <f t="shared" si="125"/>
        <v>1.4399679789397608</v>
      </c>
      <c r="DR69" s="56">
        <f t="shared" si="125"/>
        <v>1.3940908595783319</v>
      </c>
      <c r="DS69" s="56">
        <f t="shared" si="125"/>
        <v>0.63120069958515335</v>
      </c>
      <c r="DT69" s="56">
        <f t="shared" si="125"/>
        <v>0.80239367002476025</v>
      </c>
      <c r="DU69" s="56">
        <f t="shared" si="125"/>
        <v>1.1815652722269721</v>
      </c>
      <c r="DV69" s="56">
        <f t="shared" si="125"/>
        <v>0.79432820024675521</v>
      </c>
      <c r="DW69" s="56">
        <f t="shared" si="125"/>
        <v>0.72937133632475104</v>
      </c>
      <c r="DX69" s="56">
        <f t="shared" si="125"/>
        <v>0.71720401953162671</v>
      </c>
      <c r="DY69" s="56">
        <f t="shared" si="125"/>
        <v>0.88434643954034864</v>
      </c>
      <c r="DZ69" s="56">
        <f t="shared" si="125"/>
        <v>1.0444604054353948</v>
      </c>
      <c r="EA69" s="56">
        <f t="shared" si="125"/>
        <v>0.86593063567163397</v>
      </c>
      <c r="EB69" s="56">
        <f t="shared" si="125"/>
        <v>0.50152591339959962</v>
      </c>
      <c r="EC69" s="56">
        <f t="shared" si="125"/>
        <v>1.1184960387670542</v>
      </c>
      <c r="ED69" s="56">
        <f t="shared" si="125"/>
        <v>1.2878962700223056</v>
      </c>
      <c r="EE69" s="56">
        <f t="shared" si="125"/>
        <v>1.1923567429191215</v>
      </c>
      <c r="EF69" s="56">
        <f t="shared" si="125"/>
        <v>1.2889701743695845</v>
      </c>
      <c r="EG69" s="56">
        <f t="shared" si="125"/>
        <v>1.2481608767348493</v>
      </c>
      <c r="EH69" s="56">
        <f t="shared" si="125"/>
        <v>1.0917571773430765</v>
      </c>
      <c r="EI69" s="56">
        <f t="shared" si="125"/>
        <v>0.62680228731915877</v>
      </c>
      <c r="EJ69" s="56">
        <f t="shared" si="125"/>
        <v>0.90701692220582042</v>
      </c>
      <c r="EK69" s="56">
        <f t="shared" si="125"/>
        <v>0.94528159186988336</v>
      </c>
      <c r="EL69" s="56">
        <f t="shared" si="125"/>
        <v>0.69408677521820739</v>
      </c>
      <c r="EM69" s="56">
        <f t="shared" si="125"/>
        <v>0.95936525919266769</v>
      </c>
      <c r="EN69" s="56">
        <f t="shared" si="125"/>
        <v>0.90682008538960013</v>
      </c>
      <c r="EO69" s="56">
        <f t="shared" si="125"/>
        <v>0.75164949535359549</v>
      </c>
      <c r="EQ69" s="64">
        <f t="shared" ref="EQ69:FI69" si="129">EQ41/$FJ41</f>
        <v>1.0446599846210762</v>
      </c>
      <c r="ER69" s="64">
        <f t="shared" si="129"/>
        <v>1.4303628156971016</v>
      </c>
      <c r="ES69" s="64">
        <f t="shared" si="129"/>
        <v>1.1607604514395169</v>
      </c>
      <c r="ET69" s="64">
        <f t="shared" si="129"/>
        <v>0.60844298967204069</v>
      </c>
      <c r="EU69" s="64">
        <f t="shared" si="129"/>
        <v>0.86737604888424502</v>
      </c>
      <c r="EV69" s="64">
        <f t="shared" si="129"/>
        <v>0.42502157870049168</v>
      </c>
      <c r="EW69" s="64">
        <f t="shared" si="129"/>
        <v>0.91917295265164178</v>
      </c>
      <c r="EX69" s="64">
        <f t="shared" si="129"/>
        <v>1.1123798978604995</v>
      </c>
      <c r="EY69" s="64">
        <f t="shared" si="129"/>
        <v>1.259180081456317</v>
      </c>
      <c r="EZ69" s="64">
        <f t="shared" si="129"/>
        <v>1.0858544494187636</v>
      </c>
      <c r="FA69" s="64">
        <f t="shared" si="129"/>
        <v>0.72429452820514917</v>
      </c>
      <c r="FB69" s="64">
        <f t="shared" si="129"/>
        <v>1.1179409798424818</v>
      </c>
      <c r="FC69" s="64">
        <f t="shared" si="129"/>
        <v>0.52869165577719646</v>
      </c>
      <c r="FD69" s="64">
        <f t="shared" si="129"/>
        <v>1.1517689060043708</v>
      </c>
      <c r="FE69" s="64">
        <f t="shared" si="129"/>
        <v>1.4318170036744291</v>
      </c>
      <c r="FF69" s="64">
        <f t="shared" si="129"/>
        <v>1</v>
      </c>
      <c r="FG69" s="64">
        <f t="shared" si="129"/>
        <v>0.87869226817115598</v>
      </c>
      <c r="FH69" s="64">
        <f t="shared" si="129"/>
        <v>0.62925728241165813</v>
      </c>
      <c r="FI69" s="64">
        <f t="shared" si="129"/>
        <v>0.74729387463288233</v>
      </c>
    </row>
    <row r="70" spans="1:166" ht="15">
      <c r="A70" s="32"/>
      <c r="B70" s="20" t="s">
        <v>172</v>
      </c>
      <c r="C70" s="53">
        <f>AVERAGE(C64:C69)</f>
        <v>1.4670922187518218</v>
      </c>
      <c r="D70" s="53">
        <f t="shared" ref="D70:T70" si="130">AVERAGE(D64:D69)</f>
        <v>0.8919091942492684</v>
      </c>
      <c r="E70" s="53">
        <f t="shared" si="130"/>
        <v>1.6907162832760172</v>
      </c>
      <c r="F70" s="53">
        <f t="shared" si="130"/>
        <v>1.402409513282616</v>
      </c>
      <c r="G70" s="53">
        <f t="shared" si="130"/>
        <v>0.9547517888671736</v>
      </c>
      <c r="H70" s="53">
        <f t="shared" si="130"/>
        <v>0.9813539979246011</v>
      </c>
      <c r="I70" s="53">
        <f t="shared" si="130"/>
        <v>0.93617758495760073</v>
      </c>
      <c r="J70" s="53">
        <f t="shared" si="130"/>
        <v>1.8095075500395825</v>
      </c>
      <c r="K70" s="53">
        <f t="shared" si="130"/>
        <v>1.7133699973133012</v>
      </c>
      <c r="L70" s="53">
        <f t="shared" si="130"/>
        <v>1.1671275651919111</v>
      </c>
      <c r="M70" s="53">
        <f t="shared" si="130"/>
        <v>0.79596606201404263</v>
      </c>
      <c r="N70" s="53">
        <f t="shared" si="130"/>
        <v>0.73675545020171951</v>
      </c>
      <c r="O70" s="53">
        <f t="shared" si="130"/>
        <v>0.59209517335335582</v>
      </c>
      <c r="P70" s="53">
        <f t="shared" si="130"/>
        <v>0.56980521081864099</v>
      </c>
      <c r="Q70" s="53">
        <f t="shared" si="130"/>
        <v>0.10035108714207076</v>
      </c>
      <c r="R70" s="53">
        <f t="shared" si="130"/>
        <v>0.72392862020006554</v>
      </c>
      <c r="S70" s="53">
        <f t="shared" si="130"/>
        <v>1.0017520389897345</v>
      </c>
      <c r="T70" s="53">
        <f t="shared" si="130"/>
        <v>0.91743277680056046</v>
      </c>
      <c r="V70" s="57">
        <f>AVERAGE(V64:V69)</f>
        <v>1.3353034877986192</v>
      </c>
      <c r="W70" s="57">
        <f t="shared" ref="W70:AT70" si="131">AVERAGE(W64:W69)</f>
        <v>1.500064082943277</v>
      </c>
      <c r="X70" s="57">
        <f t="shared" si="131"/>
        <v>1.3801833703049804</v>
      </c>
      <c r="Y70" s="57">
        <f t="shared" si="131"/>
        <v>0.68489765001229175</v>
      </c>
      <c r="Z70" s="57">
        <f t="shared" si="131"/>
        <v>0.98879609826014392</v>
      </c>
      <c r="AA70" s="57">
        <f t="shared" si="131"/>
        <v>1.6370976832899986</v>
      </c>
      <c r="AB70" s="57">
        <f t="shared" si="131"/>
        <v>1.1122832231247339</v>
      </c>
      <c r="AC70" s="57">
        <f t="shared" si="131"/>
        <v>1.3080094452490558</v>
      </c>
      <c r="AD70" s="57">
        <f t="shared" si="131"/>
        <v>0.91242638243741891</v>
      </c>
      <c r="AE70" s="57">
        <f t="shared" si="131"/>
        <v>1.1203224494565054</v>
      </c>
      <c r="AF70" s="57">
        <f t="shared" si="131"/>
        <v>1.2787378512440475</v>
      </c>
      <c r="AG70" s="57">
        <f t="shared" si="131"/>
        <v>0.82379123704135138</v>
      </c>
      <c r="AH70" s="57">
        <f t="shared" si="131"/>
        <v>0.97198382059187904</v>
      </c>
      <c r="AI70" s="57">
        <f t="shared" si="131"/>
        <v>1.0668664857425043</v>
      </c>
      <c r="AJ70" s="57">
        <f t="shared" si="131"/>
        <v>0.92518078201339315</v>
      </c>
      <c r="AK70" s="57">
        <f t="shared" si="131"/>
        <v>0.69056812264859557</v>
      </c>
      <c r="AL70" s="57">
        <f t="shared" si="131"/>
        <v>0.64211149467264994</v>
      </c>
      <c r="AM70" s="57">
        <f t="shared" si="131"/>
        <v>1.0063703609861658</v>
      </c>
      <c r="AN70" s="57">
        <f t="shared" si="131"/>
        <v>0.99866456857293751</v>
      </c>
      <c r="AO70" s="57">
        <f t="shared" si="131"/>
        <v>0.60868307162465174</v>
      </c>
      <c r="AP70" s="57">
        <f t="shared" si="131"/>
        <v>0.7923306708756197</v>
      </c>
      <c r="AQ70" s="57">
        <f t="shared" si="131"/>
        <v>0.79399361182033645</v>
      </c>
      <c r="AR70" s="57">
        <f t="shared" si="131"/>
        <v>0.90958376441437616</v>
      </c>
      <c r="AS70" s="57">
        <f t="shared" si="131"/>
        <v>1.1027319582401478</v>
      </c>
      <c r="AT70" s="57">
        <f t="shared" si="131"/>
        <v>0.92772181240673435</v>
      </c>
      <c r="AV70" s="60">
        <f>AVERAGE(AV64:AV69)</f>
        <v>0.54935752210501576</v>
      </c>
      <c r="AW70" s="60">
        <f t="shared" ref="AW70:CO70" si="132">AVERAGE(AW64:AW69)</f>
        <v>0.8909425789447516</v>
      </c>
      <c r="AX70" s="60">
        <f t="shared" si="132"/>
        <v>0.76196855566735344</v>
      </c>
      <c r="AY70" s="60">
        <f t="shared" si="132"/>
        <v>0.71679062570833818</v>
      </c>
      <c r="AZ70" s="60">
        <f t="shared" si="132"/>
        <v>0.61472386743894725</v>
      </c>
      <c r="BA70" s="60">
        <f t="shared" si="132"/>
        <v>0.98983040186317039</v>
      </c>
      <c r="BB70" s="60">
        <f t="shared" si="132"/>
        <v>1.2911120516327115</v>
      </c>
      <c r="BC70" s="60">
        <f t="shared" si="132"/>
        <v>1.2543588377848911</v>
      </c>
      <c r="BD70" s="60">
        <f t="shared" si="132"/>
        <v>1.0190067183456752</v>
      </c>
      <c r="BE70" s="60">
        <f t="shared" si="132"/>
        <v>0.81793425798944464</v>
      </c>
      <c r="BF70" s="60">
        <f t="shared" si="132"/>
        <v>1.0223957587490564</v>
      </c>
      <c r="BG70" s="60">
        <f t="shared" si="132"/>
        <v>1.0084390831285808</v>
      </c>
      <c r="BH70" s="60">
        <f t="shared" si="132"/>
        <v>1.0751157715594395</v>
      </c>
      <c r="BI70" s="60">
        <f t="shared" si="132"/>
        <v>1.0347610524485924</v>
      </c>
      <c r="BJ70" s="60">
        <f t="shared" si="132"/>
        <v>1.4226336399308994</v>
      </c>
      <c r="BK70" s="60">
        <f t="shared" si="132"/>
        <v>1.3969943940605367</v>
      </c>
      <c r="BL70" s="60">
        <f t="shared" si="132"/>
        <v>1.2393353713422852</v>
      </c>
      <c r="BM70" s="60">
        <f t="shared" si="132"/>
        <v>1.2040435457875163</v>
      </c>
      <c r="BN70" s="60">
        <f t="shared" si="132"/>
        <v>0.97889047021488607</v>
      </c>
      <c r="BO70" s="60">
        <f t="shared" si="132"/>
        <v>0.88713258555408359</v>
      </c>
      <c r="BP70" s="60">
        <f t="shared" si="132"/>
        <v>0.92541032172563209</v>
      </c>
      <c r="BQ70" s="60">
        <f t="shared" si="132"/>
        <v>0.86585684865737045</v>
      </c>
      <c r="BR70" s="60">
        <f t="shared" si="132"/>
        <v>1.0357532483662386</v>
      </c>
      <c r="BS70" s="60">
        <f t="shared" si="132"/>
        <v>1.0389069625927487</v>
      </c>
      <c r="BT70" s="60">
        <f t="shared" si="132"/>
        <v>1.0106173708425759</v>
      </c>
      <c r="BU70" s="60">
        <f t="shared" si="132"/>
        <v>0.8868235113011963</v>
      </c>
      <c r="BV70" s="60">
        <f t="shared" si="132"/>
        <v>1.0261308662332682</v>
      </c>
      <c r="BW70" s="60">
        <f t="shared" si="132"/>
        <v>1.0976400170078238</v>
      </c>
      <c r="BX70" s="60">
        <f t="shared" si="132"/>
        <v>1.2618368733286729</v>
      </c>
      <c r="BY70" s="60">
        <f t="shared" si="132"/>
        <v>1.3875696931889492</v>
      </c>
      <c r="BZ70" s="60">
        <f t="shared" si="132"/>
        <v>1.2177488913769023</v>
      </c>
      <c r="CA70" s="60">
        <f t="shared" si="132"/>
        <v>1.0924357553434223</v>
      </c>
      <c r="CB70" s="60">
        <f t="shared" si="132"/>
        <v>0.97528747342043698</v>
      </c>
      <c r="CC70" s="60">
        <f t="shared" si="132"/>
        <v>0.94749143015941539</v>
      </c>
      <c r="CD70" s="60">
        <f t="shared" si="132"/>
        <v>1.1443616786096944</v>
      </c>
      <c r="CE70" s="60">
        <f t="shared" si="132"/>
        <v>1.1726145328099895</v>
      </c>
      <c r="CF70" s="60">
        <f t="shared" si="132"/>
        <v>1.1408875901961439</v>
      </c>
      <c r="CG70" s="60">
        <f t="shared" si="132"/>
        <v>0.67103398211652421</v>
      </c>
      <c r="CH70" s="60">
        <f t="shared" si="132"/>
        <v>0.53706620715779385</v>
      </c>
      <c r="CI70" s="60">
        <f t="shared" si="132"/>
        <v>0.64410855354927843</v>
      </c>
      <c r="CJ70" s="60">
        <f t="shared" si="132"/>
        <v>0.58593418469219472</v>
      </c>
      <c r="CK70" s="60">
        <f t="shared" si="132"/>
        <v>0.73894095670135851</v>
      </c>
      <c r="CL70" s="60">
        <f t="shared" si="132"/>
        <v>0.59972739859229796</v>
      </c>
      <c r="CM70" s="60">
        <f t="shared" si="132"/>
        <v>0.79829015308545836</v>
      </c>
      <c r="CN70" s="60">
        <f t="shared" si="132"/>
        <v>0.52750407027929069</v>
      </c>
      <c r="CO70" s="60">
        <f t="shared" si="132"/>
        <v>0.53130967441913179</v>
      </c>
      <c r="CQ70" s="58">
        <f>AVERAGE(CQ64:CQ69)</f>
        <v>0.97380482037684224</v>
      </c>
      <c r="CR70" s="58">
        <f t="shared" ref="CR70:EO70" si="133">AVERAGE(CR64:CR69)</f>
        <v>0.86412325175410976</v>
      </c>
      <c r="CS70" s="58">
        <f t="shared" si="133"/>
        <v>0.88253382600862784</v>
      </c>
      <c r="CT70" s="58">
        <f t="shared" si="133"/>
        <v>0.76217206365642909</v>
      </c>
      <c r="CU70" s="58">
        <f t="shared" si="133"/>
        <v>0.52693847092162283</v>
      </c>
      <c r="CV70" s="58">
        <f t="shared" si="133"/>
        <v>0.58916601942861868</v>
      </c>
      <c r="CW70" s="58">
        <f t="shared" si="133"/>
        <v>1.2894119201884779</v>
      </c>
      <c r="CX70" s="58">
        <f t="shared" si="133"/>
        <v>1.5214845752247497</v>
      </c>
      <c r="CY70" s="58">
        <f t="shared" si="133"/>
        <v>0.73604697266857488</v>
      </c>
      <c r="CZ70" s="58">
        <f t="shared" si="133"/>
        <v>1.0577789114296827</v>
      </c>
      <c r="DA70" s="58">
        <f t="shared" si="133"/>
        <v>1.052640958357917</v>
      </c>
      <c r="DB70" s="58">
        <f t="shared" si="133"/>
        <v>1.3976212574481319</v>
      </c>
      <c r="DC70" s="58">
        <f t="shared" si="133"/>
        <v>1.0029472716101013</v>
      </c>
      <c r="DD70" s="58">
        <f t="shared" si="133"/>
        <v>1.0676427168398162</v>
      </c>
      <c r="DE70" s="58">
        <f t="shared" si="133"/>
        <v>1.4141881010433413</v>
      </c>
      <c r="DF70" s="58">
        <f t="shared" si="133"/>
        <v>1.5914704174840548</v>
      </c>
      <c r="DG70" s="58">
        <f t="shared" si="133"/>
        <v>0.99568993709725906</v>
      </c>
      <c r="DH70" s="58">
        <f t="shared" si="133"/>
        <v>0.72456684999507159</v>
      </c>
      <c r="DI70" s="58">
        <f t="shared" si="133"/>
        <v>0.69439457744882294</v>
      </c>
      <c r="DJ70" s="58">
        <f t="shared" si="133"/>
        <v>0.9154012621419807</v>
      </c>
      <c r="DK70" s="58">
        <f t="shared" si="133"/>
        <v>1.1029048085430415</v>
      </c>
      <c r="DL70" s="58">
        <f t="shared" si="133"/>
        <v>1.1290515558341097</v>
      </c>
      <c r="DM70" s="58">
        <f t="shared" si="133"/>
        <v>1.2474541339066791</v>
      </c>
      <c r="DN70" s="58">
        <f t="shared" si="133"/>
        <v>1.1039093314321597</v>
      </c>
      <c r="DO70" s="58">
        <f t="shared" si="133"/>
        <v>1.5098773787411242</v>
      </c>
      <c r="DP70" s="58">
        <f t="shared" si="133"/>
        <v>1.3162644586555514</v>
      </c>
      <c r="DQ70" s="58">
        <f t="shared" si="133"/>
        <v>1.4006058825343901</v>
      </c>
      <c r="DR70" s="58">
        <f t="shared" si="133"/>
        <v>1.3575768214667476</v>
      </c>
      <c r="DS70" s="58">
        <f t="shared" si="133"/>
        <v>0.84605263509288164</v>
      </c>
      <c r="DT70" s="58">
        <f t="shared" si="133"/>
        <v>0.74182044920151335</v>
      </c>
      <c r="DU70" s="58">
        <f t="shared" si="133"/>
        <v>1.154995119706778</v>
      </c>
      <c r="DV70" s="58">
        <f t="shared" si="133"/>
        <v>0.86121631897650441</v>
      </c>
      <c r="DW70" s="58">
        <f t="shared" si="133"/>
        <v>0.7426242334481965</v>
      </c>
      <c r="DX70" s="58">
        <f t="shared" si="133"/>
        <v>0.81030193402597106</v>
      </c>
      <c r="DY70" s="58">
        <f t="shared" si="133"/>
        <v>0.94488619730204837</v>
      </c>
      <c r="DZ70" s="58">
        <f t="shared" si="133"/>
        <v>1.0560899464806262</v>
      </c>
      <c r="EA70" s="58">
        <f t="shared" si="133"/>
        <v>0.88056397876782089</v>
      </c>
      <c r="EB70" s="58">
        <f t="shared" si="133"/>
        <v>0.5463026065235167</v>
      </c>
      <c r="EC70" s="58">
        <f t="shared" si="133"/>
        <v>1.0864641945023872</v>
      </c>
      <c r="ED70" s="58">
        <f t="shared" si="133"/>
        <v>1.2715631637237705</v>
      </c>
      <c r="EE70" s="58">
        <f t="shared" si="133"/>
        <v>1.1181794185178449</v>
      </c>
      <c r="EF70" s="58">
        <f t="shared" si="133"/>
        <v>1.2820611139012661</v>
      </c>
      <c r="EG70" s="58">
        <f t="shared" si="133"/>
        <v>1.2021929490066001</v>
      </c>
      <c r="EH70" s="58">
        <f t="shared" si="133"/>
        <v>1.060956003929985</v>
      </c>
      <c r="EI70" s="58">
        <f t="shared" si="133"/>
        <v>0.7915364953274665</v>
      </c>
      <c r="EJ70" s="58">
        <f t="shared" si="133"/>
        <v>0.79210807685502893</v>
      </c>
      <c r="EK70" s="58">
        <f t="shared" si="133"/>
        <v>0.86505350982602447</v>
      </c>
      <c r="EL70" s="58">
        <f t="shared" si="133"/>
        <v>0.65961938517542507</v>
      </c>
      <c r="EM70" s="58">
        <f t="shared" si="133"/>
        <v>0.78508044150332346</v>
      </c>
      <c r="EN70" s="58">
        <f t="shared" si="133"/>
        <v>0.85582115982518581</v>
      </c>
      <c r="EO70" s="58">
        <f t="shared" si="133"/>
        <v>0.74539525986023847</v>
      </c>
      <c r="EQ70" s="58">
        <f>AVERAGE(EQ64:EQ69)</f>
        <v>1.1038354505050514</v>
      </c>
      <c r="ER70" s="58">
        <f t="shared" ref="ER70:FI70" si="134">AVERAGE(ER64:ER69)</f>
        <v>1.4881264462116446</v>
      </c>
      <c r="ES70" s="58">
        <f t="shared" si="134"/>
        <v>1.27024638211592</v>
      </c>
      <c r="ET70" s="58">
        <f t="shared" si="134"/>
        <v>0.60205494131375203</v>
      </c>
      <c r="EU70" s="58">
        <f t="shared" si="134"/>
        <v>0.87378955287635618</v>
      </c>
      <c r="EV70" s="58">
        <f t="shared" si="134"/>
        <v>0.68785650143917854</v>
      </c>
      <c r="EW70" s="58">
        <f t="shared" si="134"/>
        <v>0.90286706754345658</v>
      </c>
      <c r="EX70" s="58">
        <f t="shared" si="134"/>
        <v>1.1241915805747935</v>
      </c>
      <c r="EY70" s="58">
        <f t="shared" si="134"/>
        <v>1.2480091852882143</v>
      </c>
      <c r="EZ70" s="58">
        <f t="shared" si="134"/>
        <v>0.98403316641747895</v>
      </c>
      <c r="FA70" s="58">
        <f t="shared" si="134"/>
        <v>0.81775208903459351</v>
      </c>
      <c r="FB70" s="58">
        <f t="shared" si="134"/>
        <v>1.0924034910349454</v>
      </c>
      <c r="FC70" s="58">
        <f t="shared" si="134"/>
        <v>0.6965349294735802</v>
      </c>
      <c r="FD70" s="58">
        <f t="shared" si="134"/>
        <v>1.2111906795996612</v>
      </c>
      <c r="FE70" s="58">
        <f t="shared" si="134"/>
        <v>1.4141440900208331</v>
      </c>
      <c r="FF70" s="58">
        <f t="shared" si="134"/>
        <v>1.0141021949659037</v>
      </c>
      <c r="FG70" s="58">
        <f t="shared" si="134"/>
        <v>0.96986016142060993</v>
      </c>
      <c r="FH70" s="58">
        <f t="shared" si="134"/>
        <v>0.62842308269325431</v>
      </c>
      <c r="FI70" s="58">
        <f t="shared" si="134"/>
        <v>0.75907776069900745</v>
      </c>
    </row>
    <row r="71" spans="1:166" ht="15">
      <c r="A71" s="32"/>
      <c r="B71" s="20" t="s">
        <v>165</v>
      </c>
      <c r="C71" s="21">
        <f>_xlfn.STDEV.S(C64:C69)</f>
        <v>6.2616877037772536E-2</v>
      </c>
      <c r="D71" s="21">
        <f t="shared" ref="D71:T71" si="135">_xlfn.STDEV.S(D64:D69)</f>
        <v>0.15187120034055634</v>
      </c>
      <c r="E71" s="21">
        <f t="shared" si="135"/>
        <v>7.0723332929219923E-2</v>
      </c>
      <c r="F71" s="21">
        <f t="shared" si="135"/>
        <v>0.25261518196237542</v>
      </c>
      <c r="G71" s="21">
        <f t="shared" si="135"/>
        <v>0.2303409506264798</v>
      </c>
      <c r="H71" s="21">
        <f t="shared" si="135"/>
        <v>0.11725014441430139</v>
      </c>
      <c r="I71" s="21">
        <f t="shared" si="135"/>
        <v>0.12166196521003768</v>
      </c>
      <c r="J71" s="21">
        <f t="shared" si="135"/>
        <v>0.13585322787468393</v>
      </c>
      <c r="K71" s="21">
        <f t="shared" si="135"/>
        <v>0.12794786392109631</v>
      </c>
      <c r="L71" s="21">
        <f t="shared" si="135"/>
        <v>0.25251965095648615</v>
      </c>
      <c r="M71" s="21">
        <f t="shared" si="135"/>
        <v>0.20943360038957737</v>
      </c>
      <c r="N71" s="21">
        <f t="shared" si="135"/>
        <v>0.37381623504507316</v>
      </c>
      <c r="O71" s="21">
        <f t="shared" si="135"/>
        <v>0.30686657060310002</v>
      </c>
      <c r="P71" s="21">
        <f t="shared" si="135"/>
        <v>0.29806074349066219</v>
      </c>
      <c r="Q71" s="21">
        <f t="shared" si="135"/>
        <v>0.2458089586316432</v>
      </c>
      <c r="R71" s="21">
        <f t="shared" si="135"/>
        <v>0.10341405790040059</v>
      </c>
      <c r="S71" s="21">
        <f t="shared" si="135"/>
        <v>3.4642707956425434E-2</v>
      </c>
      <c r="T71" s="21">
        <f t="shared" si="135"/>
        <v>0.2039066689733316</v>
      </c>
      <c r="V71">
        <f>_xlfn.STDEV.S(V64:V69)</f>
        <v>3.2043289267938792E-2</v>
      </c>
      <c r="W71">
        <f t="shared" ref="W71:AT71" si="136">_xlfn.STDEV.S(W64:W69)</f>
        <v>0.33463511012724195</v>
      </c>
      <c r="X71">
        <f t="shared" si="136"/>
        <v>4.2156458490891779E-2</v>
      </c>
      <c r="Y71">
        <f t="shared" si="136"/>
        <v>0.11086387581295155</v>
      </c>
      <c r="Z71">
        <f t="shared" si="136"/>
        <v>7.3892901417477425E-2</v>
      </c>
      <c r="AA71">
        <f t="shared" si="136"/>
        <v>0.15515823865340411</v>
      </c>
      <c r="AB71">
        <f t="shared" si="136"/>
        <v>7.881032415664789E-2</v>
      </c>
      <c r="AC71">
        <f t="shared" si="136"/>
        <v>0.15652136255814716</v>
      </c>
      <c r="AD71">
        <f t="shared" si="136"/>
        <v>0.15106384689608243</v>
      </c>
      <c r="AE71">
        <f t="shared" si="136"/>
        <v>0.13018769096057142</v>
      </c>
      <c r="AF71">
        <f t="shared" si="136"/>
        <v>3.7551132169635813E-2</v>
      </c>
      <c r="AG71">
        <f t="shared" si="136"/>
        <v>6.2016702457165368E-2</v>
      </c>
      <c r="AH71">
        <f t="shared" si="136"/>
        <v>3.9614695722896102E-2</v>
      </c>
      <c r="AI71">
        <f t="shared" si="136"/>
        <v>8.6147875257828174E-2</v>
      </c>
      <c r="AJ71">
        <f t="shared" si="136"/>
        <v>8.2642083295874871E-2</v>
      </c>
      <c r="AK71">
        <f t="shared" si="136"/>
        <v>0.13286399846780927</v>
      </c>
      <c r="AL71">
        <f t="shared" si="136"/>
        <v>0.11491804132202896</v>
      </c>
      <c r="AM71">
        <f t="shared" si="136"/>
        <v>0.13962642726774382</v>
      </c>
      <c r="AN71">
        <f t="shared" si="136"/>
        <v>0.13810024051295872</v>
      </c>
      <c r="AO71">
        <f t="shared" si="136"/>
        <v>0.10372125388543284</v>
      </c>
      <c r="AP71">
        <f t="shared" si="136"/>
        <v>5.7577593320935601E-2</v>
      </c>
      <c r="AQ71">
        <f t="shared" si="136"/>
        <v>3.3874069843016309E-2</v>
      </c>
      <c r="AR71">
        <f t="shared" si="136"/>
        <v>1.9609437134915399E-2</v>
      </c>
      <c r="AS71">
        <f t="shared" si="136"/>
        <v>6.2443647481666864E-2</v>
      </c>
      <c r="AT71">
        <f t="shared" si="136"/>
        <v>7.2472869954576927E-2</v>
      </c>
      <c r="AV71" s="58">
        <f>_xlfn.STDEV.S(AV64:AV69)</f>
        <v>0.10307711357572427</v>
      </c>
      <c r="AW71" s="58">
        <f t="shared" ref="AW71:CO71" si="137">_xlfn.STDEV.S(AW64:AW69)</f>
        <v>3.221897203569242E-2</v>
      </c>
      <c r="AX71" s="58">
        <f t="shared" si="137"/>
        <v>4.9195359557793548E-2</v>
      </c>
      <c r="AY71" s="58">
        <f t="shared" si="137"/>
        <v>4.0163672463016019E-2</v>
      </c>
      <c r="AZ71" s="58">
        <f t="shared" si="137"/>
        <v>6.6013119303460238E-2</v>
      </c>
      <c r="BA71" s="58">
        <f t="shared" si="137"/>
        <v>7.276097316193432E-2</v>
      </c>
      <c r="BB71" s="58">
        <f t="shared" si="137"/>
        <v>1.8000067756951618E-2</v>
      </c>
      <c r="BC71" s="58">
        <f t="shared" si="137"/>
        <v>1.240107559490696E-2</v>
      </c>
      <c r="BD71" s="58">
        <f t="shared" si="137"/>
        <v>2.50096361707202E-2</v>
      </c>
      <c r="BE71" s="58">
        <f t="shared" si="137"/>
        <v>2.5635321234457231E-2</v>
      </c>
      <c r="BF71" s="58">
        <f t="shared" si="137"/>
        <v>1.1117263218544875E-2</v>
      </c>
      <c r="BG71" s="58">
        <f t="shared" si="137"/>
        <v>1.5002397113547686E-2</v>
      </c>
      <c r="BH71" s="58">
        <f t="shared" si="137"/>
        <v>1.6020705435996384E-2</v>
      </c>
      <c r="BI71" s="58">
        <f t="shared" si="137"/>
        <v>1.9344693943893702E-2</v>
      </c>
      <c r="BJ71" s="58">
        <f t="shared" si="137"/>
        <v>3.7452662274866225E-2</v>
      </c>
      <c r="BK71" s="58">
        <f t="shared" si="137"/>
        <v>2.6372602782660216E-2</v>
      </c>
      <c r="BL71" s="58">
        <f t="shared" si="137"/>
        <v>1.4992906170255896E-2</v>
      </c>
      <c r="BM71" s="58">
        <f t="shared" si="137"/>
        <v>2.1760230834738992E-2</v>
      </c>
      <c r="BN71" s="58">
        <f t="shared" si="137"/>
        <v>2.6898797422976121E-2</v>
      </c>
      <c r="BO71" s="58">
        <f t="shared" si="137"/>
        <v>2.1459760415902404E-2</v>
      </c>
      <c r="BP71" s="58">
        <f t="shared" si="137"/>
        <v>3.4850343775750643E-2</v>
      </c>
      <c r="BQ71" s="58">
        <f t="shared" si="137"/>
        <v>3.9939900758461461E-2</v>
      </c>
      <c r="BR71" s="58">
        <f t="shared" si="137"/>
        <v>4.3496816301590767E-2</v>
      </c>
      <c r="BS71" s="58">
        <f t="shared" si="137"/>
        <v>4.4503531761262649E-2</v>
      </c>
      <c r="BT71" s="58">
        <f t="shared" si="137"/>
        <v>3.3517324158172608E-2</v>
      </c>
      <c r="BU71" s="58">
        <f t="shared" si="137"/>
        <v>4.5931047618705916E-2</v>
      </c>
      <c r="BV71" s="58">
        <f t="shared" si="137"/>
        <v>3.2581615745115387E-2</v>
      </c>
      <c r="BW71" s="58">
        <f t="shared" si="137"/>
        <v>2.3201749732216892E-2</v>
      </c>
      <c r="BX71" s="58">
        <f t="shared" si="137"/>
        <v>2.7463924951179622E-2</v>
      </c>
      <c r="BY71" s="58">
        <f t="shared" si="137"/>
        <v>3.5097844684914004E-2</v>
      </c>
      <c r="BZ71" s="58">
        <f t="shared" si="137"/>
        <v>2.1049081308569279E-2</v>
      </c>
      <c r="CA71" s="58">
        <f t="shared" si="137"/>
        <v>1.6578718820838736E-2</v>
      </c>
      <c r="CB71" s="58">
        <f t="shared" si="137"/>
        <v>3.0295704518504822E-2</v>
      </c>
      <c r="CC71" s="58">
        <f t="shared" si="137"/>
        <v>3.7511568403341883E-2</v>
      </c>
      <c r="CD71" s="58">
        <f t="shared" si="137"/>
        <v>3.5002627524129581E-2</v>
      </c>
      <c r="CE71" s="58">
        <f t="shared" si="137"/>
        <v>2.3286784948266422E-2</v>
      </c>
      <c r="CF71" s="58">
        <f t="shared" si="137"/>
        <v>3.2616276758099756E-2</v>
      </c>
      <c r="CG71" s="58">
        <f t="shared" si="137"/>
        <v>8.4481431891144862E-2</v>
      </c>
      <c r="CH71" s="58">
        <f t="shared" si="137"/>
        <v>5.7857445112574582E-2</v>
      </c>
      <c r="CI71" s="58">
        <f t="shared" si="137"/>
        <v>0.45163425414044817</v>
      </c>
      <c r="CJ71" s="58">
        <f t="shared" si="137"/>
        <v>0.17351719753917089</v>
      </c>
      <c r="CK71" s="58">
        <f t="shared" si="137"/>
        <v>0.1020462800570722</v>
      </c>
      <c r="CL71" s="58">
        <f t="shared" si="137"/>
        <v>5.6171751451888748E-2</v>
      </c>
      <c r="CM71" s="58">
        <f t="shared" si="137"/>
        <v>5.0440209854607156E-2</v>
      </c>
      <c r="CN71" s="58">
        <f t="shared" si="137"/>
        <v>8.1505366190868137E-2</v>
      </c>
      <c r="CO71" s="58">
        <f t="shared" si="137"/>
        <v>8.432655454195763E-2</v>
      </c>
      <c r="CQ71" s="58">
        <f>_xlfn.STDEV.S(CQ64:CQ69)</f>
        <v>0.13374727147389484</v>
      </c>
      <c r="CR71" s="58">
        <f t="shared" ref="CR71:EO71" si="138">_xlfn.STDEV.S(CR64:CR69)</f>
        <v>6.8631922900397824E-2</v>
      </c>
      <c r="CS71" s="58">
        <f t="shared" si="138"/>
        <v>7.8967681554844057E-2</v>
      </c>
      <c r="CT71" s="58">
        <f t="shared" si="138"/>
        <v>0.13824344519225898</v>
      </c>
      <c r="CU71" s="58">
        <f t="shared" si="138"/>
        <v>0.12624251557513008</v>
      </c>
      <c r="CV71" s="58">
        <f t="shared" si="138"/>
        <v>9.9511981831291299E-2</v>
      </c>
      <c r="CW71" s="58">
        <f t="shared" si="138"/>
        <v>4.4213781382408869E-2</v>
      </c>
      <c r="CX71" s="58">
        <f t="shared" si="138"/>
        <v>6.5047760324511955E-2</v>
      </c>
      <c r="CY71" s="58">
        <f t="shared" si="138"/>
        <v>0.15083648019110124</v>
      </c>
      <c r="CZ71" s="58">
        <f t="shared" si="138"/>
        <v>7.5962716129936311E-2</v>
      </c>
      <c r="DA71" s="58">
        <f t="shared" si="138"/>
        <v>0.20597075339320267</v>
      </c>
      <c r="DB71" s="58">
        <f t="shared" si="138"/>
        <v>6.0715535260088299E-2</v>
      </c>
      <c r="DC71" s="58">
        <f t="shared" si="138"/>
        <v>3.3458203150333946E-2</v>
      </c>
      <c r="DD71" s="58">
        <f t="shared" si="138"/>
        <v>7.6939970698389648E-2</v>
      </c>
      <c r="DE71" s="58">
        <f t="shared" si="138"/>
        <v>0.21628934000712755</v>
      </c>
      <c r="DF71" s="58">
        <f t="shared" si="138"/>
        <v>4.4733567636087733E-2</v>
      </c>
      <c r="DG71" s="58">
        <f t="shared" si="138"/>
        <v>0.17944176339955514</v>
      </c>
      <c r="DH71" s="58">
        <f t="shared" si="138"/>
        <v>0.13029105673532324</v>
      </c>
      <c r="DI71" s="58">
        <f t="shared" si="138"/>
        <v>0.13889732531443263</v>
      </c>
      <c r="DJ71" s="58">
        <f t="shared" si="138"/>
        <v>0.14345521006864453</v>
      </c>
      <c r="DK71" s="58">
        <f t="shared" si="138"/>
        <v>4.7770274435311913E-2</v>
      </c>
      <c r="DL71" s="58">
        <f t="shared" si="138"/>
        <v>8.7631960754992036E-2</v>
      </c>
      <c r="DM71" s="58">
        <f t="shared" si="138"/>
        <v>6.016918804486563E-2</v>
      </c>
      <c r="DN71" s="58">
        <f t="shared" si="138"/>
        <v>5.2258482124131131E-2</v>
      </c>
      <c r="DO71" s="58">
        <f t="shared" si="138"/>
        <v>6.9873112230583137E-2</v>
      </c>
      <c r="DP71" s="58">
        <f t="shared" si="138"/>
        <v>0.17422239033342285</v>
      </c>
      <c r="DQ71" s="58">
        <f t="shared" si="138"/>
        <v>5.9335272646908903E-2</v>
      </c>
      <c r="DR71" s="58">
        <f t="shared" si="138"/>
        <v>4.1524927711003308E-2</v>
      </c>
      <c r="DS71" s="58">
        <f t="shared" si="138"/>
        <v>0.16777414169731963</v>
      </c>
      <c r="DT71" s="58">
        <f t="shared" si="138"/>
        <v>6.1186157390666469E-2</v>
      </c>
      <c r="DU71" s="58">
        <f t="shared" si="138"/>
        <v>2.469806995034466E-2</v>
      </c>
      <c r="DV71" s="58">
        <f t="shared" si="138"/>
        <v>0.13726597161558698</v>
      </c>
      <c r="DW71" s="58">
        <f t="shared" si="138"/>
        <v>0.14411892093913473</v>
      </c>
      <c r="DX71" s="58">
        <f t="shared" si="138"/>
        <v>0.13917181510914833</v>
      </c>
      <c r="DY71" s="58">
        <f t="shared" si="138"/>
        <v>7.3910990901729437E-2</v>
      </c>
      <c r="DZ71" s="58">
        <f t="shared" si="138"/>
        <v>4.6516435724723443E-2</v>
      </c>
      <c r="EA71" s="58">
        <f t="shared" si="138"/>
        <v>8.2990861894339921E-2</v>
      </c>
      <c r="EB71" s="58">
        <f t="shared" si="138"/>
        <v>3.720867213953389E-2</v>
      </c>
      <c r="EC71" s="58">
        <f t="shared" si="138"/>
        <v>6.4570358186676377E-2</v>
      </c>
      <c r="ED71" s="58">
        <f t="shared" si="138"/>
        <v>5.8764965842394302E-2</v>
      </c>
      <c r="EE71" s="58">
        <f t="shared" si="138"/>
        <v>0.10486688020020934</v>
      </c>
      <c r="EF71" s="58">
        <f t="shared" si="138"/>
        <v>5.5533244114276084E-2</v>
      </c>
      <c r="EG71" s="58">
        <f t="shared" si="138"/>
        <v>4.7223832575385566E-2</v>
      </c>
      <c r="EH71" s="58">
        <f t="shared" si="138"/>
        <v>7.1886262096216957E-2</v>
      </c>
      <c r="EI71" s="58">
        <f t="shared" si="138"/>
        <v>0.12150689848294355</v>
      </c>
      <c r="EJ71" s="58">
        <f t="shared" si="138"/>
        <v>9.2431871274758784E-2</v>
      </c>
      <c r="EK71" s="58">
        <f t="shared" si="138"/>
        <v>6.6697183575413654E-2</v>
      </c>
      <c r="EL71" s="58">
        <f t="shared" si="138"/>
        <v>9.9079176943087113E-2</v>
      </c>
      <c r="EM71" s="58">
        <f t="shared" si="138"/>
        <v>0.14577651880554365</v>
      </c>
      <c r="EN71" s="58">
        <f t="shared" si="138"/>
        <v>7.6521905674711926E-2</v>
      </c>
      <c r="EO71" s="58">
        <f t="shared" si="138"/>
        <v>7.1311621397927599E-2</v>
      </c>
      <c r="EQ71" s="58">
        <f>_xlfn.STDEV.S(EQ64:EQ69)</f>
        <v>0.11944046321823514</v>
      </c>
      <c r="ER71" s="58">
        <f t="shared" ref="ER71:FI71" si="139">_xlfn.STDEV.S(ER64:ER69)</f>
        <v>0.14448290207048808</v>
      </c>
      <c r="ES71" s="58">
        <f t="shared" si="139"/>
        <v>0.15302833864302204</v>
      </c>
      <c r="ET71" s="58">
        <f t="shared" si="139"/>
        <v>6.0051678492297943E-2</v>
      </c>
      <c r="EU71" s="58">
        <f t="shared" si="139"/>
        <v>5.9202438363034196E-2</v>
      </c>
      <c r="EV71" s="58">
        <f t="shared" si="139"/>
        <v>0.14996180644697396</v>
      </c>
      <c r="EW71" s="58">
        <f t="shared" si="139"/>
        <v>0.108157000754479</v>
      </c>
      <c r="EX71" s="58">
        <f t="shared" si="139"/>
        <v>0.1266648800822873</v>
      </c>
      <c r="EY71" s="58">
        <f t="shared" si="139"/>
        <v>0.16269275337398975</v>
      </c>
      <c r="EZ71" s="58">
        <f t="shared" si="139"/>
        <v>0.13165045642117637</v>
      </c>
      <c r="FA71" s="58">
        <f t="shared" si="139"/>
        <v>0.1318681230035583</v>
      </c>
      <c r="FB71" s="58">
        <f t="shared" si="139"/>
        <v>0.12143276492789377</v>
      </c>
      <c r="FC71" s="58">
        <f t="shared" si="139"/>
        <v>0.10647886329509358</v>
      </c>
      <c r="FD71" s="58">
        <f t="shared" si="139"/>
        <v>0.1285904320237703</v>
      </c>
      <c r="FE71" s="58">
        <f t="shared" si="139"/>
        <v>0.12693695666810867</v>
      </c>
      <c r="FF71" s="58">
        <f t="shared" si="139"/>
        <v>0.18666546149972882</v>
      </c>
      <c r="FG71" s="58">
        <f t="shared" si="139"/>
        <v>7.7312291437548628E-2</v>
      </c>
      <c r="FH71" s="58">
        <f t="shared" si="139"/>
        <v>9.1675744552626476E-2</v>
      </c>
      <c r="FI71" s="58">
        <f t="shared" si="139"/>
        <v>9.6460951157192248E-2</v>
      </c>
    </row>
    <row r="75" spans="1:166" ht="15">
      <c r="A75" s="17" t="s">
        <v>188</v>
      </c>
      <c r="B75" s="22"/>
    </row>
    <row r="76" spans="1:166" ht="15">
      <c r="A76" s="9" t="s">
        <v>219</v>
      </c>
      <c r="B76" s="160" t="s">
        <v>186</v>
      </c>
      <c r="C76" s="97">
        <f>C48/$U48</f>
        <v>1.333533998121305</v>
      </c>
      <c r="D76" s="97">
        <f t="shared" ref="D76:T76" si="140">D48/$U48</f>
        <v>0.8360801870032617</v>
      </c>
      <c r="E76" s="97">
        <f t="shared" si="140"/>
        <v>1.5211148403290331</v>
      </c>
      <c r="F76" s="97">
        <f t="shared" si="140"/>
        <v>1.3718093219656673</v>
      </c>
      <c r="G76" s="97">
        <f t="shared" si="140"/>
        <v>1.136079830222644</v>
      </c>
      <c r="H76" s="97">
        <f t="shared" si="140"/>
        <v>1.1108534662204328</v>
      </c>
      <c r="I76" s="97">
        <f t="shared" si="140"/>
        <v>1.1199539724946892</v>
      </c>
      <c r="J76" s="97">
        <f t="shared" si="140"/>
        <v>1.685508958741744</v>
      </c>
      <c r="K76" s="97">
        <f t="shared" si="140"/>
        <v>1.5393056922229307</v>
      </c>
      <c r="L76" s="97">
        <f t="shared" si="140"/>
        <v>1.156843677644843</v>
      </c>
      <c r="M76" s="97">
        <f t="shared" si="140"/>
        <v>0.69420222619771077</v>
      </c>
      <c r="N76" s="97">
        <f t="shared" si="140"/>
        <v>0.88914653377956709</v>
      </c>
      <c r="O76" s="97">
        <f t="shared" si="140"/>
        <v>0.62272447818838006</v>
      </c>
      <c r="P76" s="97">
        <f t="shared" si="140"/>
        <v>0.67805799735111827</v>
      </c>
      <c r="Q76" s="97">
        <f t="shared" si="140"/>
        <v>0</v>
      </c>
      <c r="R76" s="97">
        <f t="shared" si="140"/>
        <v>0.64966500242409131</v>
      </c>
      <c r="S76" s="97">
        <f t="shared" si="140"/>
        <v>0.82343383327744335</v>
      </c>
      <c r="T76" s="97">
        <f t="shared" si="140"/>
        <v>0.76161892605519499</v>
      </c>
      <c r="U76" s="97"/>
      <c r="V76" s="97">
        <f>V48/$AU48</f>
        <v>1.3007736563289445</v>
      </c>
      <c r="W76" s="97">
        <f t="shared" ref="W76:AT76" si="141">W48/$AU48</f>
        <v>1.3279317893746532</v>
      </c>
      <c r="X76" s="97">
        <f t="shared" si="141"/>
        <v>1.3362018062433343</v>
      </c>
      <c r="Y76" s="97">
        <f t="shared" si="141"/>
        <v>0.62439023813600836</v>
      </c>
      <c r="Z76" s="97">
        <f t="shared" si="141"/>
        <v>0.97677231958506749</v>
      </c>
      <c r="AA76" s="97">
        <f t="shared" si="141"/>
        <v>1.5193904181304756</v>
      </c>
      <c r="AB76" s="97">
        <f t="shared" si="141"/>
        <v>1.0755556177181105</v>
      </c>
      <c r="AC76" s="97">
        <f t="shared" si="141"/>
        <v>1.3261191958306793</v>
      </c>
      <c r="AD76" s="97">
        <f t="shared" si="141"/>
        <v>0.9919639690367551</v>
      </c>
      <c r="AE76" s="97">
        <f t="shared" si="141"/>
        <v>1.1561143696198877</v>
      </c>
      <c r="AF76" s="97">
        <f t="shared" si="141"/>
        <v>1.2505480284905985</v>
      </c>
      <c r="AG76" s="97">
        <f t="shared" si="141"/>
        <v>0.84733251662433462</v>
      </c>
      <c r="AH76" s="97">
        <f t="shared" si="141"/>
        <v>0.97005994237571147</v>
      </c>
      <c r="AI76" s="97">
        <f t="shared" si="141"/>
        <v>1.1310953472359084</v>
      </c>
      <c r="AJ76" s="97">
        <f t="shared" si="141"/>
        <v>1</v>
      </c>
      <c r="AK76" s="97">
        <f t="shared" si="141"/>
        <v>0.71717592854194356</v>
      </c>
      <c r="AL76" s="97">
        <f t="shared" si="141"/>
        <v>0.69506767528004565</v>
      </c>
      <c r="AM76" s="97">
        <f t="shared" si="141"/>
        <v>1.0893056603558164</v>
      </c>
      <c r="AN76" s="97">
        <f t="shared" si="141"/>
        <v>1.0575644798404036</v>
      </c>
      <c r="AO76" s="97">
        <f t="shared" si="141"/>
        <v>0.65027551753019308</v>
      </c>
      <c r="AP76" s="97">
        <f t="shared" si="141"/>
        <v>0.80740636001941035</v>
      </c>
      <c r="AQ76" s="97">
        <f t="shared" si="141"/>
        <v>0.82024349163919064</v>
      </c>
      <c r="AR76" s="97">
        <f t="shared" si="141"/>
        <v>0.88195080171795426</v>
      </c>
      <c r="AS76" s="97">
        <f t="shared" si="141"/>
        <v>1.0537528042767288</v>
      </c>
      <c r="AT76" s="97">
        <f t="shared" si="141"/>
        <v>0.93941092327906162</v>
      </c>
      <c r="AU76" s="97"/>
      <c r="AV76" s="100">
        <f>AV48/$CP48</f>
        <v>0.43499008044310505</v>
      </c>
      <c r="AW76" s="100">
        <f t="shared" ref="AW76:CO76" si="142">AW48/$CP48</f>
        <v>0.89060059284153792</v>
      </c>
      <c r="AX76" s="100">
        <f t="shared" si="142"/>
        <v>0.74458670685217199</v>
      </c>
      <c r="AY76" s="100">
        <f t="shared" si="142"/>
        <v>0.6388426307566335</v>
      </c>
      <c r="AZ76" s="100">
        <f t="shared" si="142"/>
        <v>0.65715644849806154</v>
      </c>
      <c r="BA76" s="100">
        <f t="shared" si="142"/>
        <v>0.90847351513124142</v>
      </c>
      <c r="BB76" s="100">
        <f t="shared" si="142"/>
        <v>1.2696694515633316</v>
      </c>
      <c r="BC76" s="100">
        <f t="shared" si="142"/>
        <v>1.2131536651287715</v>
      </c>
      <c r="BD76" s="100">
        <f t="shared" si="142"/>
        <v>0.95858736990372373</v>
      </c>
      <c r="BE76" s="100">
        <f t="shared" si="142"/>
        <v>0.88458072569957824</v>
      </c>
      <c r="BF76" s="100">
        <f t="shared" si="142"/>
        <v>1.0458369992011283</v>
      </c>
      <c r="BG76" s="100">
        <f t="shared" si="142"/>
        <v>1.0083874891835478</v>
      </c>
      <c r="BH76" s="100">
        <f t="shared" si="142"/>
        <v>1.0449235980788434</v>
      </c>
      <c r="BI76" s="100">
        <f t="shared" si="142"/>
        <v>0.99161251081645241</v>
      </c>
      <c r="BJ76" s="100">
        <f t="shared" si="142"/>
        <v>1.4110137437646981</v>
      </c>
      <c r="BK76" s="100">
        <f t="shared" si="142"/>
        <v>1.3901451540539742</v>
      </c>
      <c r="BL76" s="100">
        <f t="shared" si="142"/>
        <v>1.2151098335553161</v>
      </c>
      <c r="BM76" s="100">
        <f t="shared" si="142"/>
        <v>1.1817529954846295</v>
      </c>
      <c r="BN76" s="100">
        <f t="shared" si="142"/>
        <v>0.98417351620029347</v>
      </c>
      <c r="BO76" s="100">
        <f t="shared" si="142"/>
        <v>0.9392301231285366</v>
      </c>
      <c r="BP76" s="100">
        <f t="shared" si="142"/>
        <v>0.90241082495167335</v>
      </c>
      <c r="BQ76" s="100">
        <f t="shared" si="142"/>
        <v>0.86380403733022726</v>
      </c>
      <c r="BR76" s="100">
        <f t="shared" si="142"/>
        <v>1.0299465967256498</v>
      </c>
      <c r="BS76" s="100">
        <f t="shared" si="142"/>
        <v>1.0781533646482566</v>
      </c>
      <c r="BT76" s="100">
        <f t="shared" si="142"/>
        <v>1.0734407644419197</v>
      </c>
      <c r="BU76" s="100">
        <f t="shared" si="142"/>
        <v>0.95212944773382446</v>
      </c>
      <c r="BV76" s="100">
        <f t="shared" si="142"/>
        <v>1.0730955846532262</v>
      </c>
      <c r="BW76" s="100">
        <f t="shared" si="142"/>
        <v>1.1130902169742254</v>
      </c>
      <c r="BX76" s="100">
        <f t="shared" si="142"/>
        <v>1.2663867668983289</v>
      </c>
      <c r="BY76" s="100">
        <f t="shared" si="142"/>
        <v>1.3919906022973072</v>
      </c>
      <c r="BZ76" s="100">
        <f t="shared" si="142"/>
        <v>1.2389467212926537</v>
      </c>
      <c r="CA76" s="100">
        <f t="shared" si="142"/>
        <v>1.1057576034709302</v>
      </c>
      <c r="CB76" s="100">
        <f t="shared" si="142"/>
        <v>1.0226318743062934</v>
      </c>
      <c r="CC76" s="100">
        <f t="shared" si="142"/>
        <v>1.0099133067293626</v>
      </c>
      <c r="CD76" s="100">
        <f t="shared" si="142"/>
        <v>1.1444032721563628</v>
      </c>
      <c r="CE76" s="100">
        <f t="shared" si="142"/>
        <v>1.1853519947195299</v>
      </c>
      <c r="CF76" s="100">
        <f t="shared" si="142"/>
        <v>1.1787452913954588</v>
      </c>
      <c r="CG76" s="100">
        <f t="shared" si="142"/>
        <v>0.6268042219601685</v>
      </c>
      <c r="CH76" s="100">
        <f t="shared" si="142"/>
        <v>0.49593418925363342</v>
      </c>
      <c r="CI76" s="100">
        <f t="shared" si="142"/>
        <v>0.44175710371689642</v>
      </c>
      <c r="CJ76" s="100">
        <f t="shared" si="142"/>
        <v>0.72476841997214236</v>
      </c>
      <c r="CK76" s="100">
        <f t="shared" si="142"/>
        <v>0.79807562720605307</v>
      </c>
      <c r="CL76" s="100">
        <f t="shared" si="142"/>
        <v>0.59896755145338088</v>
      </c>
      <c r="CM76" s="100">
        <f t="shared" si="142"/>
        <v>0.79544912745017571</v>
      </c>
      <c r="CN76" s="100">
        <f t="shared" si="142"/>
        <v>0.47143171098291597</v>
      </c>
      <c r="CO76" s="100">
        <f t="shared" si="142"/>
        <v>0.49762616875697913</v>
      </c>
      <c r="CP76" s="97"/>
      <c r="CQ76" s="161">
        <f>CQ48/$EP48</f>
        <v>0.95305335197821639</v>
      </c>
      <c r="CR76" s="161">
        <f t="shared" ref="CR76:EO76" si="143">CR48/$EP48</f>
        <v>0.85342967460896313</v>
      </c>
      <c r="CS76" s="161">
        <f t="shared" si="143"/>
        <v>0.83142492134522017</v>
      </c>
      <c r="CT76" s="161">
        <f t="shared" si="143"/>
        <v>0.69371635376807173</v>
      </c>
      <c r="CU76" s="161">
        <f t="shared" si="143"/>
        <v>0.35615337241691003</v>
      </c>
      <c r="CV76" s="161">
        <f t="shared" si="143"/>
        <v>0.53940081082743008</v>
      </c>
      <c r="CW76" s="161">
        <f t="shared" si="143"/>
        <v>1.2889931499274672</v>
      </c>
      <c r="CX76" s="161">
        <f t="shared" si="143"/>
        <v>1.5058158586005683</v>
      </c>
      <c r="CY76" s="161">
        <f t="shared" si="143"/>
        <v>0.9062895800352303</v>
      </c>
      <c r="CZ76" s="161">
        <f t="shared" si="143"/>
        <v>1.0437064872560431</v>
      </c>
      <c r="DA76" s="161">
        <f t="shared" si="143"/>
        <v>0.93342302653984999</v>
      </c>
      <c r="DB76" s="161">
        <f t="shared" si="143"/>
        <v>1.28610885148792</v>
      </c>
      <c r="DC76" s="161">
        <f t="shared" si="143"/>
        <v>0.83666791168163124</v>
      </c>
      <c r="DD76" s="161">
        <f t="shared" si="143"/>
        <v>1.0935640793798691</v>
      </c>
      <c r="DE76" s="161">
        <f t="shared" si="143"/>
        <v>1.4681562096580321</v>
      </c>
      <c r="DF76" s="161">
        <f t="shared" si="143"/>
        <v>1.5157400701269559</v>
      </c>
      <c r="DG76" s="161">
        <f t="shared" si="143"/>
        <v>1.0991485156019485</v>
      </c>
      <c r="DH76" s="161">
        <f t="shared" si="143"/>
        <v>0.80643967011236528</v>
      </c>
      <c r="DI76" s="161">
        <f t="shared" si="143"/>
        <v>0.56416253975404262</v>
      </c>
      <c r="DJ76" s="161">
        <f t="shared" si="143"/>
        <v>0.9380715671620562</v>
      </c>
      <c r="DK76" s="161">
        <f t="shared" si="143"/>
        <v>0.98866519989268264</v>
      </c>
      <c r="DL76" s="161">
        <f t="shared" si="143"/>
        <v>0.92061200732517445</v>
      </c>
      <c r="DM76" s="161">
        <f t="shared" si="143"/>
        <v>1.1748963298931066</v>
      </c>
      <c r="DN76" s="161">
        <f t="shared" si="143"/>
        <v>1.0218304789834036</v>
      </c>
      <c r="DO76" s="161">
        <f t="shared" si="143"/>
        <v>1.4182258473408837</v>
      </c>
      <c r="DP76" s="161">
        <f t="shared" si="143"/>
        <v>1.4404543982465199</v>
      </c>
      <c r="DQ76" s="161">
        <f t="shared" si="143"/>
        <v>1.3143369644252134</v>
      </c>
      <c r="DR76" s="161">
        <f t="shared" si="143"/>
        <v>1.3490097622458168</v>
      </c>
      <c r="DS76" s="161">
        <f t="shared" si="143"/>
        <v>1.0770244153035378</v>
      </c>
      <c r="DT76" s="161">
        <f t="shared" si="143"/>
        <v>0.79425766290653976</v>
      </c>
      <c r="DU76" s="161">
        <f t="shared" si="143"/>
        <v>1.1490795376962146</v>
      </c>
      <c r="DV76" s="161">
        <f t="shared" si="143"/>
        <v>1.0168762919737988</v>
      </c>
      <c r="DW76" s="161">
        <f t="shared" si="143"/>
        <v>0.82499276397814769</v>
      </c>
      <c r="DX76" s="161">
        <f t="shared" si="143"/>
        <v>0.92016847133631086</v>
      </c>
      <c r="DY76" s="161">
        <f t="shared" si="143"/>
        <v>1.0359897434307612</v>
      </c>
      <c r="DZ76" s="161">
        <f t="shared" si="143"/>
        <v>1.1063469895902178</v>
      </c>
      <c r="EA76" s="161">
        <f t="shared" si="143"/>
        <v>1</v>
      </c>
      <c r="EB76" s="161">
        <f t="shared" si="143"/>
        <v>0.60576180558637038</v>
      </c>
      <c r="EC76" s="161">
        <f t="shared" si="143"/>
        <v>1.0479954455996425</v>
      </c>
      <c r="ED76" s="161">
        <f t="shared" si="143"/>
        <v>1.2322649645642376</v>
      </c>
      <c r="EE76" s="161">
        <f t="shared" si="143"/>
        <v>1.1560269374022567</v>
      </c>
      <c r="EF76" s="161">
        <f t="shared" si="143"/>
        <v>1.245885500423525</v>
      </c>
      <c r="EG76" s="161">
        <f t="shared" si="143"/>
        <v>1.1973445575679798</v>
      </c>
      <c r="EH76" s="161">
        <f t="shared" si="143"/>
        <v>1.0335496737480037</v>
      </c>
      <c r="EI76" s="161">
        <f t="shared" si="143"/>
        <v>0.83755464679789149</v>
      </c>
      <c r="EJ76" s="161">
        <f t="shared" si="143"/>
        <v>0.75470708868403558</v>
      </c>
      <c r="EK76" s="161">
        <f t="shared" si="143"/>
        <v>0.93546021595674778</v>
      </c>
      <c r="EL76" s="161">
        <f t="shared" si="143"/>
        <v>0.62902046802187084</v>
      </c>
      <c r="EM76" s="161">
        <f t="shared" si="143"/>
        <v>0.86906988953533915</v>
      </c>
      <c r="EN76" s="161">
        <f t="shared" si="143"/>
        <v>0.89953495480414503</v>
      </c>
      <c r="EO76" s="161">
        <f t="shared" si="143"/>
        <v>0.96228084527573765</v>
      </c>
      <c r="EP76" s="97"/>
      <c r="EQ76" s="161">
        <f>EQ48/$FJ48</f>
        <v>1</v>
      </c>
      <c r="ER76" s="161">
        <f t="shared" ref="ER76:FI76" si="144">ER48/$FJ48</f>
        <v>1.3841152201033879</v>
      </c>
      <c r="ES76" s="161">
        <f t="shared" si="144"/>
        <v>1.1889009488926581</v>
      </c>
      <c r="ET76" s="161">
        <f t="shared" si="144"/>
        <v>0.53892506692804443</v>
      </c>
      <c r="EU76" s="161">
        <f t="shared" si="144"/>
        <v>0.92490318604806654</v>
      </c>
      <c r="EV76" s="161">
        <f t="shared" si="144"/>
        <v>0.73305595145337954</v>
      </c>
      <c r="EW76" s="161">
        <f t="shared" si="144"/>
        <v>0.91572053144224563</v>
      </c>
      <c r="EX76" s="161">
        <f t="shared" si="144"/>
        <v>1.0389518937604358</v>
      </c>
      <c r="EY76" s="161">
        <f t="shared" si="144"/>
        <v>1.2138026302636933</v>
      </c>
      <c r="EZ76" s="161">
        <f t="shared" si="144"/>
        <v>1.0886997999661723</v>
      </c>
      <c r="FA76" s="161">
        <f t="shared" si="144"/>
        <v>0.82488109491612227</v>
      </c>
      <c r="FB76" s="161">
        <f t="shared" si="144"/>
        <v>1.1401343210168333</v>
      </c>
      <c r="FC76" s="161">
        <f t="shared" si="144"/>
        <v>0.71449671777372303</v>
      </c>
      <c r="FD76" s="161">
        <f t="shared" si="144"/>
        <v>1.1298391738876976</v>
      </c>
      <c r="FE76" s="161">
        <f t="shared" si="144"/>
        <v>1.365321267581491</v>
      </c>
      <c r="FF76" s="161">
        <f t="shared" si="144"/>
        <v>1.1096810321449022</v>
      </c>
      <c r="FG76" s="161">
        <f t="shared" si="144"/>
        <v>0.97414114133499796</v>
      </c>
      <c r="FH76" s="161">
        <f t="shared" si="144"/>
        <v>0.75452762336231649</v>
      </c>
      <c r="FI76" s="161">
        <f t="shared" si="144"/>
        <v>0.86760532528292811</v>
      </c>
      <c r="FJ76" s="97"/>
    </row>
    <row r="77" spans="1:166" ht="15">
      <c r="A77" s="9" t="s">
        <v>220</v>
      </c>
      <c r="B77" s="162" t="s">
        <v>187</v>
      </c>
      <c r="C77" s="97">
        <f t="shared" ref="C77:T77" si="145">C49/$U49</f>
        <v>1.3313838731899299</v>
      </c>
      <c r="D77" s="97">
        <f t="shared" si="145"/>
        <v>1.0421642993135554</v>
      </c>
      <c r="E77" s="97">
        <f t="shared" si="145"/>
        <v>1.529358647783174</v>
      </c>
      <c r="F77" s="97">
        <f t="shared" si="145"/>
        <v>1.5433969002103285</v>
      </c>
      <c r="G77" s="97">
        <f t="shared" si="145"/>
        <v>0.93966404840643825</v>
      </c>
      <c r="H77" s="97">
        <f t="shared" si="145"/>
        <v>0.95783570068644475</v>
      </c>
      <c r="I77" s="97">
        <f t="shared" si="145"/>
        <v>1.0425961216931137</v>
      </c>
      <c r="J77" s="97">
        <f t="shared" si="145"/>
        <v>1.7036141926559429</v>
      </c>
      <c r="K77" s="97">
        <f t="shared" si="145"/>
        <v>1.5792191390815487</v>
      </c>
      <c r="L77" s="97">
        <f t="shared" si="145"/>
        <v>1.2145745235476997</v>
      </c>
      <c r="M77" s="97">
        <f t="shared" si="145"/>
        <v>0.72792342735113236</v>
      </c>
      <c r="N77" s="97">
        <f t="shared" si="145"/>
        <v>0</v>
      </c>
      <c r="O77" s="97">
        <f t="shared" si="145"/>
        <v>0</v>
      </c>
      <c r="P77" s="97">
        <f t="shared" si="145"/>
        <v>0.71462655987702883</v>
      </c>
      <c r="Q77" s="97">
        <f t="shared" si="145"/>
        <v>0.67205387132835792</v>
      </c>
      <c r="R77" s="97">
        <f t="shared" si="145"/>
        <v>0.86156255101766421</v>
      </c>
      <c r="S77" s="97">
        <f t="shared" si="145"/>
        <v>0.69992230003006628</v>
      </c>
      <c r="T77" s="97">
        <f t="shared" si="145"/>
        <v>1.1720460607943097</v>
      </c>
      <c r="U77" s="97"/>
      <c r="V77" s="97">
        <f t="shared" ref="V77:AT77" si="146">V49/$AU49</f>
        <v>1.3314677075710484</v>
      </c>
      <c r="W77" s="97">
        <f t="shared" si="146"/>
        <v>1.4068546502873027</v>
      </c>
      <c r="X77" s="97">
        <f t="shared" si="146"/>
        <v>1.4522693409103278</v>
      </c>
      <c r="Y77" s="97">
        <f t="shared" si="146"/>
        <v>0.54443573908517062</v>
      </c>
      <c r="Z77" s="97">
        <f t="shared" si="146"/>
        <v>0.89761415547986823</v>
      </c>
      <c r="AA77" s="97">
        <f t="shared" si="146"/>
        <v>1.7205417770444529</v>
      </c>
      <c r="AB77" s="97">
        <f t="shared" si="146"/>
        <v>1.2312083598552483</v>
      </c>
      <c r="AC77" s="97">
        <f t="shared" si="146"/>
        <v>1.3836489793498445</v>
      </c>
      <c r="AD77" s="97">
        <f t="shared" si="146"/>
        <v>1.0408448403946875</v>
      </c>
      <c r="AE77" s="97">
        <f t="shared" si="146"/>
        <v>1.2837452890205376</v>
      </c>
      <c r="AF77" s="97">
        <f t="shared" si="146"/>
        <v>1.3477561496560664</v>
      </c>
      <c r="AG77" s="97">
        <f t="shared" si="146"/>
        <v>0.88313372116079147</v>
      </c>
      <c r="AH77" s="97">
        <f t="shared" si="146"/>
        <v>1.0037866543827683</v>
      </c>
      <c r="AI77" s="97">
        <f t="shared" si="146"/>
        <v>1</v>
      </c>
      <c r="AJ77" s="97">
        <f t="shared" si="146"/>
        <v>0.80477854073975796</v>
      </c>
      <c r="AK77" s="97">
        <f t="shared" si="146"/>
        <v>0.78147439438698729</v>
      </c>
      <c r="AL77" s="97">
        <f t="shared" si="146"/>
        <v>0.67390815916689251</v>
      </c>
      <c r="AM77" s="97">
        <f t="shared" si="146"/>
        <v>0.95282286923051784</v>
      </c>
      <c r="AN77" s="97">
        <f t="shared" si="146"/>
        <v>1.0452165795097594</v>
      </c>
      <c r="AO77" s="97">
        <f t="shared" si="146"/>
        <v>0.43655159589099429</v>
      </c>
      <c r="AP77" s="97">
        <f t="shared" si="146"/>
        <v>0.82062030659203689</v>
      </c>
      <c r="AQ77" s="97">
        <f t="shared" si="146"/>
        <v>0.81741789939800202</v>
      </c>
      <c r="AR77" s="97">
        <f t="shared" si="146"/>
        <v>0.91725602360702374</v>
      </c>
      <c r="AS77" s="97">
        <f t="shared" si="146"/>
        <v>1.2003105044916533</v>
      </c>
      <c r="AT77" s="97">
        <f t="shared" si="146"/>
        <v>0.79135419207802826</v>
      </c>
      <c r="AU77" s="97"/>
      <c r="AV77" s="100">
        <f t="shared" ref="AV77:CO77" si="147">AV49/$CP49</f>
        <v>0.48529931274508509</v>
      </c>
      <c r="AW77" s="100">
        <f t="shared" si="147"/>
        <v>0.91384639581537985</v>
      </c>
      <c r="AX77" s="100">
        <f t="shared" si="147"/>
        <v>0.76887122216192505</v>
      </c>
      <c r="AY77" s="100">
        <f t="shared" si="147"/>
        <v>0.68372092530383333</v>
      </c>
      <c r="AZ77" s="100">
        <f t="shared" si="147"/>
        <v>0.44981916731615168</v>
      </c>
      <c r="BA77" s="100">
        <f t="shared" si="147"/>
        <v>0.93892495079818594</v>
      </c>
      <c r="BB77" s="100">
        <f t="shared" si="147"/>
        <v>1.3143428124125558</v>
      </c>
      <c r="BC77" s="100">
        <f t="shared" si="147"/>
        <v>1.1999054548316528</v>
      </c>
      <c r="BD77" s="100">
        <f t="shared" si="147"/>
        <v>0.81623372670536121</v>
      </c>
      <c r="BE77" s="100">
        <f t="shared" si="147"/>
        <v>0.9015394758634574</v>
      </c>
      <c r="BF77" s="100">
        <f t="shared" si="147"/>
        <v>0.97901729627565637</v>
      </c>
      <c r="BG77" s="100">
        <f t="shared" si="147"/>
        <v>1.0718835345641817</v>
      </c>
      <c r="BH77" s="100">
        <f t="shared" si="147"/>
        <v>1.0424725324592274</v>
      </c>
      <c r="BI77" s="100">
        <f t="shared" si="147"/>
        <v>1.0086676386825455</v>
      </c>
      <c r="BJ77" s="100">
        <f t="shared" si="147"/>
        <v>1.491532781095567</v>
      </c>
      <c r="BK77" s="100">
        <f t="shared" si="147"/>
        <v>1.4101286536208495</v>
      </c>
      <c r="BL77" s="100">
        <f t="shared" si="147"/>
        <v>1.2353072453544107</v>
      </c>
      <c r="BM77" s="100">
        <f t="shared" si="147"/>
        <v>1.1604096848513199</v>
      </c>
      <c r="BN77" s="100">
        <f t="shared" si="147"/>
        <v>0.88209715501178509</v>
      </c>
      <c r="BO77" s="100">
        <f t="shared" si="147"/>
        <v>1.0420902682734352</v>
      </c>
      <c r="BP77" s="100">
        <f t="shared" si="147"/>
        <v>0.97416251554888067</v>
      </c>
      <c r="BQ77" s="100">
        <f t="shared" si="147"/>
        <v>0.91706765686428338</v>
      </c>
      <c r="BR77" s="100">
        <f t="shared" si="147"/>
        <v>1.057107371742031</v>
      </c>
      <c r="BS77" s="100">
        <f t="shared" si="147"/>
        <v>1.0527785675532684</v>
      </c>
      <c r="BT77" s="100">
        <f t="shared" si="147"/>
        <v>0.90476246466601618</v>
      </c>
      <c r="BU77" s="100">
        <f t="shared" si="147"/>
        <v>0.97050966329169108</v>
      </c>
      <c r="BV77" s="100">
        <f t="shared" si="147"/>
        <v>1.1593102514254365</v>
      </c>
      <c r="BW77" s="100">
        <f t="shared" si="147"/>
        <v>1.2328801385482704</v>
      </c>
      <c r="BX77" s="100">
        <f t="shared" si="147"/>
        <v>1.2738619599027081</v>
      </c>
      <c r="BY77" s="100">
        <f t="shared" si="147"/>
        <v>1.3908722536057292</v>
      </c>
      <c r="BZ77" s="100">
        <f t="shared" si="147"/>
        <v>1.2309475914545231</v>
      </c>
      <c r="CA77" s="100">
        <f t="shared" si="147"/>
        <v>1.0568276387330602</v>
      </c>
      <c r="CB77" s="100">
        <f t="shared" si="147"/>
        <v>1.0410193821746914</v>
      </c>
      <c r="CC77" s="100">
        <f t="shared" si="147"/>
        <v>0.9913323613174545</v>
      </c>
      <c r="CD77" s="100">
        <f t="shared" si="147"/>
        <v>1.2332764939833296</v>
      </c>
      <c r="CE77" s="100">
        <f t="shared" si="147"/>
        <v>1.1985969733413475</v>
      </c>
      <c r="CF77" s="100">
        <f t="shared" si="147"/>
        <v>1.1521838223071077</v>
      </c>
      <c r="CG77" s="100">
        <f t="shared" si="147"/>
        <v>0.74570824647793654</v>
      </c>
      <c r="CH77" s="100">
        <f t="shared" si="147"/>
        <v>0.49311111869947988</v>
      </c>
      <c r="CI77" s="100">
        <f t="shared" si="147"/>
        <v>1.6274439600905279</v>
      </c>
      <c r="CJ77" s="100">
        <f t="shared" si="147"/>
        <v>0.26415519813591759</v>
      </c>
      <c r="CK77" s="100">
        <f t="shared" si="147"/>
        <v>0.26415519813591759</v>
      </c>
      <c r="CL77" s="100">
        <f t="shared" si="147"/>
        <v>0.58212577873921334</v>
      </c>
      <c r="CM77" s="100">
        <f t="shared" si="147"/>
        <v>0.66253086292104502</v>
      </c>
      <c r="CN77" s="100">
        <f t="shared" si="147"/>
        <v>0.49325201423698867</v>
      </c>
      <c r="CO77" s="100">
        <f t="shared" si="147"/>
        <v>0.58634494053712305</v>
      </c>
      <c r="CP77" s="97"/>
      <c r="CQ77" s="161">
        <f t="shared" ref="CQ77:EO77" si="148">CQ49/$EP49</f>
        <v>0.80882605786636663</v>
      </c>
      <c r="CR77" s="161">
        <f t="shared" si="148"/>
        <v>0.81451406623754929</v>
      </c>
      <c r="CS77" s="161">
        <f t="shared" si="148"/>
        <v>0.86700441802339834</v>
      </c>
      <c r="CT77" s="161">
        <f t="shared" si="148"/>
        <v>0.63972387738849779</v>
      </c>
      <c r="CU77" s="161">
        <f t="shared" si="148"/>
        <v>0.45944125555553306</v>
      </c>
      <c r="CV77" s="161">
        <f t="shared" si="148"/>
        <v>0.54889915014607427</v>
      </c>
      <c r="CW77" s="161">
        <f t="shared" si="148"/>
        <v>1.290210034979842</v>
      </c>
      <c r="CX77" s="161">
        <f t="shared" si="148"/>
        <v>1.566882037219743</v>
      </c>
      <c r="CY77" s="161">
        <f t="shared" si="148"/>
        <v>0.67916380169401491</v>
      </c>
      <c r="CZ77" s="161">
        <f t="shared" si="148"/>
        <v>1.0443167133846574</v>
      </c>
      <c r="DA77" s="161">
        <f t="shared" si="148"/>
        <v>1.0779082201308285</v>
      </c>
      <c r="DB77" s="161">
        <f t="shared" si="148"/>
        <v>1.2635788741057854</v>
      </c>
      <c r="DC77" s="161">
        <f t="shared" si="148"/>
        <v>0.89080919291727545</v>
      </c>
      <c r="DD77" s="161">
        <f t="shared" si="148"/>
        <v>1.0345760088349525</v>
      </c>
      <c r="DE77" s="161">
        <f t="shared" si="148"/>
        <v>1.487538818623833</v>
      </c>
      <c r="DF77" s="161">
        <f t="shared" si="148"/>
        <v>1.5093906997935869</v>
      </c>
      <c r="DG77" s="161">
        <f t="shared" si="148"/>
        <v>0.79727793270823055</v>
      </c>
      <c r="DH77" s="161">
        <f t="shared" si="148"/>
        <v>0.72953150816213819</v>
      </c>
      <c r="DI77" s="161">
        <f t="shared" si="148"/>
        <v>0.59004077176559488</v>
      </c>
      <c r="DJ77" s="161">
        <f t="shared" si="148"/>
        <v>0.94012274277970209</v>
      </c>
      <c r="DK77" s="161">
        <f t="shared" si="148"/>
        <v>1.0472621174785437</v>
      </c>
      <c r="DL77" s="161">
        <f t="shared" si="148"/>
        <v>0.97351525782288373</v>
      </c>
      <c r="DM77" s="161">
        <f t="shared" si="148"/>
        <v>1.1821281883663504</v>
      </c>
      <c r="DN77" s="161">
        <f t="shared" si="148"/>
        <v>1.0348758448738202</v>
      </c>
      <c r="DO77" s="161">
        <f t="shared" si="148"/>
        <v>1.4142381707820615</v>
      </c>
      <c r="DP77" s="161">
        <f t="shared" si="148"/>
        <v>1.4328110914919476</v>
      </c>
      <c r="DQ77" s="161">
        <f t="shared" si="148"/>
        <v>1.3490463667326644</v>
      </c>
      <c r="DR77" s="161">
        <f t="shared" si="148"/>
        <v>1.2989919996043608</v>
      </c>
      <c r="DS77" s="161">
        <f t="shared" si="148"/>
        <v>1.0570334584149805</v>
      </c>
      <c r="DT77" s="161">
        <f t="shared" si="148"/>
        <v>0.74004609174070246</v>
      </c>
      <c r="DU77" s="161">
        <f t="shared" si="148"/>
        <v>1.1140837571380278</v>
      </c>
      <c r="DV77" s="161">
        <f t="shared" si="148"/>
        <v>0.81538276415842736</v>
      </c>
      <c r="DW77" s="161">
        <f t="shared" si="148"/>
        <v>0.59115875249872518</v>
      </c>
      <c r="DX77" s="161">
        <f t="shared" si="148"/>
        <v>0.72919154025761945</v>
      </c>
      <c r="DY77" s="161">
        <f t="shared" si="148"/>
        <v>1.0521139609827852</v>
      </c>
      <c r="DZ77" s="161">
        <f t="shared" si="148"/>
        <v>1.1057877429719747</v>
      </c>
      <c r="EA77" s="161">
        <f t="shared" si="148"/>
        <v>1</v>
      </c>
      <c r="EB77" s="161">
        <f t="shared" si="148"/>
        <v>0.61583798028108538</v>
      </c>
      <c r="EC77" s="161">
        <f t="shared" si="148"/>
        <v>1.1112672234864647</v>
      </c>
      <c r="ED77" s="161">
        <f t="shared" si="148"/>
        <v>1.3003880854401459</v>
      </c>
      <c r="EE77" s="161">
        <f t="shared" si="148"/>
        <v>1.1817476012122916</v>
      </c>
      <c r="EF77" s="161">
        <f t="shared" si="148"/>
        <v>1.2517972095731322</v>
      </c>
      <c r="EG77" s="161">
        <f t="shared" si="148"/>
        <v>1.1839160455342872</v>
      </c>
      <c r="EH77" s="161">
        <f t="shared" si="148"/>
        <v>1.0542195058573649</v>
      </c>
      <c r="EI77" s="161">
        <f t="shared" si="148"/>
        <v>0.8320459366950248</v>
      </c>
      <c r="EJ77" s="161">
        <f t="shared" si="148"/>
        <v>0.79429374541305564</v>
      </c>
      <c r="EK77" s="161">
        <f t="shared" si="148"/>
        <v>0.98014253557012398</v>
      </c>
      <c r="EL77" s="161">
        <f t="shared" si="148"/>
        <v>0.7570234415305076</v>
      </c>
      <c r="EM77" s="161">
        <f t="shared" si="148"/>
        <v>0.92981638065366068</v>
      </c>
      <c r="EN77" s="161">
        <f t="shared" si="148"/>
        <v>0.7402437139219068</v>
      </c>
      <c r="EO77" s="161">
        <f t="shared" si="148"/>
        <v>0.71009966490229992</v>
      </c>
      <c r="EP77" s="97"/>
      <c r="EQ77" s="161">
        <f t="shared" ref="EQ77:FI77" si="149">EQ49/$FJ49</f>
        <v>1.093931243187716</v>
      </c>
      <c r="ER77" s="161">
        <f t="shared" si="149"/>
        <v>1.3470504897772622</v>
      </c>
      <c r="ES77" s="161">
        <f t="shared" si="149"/>
        <v>1.2040744134084529</v>
      </c>
      <c r="ET77" s="161">
        <f t="shared" si="149"/>
        <v>0.72476573183911297</v>
      </c>
      <c r="EU77" s="161">
        <f t="shared" si="149"/>
        <v>0.92262087819359284</v>
      </c>
      <c r="EV77" s="161">
        <f t="shared" si="149"/>
        <v>0.6324862198470127</v>
      </c>
      <c r="EW77" s="161">
        <f t="shared" si="149"/>
        <v>0.8552770720518359</v>
      </c>
      <c r="EX77" s="161">
        <f t="shared" si="149"/>
        <v>1.0189801681215986</v>
      </c>
      <c r="EY77" s="161">
        <f t="shared" si="149"/>
        <v>1.2061113623813629</v>
      </c>
      <c r="EZ77" s="161">
        <f t="shared" si="149"/>
        <v>1.037103004797475</v>
      </c>
      <c r="FA77" s="161">
        <f t="shared" si="149"/>
        <v>0.75447057265849993</v>
      </c>
      <c r="FB77" s="161">
        <f t="shared" si="149"/>
        <v>1.1722272095600215</v>
      </c>
      <c r="FC77" s="161">
        <f t="shared" si="149"/>
        <v>0.79762999897606768</v>
      </c>
      <c r="FD77" s="161">
        <f t="shared" si="149"/>
        <v>1.1507904533196962</v>
      </c>
      <c r="FE77" s="161">
        <f t="shared" si="149"/>
        <v>1.3533317595894419</v>
      </c>
      <c r="FF77" s="161">
        <f t="shared" si="149"/>
        <v>0.73296226194656389</v>
      </c>
      <c r="FG77" s="161">
        <f t="shared" si="149"/>
        <v>1</v>
      </c>
      <c r="FH77" s="161">
        <f t="shared" si="149"/>
        <v>0.7565996816617323</v>
      </c>
      <c r="FI77" s="161">
        <f t="shared" si="149"/>
        <v>0.59006164863377586</v>
      </c>
      <c r="FJ77" s="97"/>
    </row>
    <row r="78" spans="1:166" ht="15">
      <c r="A78" s="9" t="s">
        <v>221</v>
      </c>
      <c r="B78" s="160" t="s">
        <v>187</v>
      </c>
      <c r="C78" s="97">
        <f t="shared" ref="C78:T78" si="150">C50/$U50</f>
        <v>1.1506536306888451</v>
      </c>
      <c r="D78" s="97">
        <f t="shared" si="150"/>
        <v>0.78797533439932155</v>
      </c>
      <c r="E78" s="97">
        <f t="shared" si="150"/>
        <v>1.4194886142380114</v>
      </c>
      <c r="F78" s="97">
        <f t="shared" si="150"/>
        <v>1.3755576806260175</v>
      </c>
      <c r="G78" s="97">
        <f t="shared" si="150"/>
        <v>0.72154521544344974</v>
      </c>
      <c r="H78" s="97">
        <f t="shared" si="150"/>
        <v>1.0518749240997523</v>
      </c>
      <c r="I78" s="97">
        <f t="shared" si="150"/>
        <v>1.070230153182413</v>
      </c>
      <c r="J78" s="97">
        <f t="shared" si="150"/>
        <v>1.5956754509414162</v>
      </c>
      <c r="K78" s="97">
        <f t="shared" si="150"/>
        <v>1.4646188532457771</v>
      </c>
      <c r="L78" s="97">
        <f t="shared" si="150"/>
        <v>0.82612782340999513</v>
      </c>
      <c r="M78" s="97">
        <f t="shared" si="150"/>
        <v>0.97978635327970398</v>
      </c>
      <c r="N78" s="97">
        <f t="shared" si="150"/>
        <v>1.0202136467202958</v>
      </c>
      <c r="O78" s="97">
        <f t="shared" si="150"/>
        <v>0.74383607921107753</v>
      </c>
      <c r="P78" s="97">
        <f t="shared" si="150"/>
        <v>0.65632865987815936</v>
      </c>
      <c r="Q78" s="97">
        <f t="shared" si="150"/>
        <v>0</v>
      </c>
      <c r="R78" s="97">
        <f t="shared" si="150"/>
        <v>0.59801166901769531</v>
      </c>
      <c r="S78" s="97">
        <f t="shared" si="150"/>
        <v>0.68986450467880178</v>
      </c>
      <c r="T78" s="97">
        <f t="shared" si="150"/>
        <v>1.0378217576614917</v>
      </c>
      <c r="U78" s="97"/>
      <c r="V78" s="97">
        <f t="shared" ref="V78:AT78" si="151">V50/$AU50</f>
        <v>1.3015386762215964</v>
      </c>
      <c r="W78" s="97">
        <f t="shared" si="151"/>
        <v>1.3374492550935124</v>
      </c>
      <c r="X78" s="97">
        <f t="shared" si="151"/>
        <v>1.3919540800444237</v>
      </c>
      <c r="Y78" s="97">
        <f t="shared" si="151"/>
        <v>0.72501096460776548</v>
      </c>
      <c r="Z78" s="97">
        <f t="shared" si="151"/>
        <v>0.98539784812571996</v>
      </c>
      <c r="AA78" s="97">
        <f t="shared" si="151"/>
        <v>1.5302850175345426</v>
      </c>
      <c r="AB78" s="97">
        <f t="shared" si="151"/>
        <v>1.0747041672855191</v>
      </c>
      <c r="AC78" s="97">
        <f t="shared" si="151"/>
        <v>1.3174715126882968</v>
      </c>
      <c r="AD78" s="97">
        <f t="shared" si="151"/>
        <v>1</v>
      </c>
      <c r="AE78" s="97">
        <f t="shared" si="151"/>
        <v>1.1315418834109305</v>
      </c>
      <c r="AF78" s="97">
        <f t="shared" si="151"/>
        <v>1.2628542958119442</v>
      </c>
      <c r="AG78" s="97">
        <f t="shared" si="151"/>
        <v>0.74998925561847618</v>
      </c>
      <c r="AH78" s="97">
        <f t="shared" si="151"/>
        <v>0.9570576965187948</v>
      </c>
      <c r="AI78" s="97">
        <f t="shared" si="151"/>
        <v>1.0944424256330281</v>
      </c>
      <c r="AJ78" s="97">
        <f t="shared" si="151"/>
        <v>0.96184137355850696</v>
      </c>
      <c r="AK78" s="97">
        <f t="shared" si="151"/>
        <v>0.72570810756739557</v>
      </c>
      <c r="AL78" s="97">
        <f t="shared" si="151"/>
        <v>0.66752007432237792</v>
      </c>
      <c r="AM78" s="97">
        <f t="shared" si="151"/>
        <v>1.0524386746862435</v>
      </c>
      <c r="AN78" s="97">
        <f t="shared" si="151"/>
        <v>1.0927085370359577</v>
      </c>
      <c r="AO78" s="97">
        <f t="shared" si="151"/>
        <v>0.67645054157320306</v>
      </c>
      <c r="AP78" s="97">
        <f t="shared" si="151"/>
        <v>0.86634175159972682</v>
      </c>
      <c r="AQ78" s="97">
        <f t="shared" si="151"/>
        <v>0.79839765200932622</v>
      </c>
      <c r="AR78" s="97">
        <f t="shared" si="151"/>
        <v>0.90891998817053532</v>
      </c>
      <c r="AS78" s="97">
        <f t="shared" si="151"/>
        <v>1.0828530915283672</v>
      </c>
      <c r="AT78" s="97">
        <f t="shared" si="151"/>
        <v>0.93858692176364122</v>
      </c>
      <c r="AU78" s="97"/>
      <c r="AV78" s="100">
        <f t="shared" ref="AV78:CO78" si="152">AV50/$CP50</f>
        <v>0.45743185749941989</v>
      </c>
      <c r="AW78" s="100">
        <f t="shared" si="152"/>
        <v>0.91538819445711384</v>
      </c>
      <c r="AX78" s="100">
        <f t="shared" si="152"/>
        <v>0.76881395266574037</v>
      </c>
      <c r="AY78" s="100">
        <f t="shared" si="152"/>
        <v>0.63517052295528209</v>
      </c>
      <c r="AZ78" s="100">
        <f t="shared" si="152"/>
        <v>0.58539881190194387</v>
      </c>
      <c r="BA78" s="100">
        <f t="shared" si="152"/>
        <v>0.96151390152929139</v>
      </c>
      <c r="BB78" s="100">
        <f t="shared" si="152"/>
        <v>1.3045188081009409</v>
      </c>
      <c r="BC78" s="100">
        <f t="shared" si="152"/>
        <v>1.207809062033903</v>
      </c>
      <c r="BD78" s="100">
        <f t="shared" si="152"/>
        <v>0.92912349098590286</v>
      </c>
      <c r="BE78" s="100">
        <f t="shared" si="152"/>
        <v>0.87048899151603898</v>
      </c>
      <c r="BF78" s="100">
        <f t="shared" si="152"/>
        <v>1.0548478129894985</v>
      </c>
      <c r="BG78" s="100">
        <f t="shared" si="152"/>
        <v>0.99864688710820138</v>
      </c>
      <c r="BH78" s="100">
        <f t="shared" si="152"/>
        <v>1.0324013336533451</v>
      </c>
      <c r="BI78" s="100">
        <f t="shared" si="152"/>
        <v>0.96823242463767423</v>
      </c>
      <c r="BJ78" s="100">
        <f t="shared" si="152"/>
        <v>1.4101390020659168</v>
      </c>
      <c r="BK78" s="100">
        <f t="shared" si="152"/>
        <v>1.3848323684421193</v>
      </c>
      <c r="BL78" s="100">
        <f t="shared" si="152"/>
        <v>1.2102976851512608</v>
      </c>
      <c r="BM78" s="100">
        <f t="shared" si="152"/>
        <v>1.1708799063752156</v>
      </c>
      <c r="BN78" s="100">
        <f t="shared" si="152"/>
        <v>0.92855280104156845</v>
      </c>
      <c r="BO78" s="100">
        <f t="shared" si="152"/>
        <v>0.94533096936568894</v>
      </c>
      <c r="BP78" s="100">
        <f t="shared" si="152"/>
        <v>0.96024975590197448</v>
      </c>
      <c r="BQ78" s="100">
        <f t="shared" si="152"/>
        <v>0.87205228981758631</v>
      </c>
      <c r="BR78" s="100">
        <f t="shared" si="152"/>
        <v>1.060242588157293</v>
      </c>
      <c r="BS78" s="100">
        <f t="shared" si="152"/>
        <v>1.0568664619668429</v>
      </c>
      <c r="BT78" s="100">
        <f t="shared" si="152"/>
        <v>1.0609313956144104</v>
      </c>
      <c r="BU78" s="100">
        <f t="shared" si="152"/>
        <v>0.90348895266029916</v>
      </c>
      <c r="BV78" s="100">
        <f t="shared" si="152"/>
        <v>1.1053113092028577</v>
      </c>
      <c r="BW78" s="100">
        <f t="shared" si="152"/>
        <v>1.1611137999381442</v>
      </c>
      <c r="BX78" s="100">
        <f t="shared" si="152"/>
        <v>1.2480033596833986</v>
      </c>
      <c r="BY78" s="100">
        <f t="shared" si="152"/>
        <v>1.3881008567512982</v>
      </c>
      <c r="BZ78" s="100">
        <f t="shared" si="152"/>
        <v>1.2257500464738373</v>
      </c>
      <c r="CA78" s="100">
        <f t="shared" si="152"/>
        <v>1.0925854437117948</v>
      </c>
      <c r="CB78" s="100">
        <f t="shared" si="152"/>
        <v>1.030289198371493</v>
      </c>
      <c r="CC78" s="100">
        <f t="shared" si="152"/>
        <v>1.0013531128917987</v>
      </c>
      <c r="CD78" s="100">
        <f t="shared" si="152"/>
        <v>1.1921857686497188</v>
      </c>
      <c r="CE78" s="100">
        <f t="shared" si="152"/>
        <v>1.1975959821260824</v>
      </c>
      <c r="CF78" s="100">
        <f t="shared" si="152"/>
        <v>1.1528752342624446</v>
      </c>
      <c r="CG78" s="100">
        <f t="shared" si="152"/>
        <v>0.64854116559046127</v>
      </c>
      <c r="CH78" s="100">
        <f t="shared" si="152"/>
        <v>0.61234280359412929</v>
      </c>
      <c r="CI78" s="100">
        <f t="shared" si="152"/>
        <v>1.5800103878079821</v>
      </c>
      <c r="CJ78" s="100">
        <f t="shared" si="152"/>
        <v>0.24977649124553977</v>
      </c>
      <c r="CK78" s="100">
        <f t="shared" si="152"/>
        <v>0.50742268729488527</v>
      </c>
      <c r="CL78" s="100">
        <f t="shared" si="152"/>
        <v>0.70673929430950844</v>
      </c>
      <c r="CM78" s="100">
        <f t="shared" si="152"/>
        <v>0.83122474522917111</v>
      </c>
      <c r="CN78" s="100">
        <f t="shared" si="152"/>
        <v>0.59777022648687117</v>
      </c>
      <c r="CO78" s="100">
        <f t="shared" si="152"/>
        <v>0.81102664507037381</v>
      </c>
      <c r="CP78" s="97"/>
      <c r="CQ78" s="161">
        <f t="shared" ref="CQ78:EO78" si="153">CQ50/$EP50</f>
        <v>1.0768324698614682</v>
      </c>
      <c r="CR78" s="161">
        <f t="shared" si="153"/>
        <v>0.98188980873707321</v>
      </c>
      <c r="CS78" s="161">
        <f t="shared" si="153"/>
        <v>1.023393122655313</v>
      </c>
      <c r="CT78" s="161">
        <f t="shared" si="153"/>
        <v>0.79918354144404613</v>
      </c>
      <c r="CU78" s="161">
        <f t="shared" si="153"/>
        <v>0.38246983443319188</v>
      </c>
      <c r="CV78" s="161">
        <f t="shared" si="153"/>
        <v>0.75265203924145696</v>
      </c>
      <c r="CW78" s="161">
        <f t="shared" si="153"/>
        <v>1.4495729792969503</v>
      </c>
      <c r="CX78" s="161">
        <f t="shared" si="153"/>
        <v>1.5908516087070781</v>
      </c>
      <c r="CY78" s="161">
        <f t="shared" si="153"/>
        <v>0.7312338269750468</v>
      </c>
      <c r="CZ78" s="161">
        <f t="shared" si="153"/>
        <v>1.0786719270152481</v>
      </c>
      <c r="DA78" s="161">
        <f t="shared" si="153"/>
        <v>1.0997573734608577</v>
      </c>
      <c r="DB78" s="161">
        <f t="shared" si="153"/>
        <v>1.2754242773873654</v>
      </c>
      <c r="DC78" s="161">
        <f t="shared" si="153"/>
        <v>0.7212856162097484</v>
      </c>
      <c r="DD78" s="161">
        <f t="shared" si="153"/>
        <v>1.0341111370234868</v>
      </c>
      <c r="DE78" s="161">
        <f t="shared" si="153"/>
        <v>1.5935289123887957</v>
      </c>
      <c r="DF78" s="161">
        <f t="shared" si="153"/>
        <v>1.6063483736377544</v>
      </c>
      <c r="DG78" s="161">
        <f t="shared" si="153"/>
        <v>0.84800396488450958</v>
      </c>
      <c r="DH78" s="161">
        <f t="shared" si="153"/>
        <v>0.61331286586844613</v>
      </c>
      <c r="DI78" s="161">
        <f t="shared" si="153"/>
        <v>0.79624582932379118</v>
      </c>
      <c r="DJ78" s="161">
        <f t="shared" si="153"/>
        <v>0.89752596042142696</v>
      </c>
      <c r="DK78" s="161">
        <f t="shared" si="153"/>
        <v>0.97734324909071679</v>
      </c>
      <c r="DL78" s="161">
        <f t="shared" si="153"/>
        <v>1.073925404685717</v>
      </c>
      <c r="DM78" s="161">
        <f t="shared" si="153"/>
        <v>1.2383475382919271</v>
      </c>
      <c r="DN78" s="161">
        <f t="shared" si="153"/>
        <v>1.0720229290634851</v>
      </c>
      <c r="DO78" s="161">
        <f t="shared" si="153"/>
        <v>1.4570358140076811</v>
      </c>
      <c r="DP78" s="161">
        <f t="shared" si="153"/>
        <v>1.1014990662619188</v>
      </c>
      <c r="DQ78" s="161">
        <f t="shared" si="153"/>
        <v>1.4209719099094134</v>
      </c>
      <c r="DR78" s="161">
        <f t="shared" si="153"/>
        <v>1.4398633039577122</v>
      </c>
      <c r="DS78" s="161">
        <f t="shared" si="153"/>
        <v>0.82560440357107068</v>
      </c>
      <c r="DT78" s="161">
        <f t="shared" si="153"/>
        <v>0.73845670301232025</v>
      </c>
      <c r="DU78" s="161">
        <f t="shared" si="153"/>
        <v>1.1513417320652113</v>
      </c>
      <c r="DV78" s="161">
        <f t="shared" si="153"/>
        <v>0.86235108712653274</v>
      </c>
      <c r="DW78" s="161">
        <f t="shared" si="153"/>
        <v>0.74779808570969863</v>
      </c>
      <c r="DX78" s="161">
        <f t="shared" si="153"/>
        <v>0.97913300199126174</v>
      </c>
      <c r="DY78" s="161">
        <f t="shared" si="153"/>
        <v>0.92652148197970829</v>
      </c>
      <c r="DZ78" s="161">
        <f t="shared" si="153"/>
        <v>1.1256253587093998</v>
      </c>
      <c r="EA78" s="161">
        <f t="shared" si="153"/>
        <v>1.0740665238749358</v>
      </c>
      <c r="EB78" s="161">
        <f t="shared" si="153"/>
        <v>0.59489378835175544</v>
      </c>
      <c r="EC78" s="161">
        <f t="shared" si="153"/>
        <v>1.0404636273817507</v>
      </c>
      <c r="ED78" s="161">
        <f t="shared" si="153"/>
        <v>1.3714216660885132</v>
      </c>
      <c r="EE78" s="161">
        <f t="shared" si="153"/>
        <v>1.0133425753839076</v>
      </c>
      <c r="EF78" s="161">
        <f t="shared" si="153"/>
        <v>0.98949486575923817</v>
      </c>
      <c r="EG78" s="161">
        <f t="shared" si="153"/>
        <v>1.2891482454129266</v>
      </c>
      <c r="EH78" s="161">
        <f t="shared" si="153"/>
        <v>1.124987492014053</v>
      </c>
      <c r="EI78" s="161">
        <f t="shared" si="153"/>
        <v>0.89295648916271375</v>
      </c>
      <c r="EJ78" s="161">
        <f t="shared" si="153"/>
        <v>0.67450301764899478</v>
      </c>
      <c r="EK78" s="161">
        <f t="shared" si="153"/>
        <v>0.97584372443182144</v>
      </c>
      <c r="EL78" s="161">
        <f t="shared" si="153"/>
        <v>0.62443999752192536</v>
      </c>
      <c r="EM78" s="161">
        <f t="shared" si="153"/>
        <v>1</v>
      </c>
      <c r="EN78" s="161">
        <f t="shared" si="153"/>
        <v>0.72224823300684715</v>
      </c>
      <c r="EO78" s="161">
        <f t="shared" si="153"/>
        <v>0.8710238718743456</v>
      </c>
      <c r="EP78" s="97"/>
      <c r="EQ78" s="161">
        <f t="shared" ref="EQ78:FI78" si="154">EQ50/$FJ50</f>
        <v>1.2929332016735933</v>
      </c>
      <c r="ER78" s="161">
        <f t="shared" si="154"/>
        <v>1.7198845208684805</v>
      </c>
      <c r="ES78" s="161">
        <f t="shared" si="154"/>
        <v>1.5221062035785033</v>
      </c>
      <c r="ET78" s="161">
        <f t="shared" si="154"/>
        <v>0.79041059772248623</v>
      </c>
      <c r="EU78" s="161">
        <f t="shared" si="154"/>
        <v>0.97914140777282299</v>
      </c>
      <c r="EV78" s="161">
        <f t="shared" si="154"/>
        <v>0.92816466455750057</v>
      </c>
      <c r="EW78" s="161">
        <f t="shared" si="154"/>
        <v>0.7776342968461899</v>
      </c>
      <c r="EX78" s="161">
        <f t="shared" si="154"/>
        <v>1.2300547294351731</v>
      </c>
      <c r="EY78" s="161">
        <f t="shared" si="154"/>
        <v>1.5325680953586864</v>
      </c>
      <c r="EZ78" s="161">
        <f t="shared" si="154"/>
        <v>0.99996333877073174</v>
      </c>
      <c r="FA78" s="161">
        <f t="shared" si="154"/>
        <v>0.95471165243331113</v>
      </c>
      <c r="FB78" s="161">
        <f t="shared" si="154"/>
        <v>1.4586874925168045</v>
      </c>
      <c r="FC78" s="161">
        <f t="shared" si="154"/>
        <v>0.71479298179691508</v>
      </c>
      <c r="FD78" s="161">
        <f t="shared" si="154"/>
        <v>1.4084133446298062</v>
      </c>
      <c r="FE78" s="161">
        <f t="shared" si="154"/>
        <v>1.6723401427550064</v>
      </c>
      <c r="FF78" s="161">
        <f t="shared" si="154"/>
        <v>0.91976862458217512</v>
      </c>
      <c r="FG78" s="161">
        <f t="shared" si="154"/>
        <v>1.270755925485886</v>
      </c>
      <c r="FH78" s="161">
        <f t="shared" si="154"/>
        <v>0.93350044653716024</v>
      </c>
      <c r="FI78" s="161">
        <f t="shared" si="154"/>
        <v>1</v>
      </c>
      <c r="FJ78" s="97"/>
    </row>
    <row r="79" spans="1:166" ht="15">
      <c r="A79" s="9" t="s">
        <v>222</v>
      </c>
      <c r="B79" s="160" t="s">
        <v>187</v>
      </c>
      <c r="C79" s="97">
        <f t="shared" ref="C79:T79" si="155">C51/$U51</f>
        <v>1.4207478540467071</v>
      </c>
      <c r="D79" s="97">
        <f t="shared" si="155"/>
        <v>0.99491353273340821</v>
      </c>
      <c r="E79" s="97">
        <f t="shared" si="155"/>
        <v>1.5627112859029206</v>
      </c>
      <c r="F79" s="97">
        <f t="shared" si="155"/>
        <v>1.4013383358646565</v>
      </c>
      <c r="G79" s="97">
        <f t="shared" si="155"/>
        <v>0.96176904686569997</v>
      </c>
      <c r="H79" s="97">
        <f t="shared" si="155"/>
        <v>1.1062355712608831</v>
      </c>
      <c r="I79" s="97">
        <f t="shared" si="155"/>
        <v>1.0200159158461277</v>
      </c>
      <c r="J79" s="97">
        <f t="shared" si="155"/>
        <v>1.7880903142151112</v>
      </c>
      <c r="K79" s="97">
        <f t="shared" si="155"/>
        <v>1.6936202568484924</v>
      </c>
      <c r="L79" s="97">
        <f t="shared" si="155"/>
        <v>1.2621481637973808</v>
      </c>
      <c r="M79" s="97">
        <f t="shared" si="155"/>
        <v>0.64302059602729189</v>
      </c>
      <c r="N79" s="97">
        <f t="shared" si="155"/>
        <v>0.90077393345901102</v>
      </c>
      <c r="O79" s="97">
        <f t="shared" si="155"/>
        <v>0.60251746261905348</v>
      </c>
      <c r="P79" s="97">
        <f t="shared" si="155"/>
        <v>0.59546272776978804</v>
      </c>
      <c r="Q79" s="97">
        <f t="shared" si="155"/>
        <v>0</v>
      </c>
      <c r="R79" s="97">
        <f t="shared" si="155"/>
        <v>0.65022458093475266</v>
      </c>
      <c r="S79" s="97">
        <f t="shared" si="155"/>
        <v>1.0050864672665918</v>
      </c>
      <c r="T79" s="97">
        <f t="shared" si="155"/>
        <v>0.69872147686448882</v>
      </c>
      <c r="U79" s="97"/>
      <c r="V79" s="97">
        <f t="shared" ref="V79:AT79" si="156">V51/$AU51</f>
        <v>1.3424098809115472</v>
      </c>
      <c r="W79" s="97">
        <f t="shared" si="156"/>
        <v>1.3615051094551507</v>
      </c>
      <c r="X79" s="97">
        <f t="shared" si="156"/>
        <v>1.3400077158591051</v>
      </c>
      <c r="Y79" s="97">
        <f t="shared" si="156"/>
        <v>0.63607693094206874</v>
      </c>
      <c r="Z79" s="97">
        <f t="shared" si="156"/>
        <v>0.96118148769438883</v>
      </c>
      <c r="AA79" s="97">
        <f t="shared" si="156"/>
        <v>1.5575311157989651</v>
      </c>
      <c r="AB79" s="97">
        <f t="shared" si="156"/>
        <v>1.131798913868199</v>
      </c>
      <c r="AC79" s="97">
        <f t="shared" si="156"/>
        <v>1.3907975372204593</v>
      </c>
      <c r="AD79" s="97">
        <f t="shared" si="156"/>
        <v>0.87188839909658344</v>
      </c>
      <c r="AE79" s="97">
        <f t="shared" si="156"/>
        <v>1.0740948944431377</v>
      </c>
      <c r="AF79" s="97">
        <f t="shared" si="156"/>
        <v>1.2452550253175132</v>
      </c>
      <c r="AG79" s="97">
        <f t="shared" si="156"/>
        <v>0.8200975645796903</v>
      </c>
      <c r="AH79" s="97">
        <f t="shared" si="156"/>
        <v>1</v>
      </c>
      <c r="AI79" s="97">
        <f t="shared" si="156"/>
        <v>1.0850637130331842</v>
      </c>
      <c r="AJ79" s="97">
        <f t="shared" si="156"/>
        <v>0.98615669658085481</v>
      </c>
      <c r="AK79" s="97">
        <f t="shared" si="156"/>
        <v>0.75288980263707794</v>
      </c>
      <c r="AL79" s="97">
        <f t="shared" si="156"/>
        <v>0.59217880994333927</v>
      </c>
      <c r="AM79" s="97">
        <f t="shared" si="156"/>
        <v>1.0516693430568962</v>
      </c>
      <c r="AN79" s="97">
        <f t="shared" si="156"/>
        <v>0.98069158411777058</v>
      </c>
      <c r="AO79" s="97">
        <f t="shared" si="156"/>
        <v>0.6056961738119383</v>
      </c>
      <c r="AP79" s="97">
        <f t="shared" si="156"/>
        <v>0.77636269310012795</v>
      </c>
      <c r="AQ79" s="97">
        <f t="shared" si="156"/>
        <v>0.82402506733171743</v>
      </c>
      <c r="AR79" s="97">
        <f t="shared" si="156"/>
        <v>0.89752152304123634</v>
      </c>
      <c r="AS79" s="97">
        <f t="shared" si="156"/>
        <v>1.0738399740740656</v>
      </c>
      <c r="AT79" s="97">
        <f t="shared" si="156"/>
        <v>1.0051554560001756</v>
      </c>
      <c r="AU79" s="97"/>
      <c r="AV79" s="100">
        <f t="shared" ref="AV79:CO79" si="157">AV51/$CP51</f>
        <v>0.58217644925194034</v>
      </c>
      <c r="AW79" s="100">
        <f t="shared" si="157"/>
        <v>0.86134260764961568</v>
      </c>
      <c r="AX79" s="100">
        <f t="shared" si="157"/>
        <v>0.76612207418624523</v>
      </c>
      <c r="AY79" s="100">
        <f t="shared" si="157"/>
        <v>0.71949744757440204</v>
      </c>
      <c r="AZ79" s="100">
        <f t="shared" si="157"/>
        <v>0.6594516966975057</v>
      </c>
      <c r="BA79" s="100">
        <f t="shared" si="157"/>
        <v>0.90323665300004485</v>
      </c>
      <c r="BB79" s="100">
        <f t="shared" si="157"/>
        <v>1.2768404973314609</v>
      </c>
      <c r="BC79" s="100">
        <f t="shared" si="157"/>
        <v>1.2440378685451241</v>
      </c>
      <c r="BD79" s="100">
        <f t="shared" si="157"/>
        <v>0.96714246479116828</v>
      </c>
      <c r="BE79" s="100">
        <f t="shared" si="157"/>
        <v>0.87277820820104357</v>
      </c>
      <c r="BF79" s="100">
        <f t="shared" si="157"/>
        <v>0.98171842237148721</v>
      </c>
      <c r="BG79" s="100">
        <f t="shared" si="157"/>
        <v>1.0989156668262186</v>
      </c>
      <c r="BH79" s="100">
        <f t="shared" si="157"/>
        <v>1.1298132800548215</v>
      </c>
      <c r="BI79" s="100">
        <f t="shared" si="157"/>
        <v>1.0522050599227646</v>
      </c>
      <c r="BJ79" s="100">
        <f t="shared" si="157"/>
        <v>1.5263389960535971</v>
      </c>
      <c r="BK79" s="100">
        <f t="shared" si="157"/>
        <v>1.4410078188120594</v>
      </c>
      <c r="BL79" s="100">
        <f t="shared" si="157"/>
        <v>1.2483098806067585</v>
      </c>
      <c r="BM79" s="100">
        <f t="shared" si="157"/>
        <v>1.1842778241467662</v>
      </c>
      <c r="BN79" s="100">
        <f t="shared" si="157"/>
        <v>0.96362425040410338</v>
      </c>
      <c r="BO79" s="100">
        <f t="shared" si="157"/>
        <v>0.93721432104698787</v>
      </c>
      <c r="BP79" s="100">
        <f t="shared" si="157"/>
        <v>0.98821289525821443</v>
      </c>
      <c r="BQ79" s="100">
        <f t="shared" si="157"/>
        <v>0.92448538329985519</v>
      </c>
      <c r="BR79" s="100">
        <f t="shared" si="157"/>
        <v>1.096918842282895</v>
      </c>
      <c r="BS79" s="100">
        <f t="shared" si="157"/>
        <v>1.0903208981645898</v>
      </c>
      <c r="BT79" s="100">
        <f t="shared" si="157"/>
        <v>1.0331063581238118</v>
      </c>
      <c r="BU79" s="100">
        <f t="shared" si="157"/>
        <v>0.95344968606545721</v>
      </c>
      <c r="BV79" s="100">
        <f t="shared" si="157"/>
        <v>1.0549780291421613</v>
      </c>
      <c r="BW79" s="100">
        <f t="shared" si="157"/>
        <v>1.1723808032770395</v>
      </c>
      <c r="BX79" s="100">
        <f t="shared" si="157"/>
        <v>1.2761810611293753</v>
      </c>
      <c r="BY79" s="100">
        <f t="shared" si="157"/>
        <v>1.4204977346780838</v>
      </c>
      <c r="BZ79" s="100">
        <f t="shared" si="157"/>
        <v>1.2233396740469356</v>
      </c>
      <c r="CA79" s="100">
        <f t="shared" si="157"/>
        <v>1.0904136153679718</v>
      </c>
      <c r="CB79" s="100">
        <f t="shared" si="157"/>
        <v>1.055633849832915</v>
      </c>
      <c r="CC79" s="100">
        <f t="shared" si="157"/>
        <v>1.0117871047417857</v>
      </c>
      <c r="CD79" s="100">
        <f t="shared" si="157"/>
        <v>1.2043471086983184</v>
      </c>
      <c r="CE79" s="100">
        <f t="shared" si="157"/>
        <v>1.1990291274276839</v>
      </c>
      <c r="CF79" s="100">
        <f t="shared" si="157"/>
        <v>1.1703705245499583</v>
      </c>
      <c r="CG79" s="100">
        <f t="shared" si="157"/>
        <v>0.72209582250180349</v>
      </c>
      <c r="CH79" s="100">
        <f t="shared" si="157"/>
        <v>0.47017958325446363</v>
      </c>
      <c r="CI79" s="100">
        <f t="shared" si="157"/>
        <v>0.55156225513421486</v>
      </c>
      <c r="CJ79" s="100">
        <f t="shared" si="157"/>
        <v>0.61242834376527944</v>
      </c>
      <c r="CK79" s="100">
        <f t="shared" si="157"/>
        <v>0.81906681537184245</v>
      </c>
      <c r="CL79" s="100">
        <f t="shared" si="157"/>
        <v>0.63036950154339144</v>
      </c>
      <c r="CM79" s="100">
        <f t="shared" si="157"/>
        <v>0.80384164539632119</v>
      </c>
      <c r="CN79" s="100">
        <f t="shared" si="157"/>
        <v>0.48549564946118473</v>
      </c>
      <c r="CO79" s="100">
        <f t="shared" si="157"/>
        <v>0.45489365540064708</v>
      </c>
      <c r="CP79" s="97"/>
      <c r="CQ79" s="161">
        <f t="shared" ref="CQ79:EO79" si="158">CQ51/$EP51</f>
        <v>0.86723052627745334</v>
      </c>
      <c r="CR79" s="161">
        <f t="shared" si="158"/>
        <v>0.83906957547927663</v>
      </c>
      <c r="CS79" s="161">
        <f t="shared" si="158"/>
        <v>0.5989645127815284</v>
      </c>
      <c r="CT79" s="161">
        <f t="shared" si="158"/>
        <v>0.62373530148416589</v>
      </c>
      <c r="CU79" s="161">
        <f t="shared" si="158"/>
        <v>0.41028150056407137</v>
      </c>
      <c r="CV79" s="161">
        <f t="shared" si="158"/>
        <v>0.48019072171043986</v>
      </c>
      <c r="CW79" s="161">
        <f t="shared" si="158"/>
        <v>1.201283708662789</v>
      </c>
      <c r="CX79" s="161">
        <f t="shared" si="158"/>
        <v>1.3811800924903199</v>
      </c>
      <c r="CY79" s="161">
        <f t="shared" si="158"/>
        <v>0.88558800931681014</v>
      </c>
      <c r="CZ79" s="161">
        <f t="shared" si="158"/>
        <v>1</v>
      </c>
      <c r="DA79" s="161">
        <f t="shared" si="158"/>
        <v>1.1303962899187479</v>
      </c>
      <c r="DB79" s="161">
        <f t="shared" si="158"/>
        <v>1.3403120780906983</v>
      </c>
      <c r="DC79" s="161">
        <f t="shared" si="158"/>
        <v>0.90320864869625983</v>
      </c>
      <c r="DD79" s="161">
        <f t="shared" si="158"/>
        <v>1.0486440464581213</v>
      </c>
      <c r="DE79" s="161">
        <f t="shared" si="158"/>
        <v>1.4251204282981103</v>
      </c>
      <c r="DF79" s="161">
        <f t="shared" si="158"/>
        <v>1.480599428570375</v>
      </c>
      <c r="DG79" s="161">
        <f t="shared" si="158"/>
        <v>1.0857784280779217</v>
      </c>
      <c r="DH79" s="161">
        <f t="shared" si="158"/>
        <v>0.59859537624994841</v>
      </c>
      <c r="DI79" s="161">
        <f t="shared" si="158"/>
        <v>0.59833233559023702</v>
      </c>
      <c r="DJ79" s="161">
        <f t="shared" si="158"/>
        <v>0.90624900549108411</v>
      </c>
      <c r="DK79" s="161">
        <f t="shared" si="158"/>
        <v>1.0726689331663417</v>
      </c>
      <c r="DL79" s="161">
        <f t="shared" si="158"/>
        <v>1.1257408998147154</v>
      </c>
      <c r="DM79" s="161">
        <f t="shared" si="158"/>
        <v>1.1844749964537238</v>
      </c>
      <c r="DN79" s="161">
        <f t="shared" si="158"/>
        <v>1.0837714513040899</v>
      </c>
      <c r="DO79" s="161">
        <f t="shared" si="158"/>
        <v>1.4030732702528486</v>
      </c>
      <c r="DP79" s="161">
        <f t="shared" si="158"/>
        <v>1.4600498496436662</v>
      </c>
      <c r="DQ79" s="161">
        <f t="shared" si="158"/>
        <v>1.3194527511304979</v>
      </c>
      <c r="DR79" s="161">
        <f t="shared" si="158"/>
        <v>1.262602683445766</v>
      </c>
      <c r="DS79" s="161">
        <f t="shared" si="158"/>
        <v>0.95747055712980744</v>
      </c>
      <c r="DT79" s="161">
        <f t="shared" si="158"/>
        <v>0.65345967462334731</v>
      </c>
      <c r="DU79" s="161">
        <f t="shared" si="158"/>
        <v>1.1530870053263429</v>
      </c>
      <c r="DV79" s="161">
        <f t="shared" si="158"/>
        <v>0.7660333855019672</v>
      </c>
      <c r="DW79" s="161">
        <f t="shared" si="158"/>
        <v>0.52861712500872537</v>
      </c>
      <c r="DX79" s="161">
        <f t="shared" si="158"/>
        <v>0.9027751050032331</v>
      </c>
      <c r="DY79" s="161">
        <f t="shared" si="158"/>
        <v>1.0384982564710397</v>
      </c>
      <c r="DZ79" s="161">
        <f t="shared" si="158"/>
        <v>1.0492289553623158</v>
      </c>
      <c r="EA79" s="161">
        <f t="shared" si="158"/>
        <v>0.83413695203073057</v>
      </c>
      <c r="EB79" s="161">
        <f t="shared" si="158"/>
        <v>0.69263042250636575</v>
      </c>
      <c r="EC79" s="161">
        <f t="shared" si="158"/>
        <v>1.0400542526888956</v>
      </c>
      <c r="ED79" s="161">
        <f t="shared" si="158"/>
        <v>1.2172797538638365</v>
      </c>
      <c r="EE79" s="161">
        <f t="shared" si="158"/>
        <v>1.1061389373513459</v>
      </c>
      <c r="EF79" s="161">
        <f t="shared" si="158"/>
        <v>1.206657993610353</v>
      </c>
      <c r="EG79" s="161">
        <f t="shared" si="158"/>
        <v>1.1302376131412146</v>
      </c>
      <c r="EH79" s="161">
        <f t="shared" si="158"/>
        <v>1.0740090990177065</v>
      </c>
      <c r="EI79" s="161">
        <f t="shared" si="158"/>
        <v>0.79482669755562119</v>
      </c>
      <c r="EJ79" s="161">
        <f t="shared" si="158"/>
        <v>0.8208676327588148</v>
      </c>
      <c r="EK79" s="161">
        <f t="shared" si="158"/>
        <v>0.86461570649059971</v>
      </c>
      <c r="EL79" s="161">
        <f t="shared" si="158"/>
        <v>0.59078818687848</v>
      </c>
      <c r="EM79" s="161">
        <f t="shared" si="158"/>
        <v>0.87293599296629143</v>
      </c>
      <c r="EN79" s="161">
        <f t="shared" si="158"/>
        <v>0.77265182843975111</v>
      </c>
      <c r="EO79" s="161">
        <f t="shared" si="158"/>
        <v>0.79832978889118245</v>
      </c>
      <c r="EP79" s="97"/>
      <c r="EQ79" s="161">
        <f t="shared" ref="EQ79:FI79" si="159">EQ51/$FJ51</f>
        <v>1</v>
      </c>
      <c r="ER79" s="161">
        <f t="shared" si="159"/>
        <v>1.3313939160449082</v>
      </c>
      <c r="ES79" s="161">
        <f t="shared" si="159"/>
        <v>1.1252998821989297</v>
      </c>
      <c r="ET79" s="161">
        <f t="shared" si="159"/>
        <v>0.66578110201892859</v>
      </c>
      <c r="EU79" s="161">
        <f t="shared" si="159"/>
        <v>0.8265453138053438</v>
      </c>
      <c r="EV79" s="161">
        <f t="shared" si="159"/>
        <v>0.65754180134990237</v>
      </c>
      <c r="EW79" s="161">
        <f t="shared" si="159"/>
        <v>0.7814635611831946</v>
      </c>
      <c r="EX79" s="161">
        <f t="shared" si="159"/>
        <v>1.047322740350789</v>
      </c>
      <c r="EY79" s="161">
        <f t="shared" si="159"/>
        <v>1.1723776545107925</v>
      </c>
      <c r="EZ79" s="161">
        <f t="shared" si="159"/>
        <v>1.0151451807799676</v>
      </c>
      <c r="FA79" s="161">
        <f t="shared" si="159"/>
        <v>0.70233778519435075</v>
      </c>
      <c r="FB79" s="161">
        <f t="shared" si="159"/>
        <v>1.0589196788063915</v>
      </c>
      <c r="FC79" s="161">
        <f t="shared" si="159"/>
        <v>0.68463714064130943</v>
      </c>
      <c r="FD79" s="161">
        <f t="shared" si="159"/>
        <v>1.0614498271695618</v>
      </c>
      <c r="FE79" s="161">
        <f t="shared" si="159"/>
        <v>1.2318027752768608</v>
      </c>
      <c r="FF79" s="161">
        <f t="shared" si="159"/>
        <v>1.0090755167113925</v>
      </c>
      <c r="FG79" s="161">
        <f t="shared" si="159"/>
        <v>0.88675137195631115</v>
      </c>
      <c r="FH79" s="161">
        <f t="shared" si="159"/>
        <v>0.60804739632096516</v>
      </c>
      <c r="FI79" s="161">
        <f t="shared" si="159"/>
        <v>0.70434596007965056</v>
      </c>
      <c r="FJ79" s="97"/>
    </row>
    <row r="80" spans="1:166" ht="15">
      <c r="A80" s="9" t="s">
        <v>223</v>
      </c>
      <c r="B80" s="160" t="s">
        <v>187</v>
      </c>
      <c r="C80" s="97">
        <f t="shared" ref="C80:T80" si="160">C52/$U52</f>
        <v>1.1336644222436933</v>
      </c>
      <c r="D80" s="97">
        <f t="shared" si="160"/>
        <v>0.91035485574433628</v>
      </c>
      <c r="E80" s="97">
        <f t="shared" si="160"/>
        <v>1.4672619244647847</v>
      </c>
      <c r="F80" s="97">
        <f t="shared" si="160"/>
        <v>1.4249717492201925</v>
      </c>
      <c r="G80" s="97">
        <f t="shared" si="160"/>
        <v>0.96428941367667842</v>
      </c>
      <c r="H80" s="97">
        <f t="shared" si="160"/>
        <v>1.036539642306072</v>
      </c>
      <c r="I80" s="97">
        <f t="shared" si="160"/>
        <v>1.0675920851649019</v>
      </c>
      <c r="J80" s="97">
        <f t="shared" si="160"/>
        <v>1.6970317784411466</v>
      </c>
      <c r="K80" s="97">
        <f t="shared" si="160"/>
        <v>1.5345360253143854</v>
      </c>
      <c r="L80" s="97">
        <f t="shared" si="160"/>
        <v>1.0346494743196686</v>
      </c>
      <c r="M80" s="97">
        <f t="shared" si="160"/>
        <v>0.7894599637671107</v>
      </c>
      <c r="N80" s="97">
        <f t="shared" si="160"/>
        <v>0.96535052568033153</v>
      </c>
      <c r="O80" s="97">
        <f t="shared" si="160"/>
        <v>0</v>
      </c>
      <c r="P80" s="97">
        <f t="shared" si="160"/>
        <v>0.61733089697267218</v>
      </c>
      <c r="Q80" s="97">
        <f t="shared" si="160"/>
        <v>0.78917864734469934</v>
      </c>
      <c r="R80" s="97">
        <f t="shared" si="160"/>
        <v>0.61881815487843861</v>
      </c>
      <c r="S80" s="97">
        <f t="shared" si="160"/>
        <v>0.88340655821191194</v>
      </c>
      <c r="T80" s="97">
        <f t="shared" si="160"/>
        <v>1.0710549060885577</v>
      </c>
      <c r="U80" s="97"/>
      <c r="V80" s="102">
        <f t="shared" ref="V80:AT80" si="161">V52/$AU52</f>
        <v>1.3854537268707638</v>
      </c>
      <c r="W80" s="102">
        <f t="shared" si="161"/>
        <v>1.3861608800065428</v>
      </c>
      <c r="X80" s="102">
        <f t="shared" si="161"/>
        <v>1.379240056392357</v>
      </c>
      <c r="Y80" s="102">
        <f t="shared" si="161"/>
        <v>0.71199093699478566</v>
      </c>
      <c r="Z80" s="102">
        <f t="shared" si="161"/>
        <v>0.98859767158556899</v>
      </c>
      <c r="AA80" s="102">
        <f t="shared" si="161"/>
        <v>1.5779031658978211</v>
      </c>
      <c r="AB80" s="102">
        <f t="shared" si="161"/>
        <v>1.1567458321610067</v>
      </c>
      <c r="AC80" s="102">
        <f t="shared" si="161"/>
        <v>1.4297235874570622</v>
      </c>
      <c r="AD80" s="102">
        <f t="shared" si="161"/>
        <v>0.9421899727489883</v>
      </c>
      <c r="AE80" s="102">
        <f t="shared" si="161"/>
        <v>1.1814170974889586</v>
      </c>
      <c r="AF80" s="102">
        <f t="shared" si="161"/>
        <v>1.2765876479391409</v>
      </c>
      <c r="AG80" s="102">
        <f t="shared" si="161"/>
        <v>0.89066636751836537</v>
      </c>
      <c r="AH80" s="102">
        <f t="shared" si="161"/>
        <v>1</v>
      </c>
      <c r="AI80" s="102">
        <f t="shared" si="161"/>
        <v>1.1603832471619835</v>
      </c>
      <c r="AJ80" s="102">
        <f t="shared" si="161"/>
        <v>0.96094850194894188</v>
      </c>
      <c r="AK80" s="102">
        <f t="shared" si="161"/>
        <v>0.74287103583121517</v>
      </c>
      <c r="AL80" s="102">
        <f t="shared" si="161"/>
        <v>0.7812052460426</v>
      </c>
      <c r="AM80" s="102">
        <f t="shared" si="161"/>
        <v>1.1412707053833677</v>
      </c>
      <c r="AN80" s="102">
        <f t="shared" si="161"/>
        <v>1.0868996433169311</v>
      </c>
      <c r="AO80" s="102">
        <f t="shared" si="161"/>
        <v>0.73007183985038249</v>
      </c>
      <c r="AP80" s="102">
        <f t="shared" si="161"/>
        <v>0.78996828860546586</v>
      </c>
      <c r="AQ80" s="102">
        <f t="shared" si="161"/>
        <v>0.7564669143449777</v>
      </c>
      <c r="AR80" s="102">
        <f t="shared" si="161"/>
        <v>0.9114347683585704</v>
      </c>
      <c r="AS80" s="102">
        <f t="shared" si="161"/>
        <v>1.1591452320968307</v>
      </c>
      <c r="AT80" s="102">
        <f t="shared" si="161"/>
        <v>0.96531604721894437</v>
      </c>
      <c r="AU80" s="97"/>
      <c r="AV80" s="102">
        <f t="shared" ref="AV80:CO80" si="162">AV52/$CP52</f>
        <v>0.51977082359426818</v>
      </c>
      <c r="AW80" s="102">
        <f t="shared" si="162"/>
        <v>0.89594820599114566</v>
      </c>
      <c r="AX80" s="102">
        <f t="shared" si="162"/>
        <v>0.73140855608191602</v>
      </c>
      <c r="AY80" s="102">
        <f t="shared" si="162"/>
        <v>0.64371057993111769</v>
      </c>
      <c r="AZ80" s="102">
        <f t="shared" si="162"/>
        <v>0.62556419356235393</v>
      </c>
      <c r="BA80" s="102">
        <f t="shared" si="162"/>
        <v>0.94509141298818911</v>
      </c>
      <c r="BB80" s="102">
        <f t="shared" si="162"/>
        <v>1.2709624191926794</v>
      </c>
      <c r="BC80" s="102">
        <f t="shared" si="162"/>
        <v>1.2054361978386841</v>
      </c>
      <c r="BD80" s="102">
        <f t="shared" si="162"/>
        <v>0.94880461217987011</v>
      </c>
      <c r="BE80" s="102">
        <f t="shared" si="162"/>
        <v>0.89989856983920913</v>
      </c>
      <c r="BF80" s="102">
        <f t="shared" si="162"/>
        <v>1.0383780312190443</v>
      </c>
      <c r="BG80" s="102">
        <f t="shared" si="162"/>
        <v>1.0086865455346747</v>
      </c>
      <c r="BH80" s="102">
        <f t="shared" si="162"/>
        <v>1.0446946417827077</v>
      </c>
      <c r="BI80" s="102">
        <f t="shared" si="162"/>
        <v>0.99966947814932205</v>
      </c>
      <c r="BJ80" s="102">
        <f t="shared" si="162"/>
        <v>1.4669315558656366</v>
      </c>
      <c r="BK80" s="102">
        <f t="shared" si="162"/>
        <v>1.3949623746233231</v>
      </c>
      <c r="BL80" s="102">
        <f t="shared" si="162"/>
        <v>1.2308919941692358</v>
      </c>
      <c r="BM80" s="102">
        <f t="shared" si="162"/>
        <v>1.1791924018667403</v>
      </c>
      <c r="BN80" s="102">
        <f t="shared" si="162"/>
        <v>0.92990872525053514</v>
      </c>
      <c r="BO80" s="102">
        <f t="shared" si="162"/>
        <v>0.93761697035156422</v>
      </c>
      <c r="BP80" s="102">
        <f t="shared" si="162"/>
        <v>0.97042386748997111</v>
      </c>
      <c r="BQ80" s="102">
        <f t="shared" si="162"/>
        <v>0.93532283718464571</v>
      </c>
      <c r="BR80" s="102">
        <f t="shared" si="162"/>
        <v>1.0632772471538918</v>
      </c>
      <c r="BS80" s="102">
        <f t="shared" si="162"/>
        <v>1.0614902750911934</v>
      </c>
      <c r="BT80" s="102">
        <f t="shared" si="162"/>
        <v>1.0614991018924764</v>
      </c>
      <c r="BU80" s="102">
        <f t="shared" si="162"/>
        <v>0.92435243900637198</v>
      </c>
      <c r="BV80" s="102">
        <f t="shared" si="162"/>
        <v>1.0581350625277983</v>
      </c>
      <c r="BW80" s="102">
        <f t="shared" si="162"/>
        <v>1.1535075296933359</v>
      </c>
      <c r="BX80" s="102">
        <f t="shared" si="162"/>
        <v>1.2621078539638657</v>
      </c>
      <c r="BY80" s="102">
        <f t="shared" si="162"/>
        <v>1.39489198270857</v>
      </c>
      <c r="BZ80" s="102">
        <f t="shared" si="162"/>
        <v>1.2200896406978217</v>
      </c>
      <c r="CA80" s="102">
        <f t="shared" si="162"/>
        <v>1.0929879089916998</v>
      </c>
      <c r="CB80" s="102">
        <f t="shared" si="162"/>
        <v>1.0171813786655657</v>
      </c>
      <c r="CC80" s="102">
        <f t="shared" si="162"/>
        <v>1.0003305218506779</v>
      </c>
      <c r="CD80" s="102">
        <f t="shared" si="162"/>
        <v>1.1805712333116019</v>
      </c>
      <c r="CE80" s="102">
        <f t="shared" si="162"/>
        <v>1.1912391074491515</v>
      </c>
      <c r="CF80" s="102">
        <f t="shared" si="162"/>
        <v>1.1662792997707188</v>
      </c>
      <c r="CG80" s="102">
        <f t="shared" si="162"/>
        <v>0.56795116987674321</v>
      </c>
      <c r="CH80" s="102">
        <f t="shared" si="162"/>
        <v>0.53235926782173748</v>
      </c>
      <c r="CI80" s="102">
        <f t="shared" si="162"/>
        <v>0.55975444484773984</v>
      </c>
      <c r="CJ80" s="102">
        <f t="shared" si="162"/>
        <v>0.68124999281415355</v>
      </c>
      <c r="CK80" s="102">
        <f t="shared" si="162"/>
        <v>0.82261501048675412</v>
      </c>
      <c r="CL80" s="102">
        <f t="shared" si="162"/>
        <v>0.5356836014173163</v>
      </c>
      <c r="CM80" s="102">
        <f t="shared" si="162"/>
        <v>0.6779176366067855</v>
      </c>
      <c r="CN80" s="102">
        <f t="shared" si="162"/>
        <v>0.62344955247627987</v>
      </c>
      <c r="CO80" s="102">
        <f t="shared" si="162"/>
        <v>0.48683878458335467</v>
      </c>
      <c r="CP80" s="97"/>
      <c r="CQ80" s="163">
        <f t="shared" ref="CQ80:EO80" si="163">CQ52/$EP52</f>
        <v>0.83730345956891494</v>
      </c>
      <c r="CR80" s="163">
        <f t="shared" si="163"/>
        <v>0.86851938444375365</v>
      </c>
      <c r="CS80" s="163">
        <f t="shared" si="163"/>
        <v>0.89985384755104281</v>
      </c>
      <c r="CT80" s="163">
        <f t="shared" si="163"/>
        <v>0.97148759000473617</v>
      </c>
      <c r="CU80" s="163">
        <f t="shared" si="163"/>
        <v>0.57311511327226095</v>
      </c>
      <c r="CV80" s="163">
        <f t="shared" si="163"/>
        <v>0.62956569524600703</v>
      </c>
      <c r="CW80" s="163">
        <f t="shared" si="163"/>
        <v>1.3326267519357977</v>
      </c>
      <c r="CX80" s="163">
        <f t="shared" si="163"/>
        <v>1.4549430491170063</v>
      </c>
      <c r="CY80" s="163">
        <f t="shared" si="163"/>
        <v>0.93033829486248432</v>
      </c>
      <c r="CZ80" s="163">
        <f t="shared" si="163"/>
        <v>1.0865182193897605</v>
      </c>
      <c r="DA80" s="163">
        <f t="shared" si="163"/>
        <v>0.82135474553283883</v>
      </c>
      <c r="DB80" s="163">
        <f t="shared" si="163"/>
        <v>1.3229113880835386</v>
      </c>
      <c r="DC80" s="163">
        <f t="shared" si="163"/>
        <v>0.71514193813773752</v>
      </c>
      <c r="DD80" s="163">
        <f t="shared" si="163"/>
        <v>1.1341959366898506</v>
      </c>
      <c r="DE80" s="163">
        <f t="shared" si="163"/>
        <v>1.5400215356465079</v>
      </c>
      <c r="DF80" s="163">
        <f t="shared" si="163"/>
        <v>1.557564606201522</v>
      </c>
      <c r="DG80" s="163">
        <f t="shared" si="163"/>
        <v>0.83975128777029018</v>
      </c>
      <c r="DH80" s="163">
        <f t="shared" si="163"/>
        <v>0.72149008702569428</v>
      </c>
      <c r="DI80" s="163">
        <f t="shared" si="163"/>
        <v>0.86230269262577453</v>
      </c>
      <c r="DJ80" s="163">
        <f t="shared" si="163"/>
        <v>0.91446167143216106</v>
      </c>
      <c r="DK80" s="163">
        <f t="shared" si="163"/>
        <v>1.0409879347457514</v>
      </c>
      <c r="DL80" s="163">
        <f t="shared" si="163"/>
        <v>1.073034673594113</v>
      </c>
      <c r="DM80" s="163">
        <f t="shared" si="163"/>
        <v>1.222705230371387</v>
      </c>
      <c r="DN80" s="163">
        <f t="shared" si="163"/>
        <v>1.1166210878573013</v>
      </c>
      <c r="DO80" s="163">
        <f t="shared" si="163"/>
        <v>1.4925314639190634</v>
      </c>
      <c r="DP80" s="163">
        <f t="shared" si="163"/>
        <v>1.5127557868954644</v>
      </c>
      <c r="DQ80" s="163">
        <f t="shared" si="163"/>
        <v>1.4216013040084354</v>
      </c>
      <c r="DR80" s="163">
        <f t="shared" si="163"/>
        <v>1.3536731139790046</v>
      </c>
      <c r="DS80" s="163">
        <f t="shared" si="163"/>
        <v>0.94019349898743843</v>
      </c>
      <c r="DT80" s="163">
        <f t="shared" si="163"/>
        <v>0.59525487854924897</v>
      </c>
      <c r="DU80" s="163">
        <f t="shared" si="163"/>
        <v>1.1153549341630455</v>
      </c>
      <c r="DV80" s="163">
        <f t="shared" si="163"/>
        <v>0.80471561905641575</v>
      </c>
      <c r="DW80" s="163">
        <f t="shared" si="163"/>
        <v>0.84031349415332857</v>
      </c>
      <c r="DX80" s="163">
        <f t="shared" si="163"/>
        <v>0.92310017693689961</v>
      </c>
      <c r="DY80" s="163">
        <f t="shared" si="163"/>
        <v>1.1288861329019382</v>
      </c>
      <c r="DZ80" s="163">
        <f t="shared" si="163"/>
        <v>1.1123900040312307</v>
      </c>
      <c r="EA80" s="163">
        <f t="shared" si="163"/>
        <v>0.9960919991011391</v>
      </c>
      <c r="EB80" s="163">
        <f t="shared" si="163"/>
        <v>0.6036245683864947</v>
      </c>
      <c r="EC80" s="163">
        <f t="shared" si="163"/>
        <v>1.1563608564327006</v>
      </c>
      <c r="ED80" s="163">
        <f t="shared" si="163"/>
        <v>1.3341364540745972</v>
      </c>
      <c r="EE80" s="163">
        <f t="shared" si="163"/>
        <v>1.2370524077881593</v>
      </c>
      <c r="EF80" s="163">
        <f t="shared" si="163"/>
        <v>1.2924700254956973</v>
      </c>
      <c r="EG80" s="163">
        <f t="shared" si="163"/>
        <v>1.2377091869942793</v>
      </c>
      <c r="EH80" s="163">
        <f t="shared" si="163"/>
        <v>1.0724414367121617</v>
      </c>
      <c r="EI80" s="163">
        <f t="shared" si="163"/>
        <v>0.79545865514334213</v>
      </c>
      <c r="EJ80" s="163">
        <f t="shared" si="163"/>
        <v>0.72194686087532689</v>
      </c>
      <c r="EK80" s="163">
        <f t="shared" si="163"/>
        <v>0.95704687116224751</v>
      </c>
      <c r="EL80" s="163">
        <f t="shared" si="163"/>
        <v>0.75745424133043304</v>
      </c>
      <c r="EM80" s="163">
        <f t="shared" si="163"/>
        <v>1.0143855193589641</v>
      </c>
      <c r="EN80" s="163">
        <f t="shared" si="163"/>
        <v>1</v>
      </c>
      <c r="EO80" s="163">
        <f t="shared" si="163"/>
        <v>0.88077668929875519</v>
      </c>
      <c r="EP80" s="97"/>
      <c r="EQ80" s="163">
        <f t="shared" ref="EQ80:FI80" si="164">EQ52/$FJ52</f>
        <v>1.0316228153499063</v>
      </c>
      <c r="ER80" s="163">
        <f t="shared" si="164"/>
        <v>1.4328913489491146</v>
      </c>
      <c r="ES80" s="163">
        <f t="shared" si="164"/>
        <v>1.1923458239838463</v>
      </c>
      <c r="ET80" s="163">
        <f t="shared" si="164"/>
        <v>0.7077210331072108</v>
      </c>
      <c r="EU80" s="163">
        <f t="shared" si="164"/>
        <v>0.91859008980660173</v>
      </c>
      <c r="EV80" s="163">
        <f t="shared" si="164"/>
        <v>0.71915085137825252</v>
      </c>
      <c r="EW80" s="163">
        <f t="shared" si="164"/>
        <v>0.76002646893066894</v>
      </c>
      <c r="EX80" s="163">
        <f t="shared" si="164"/>
        <v>1.0855166621125456</v>
      </c>
      <c r="EY80" s="163">
        <f t="shared" si="164"/>
        <v>1.2800260293257928</v>
      </c>
      <c r="EZ80" s="163">
        <f t="shared" si="164"/>
        <v>1.1632694851009913</v>
      </c>
      <c r="FA80" s="163">
        <f t="shared" si="164"/>
        <v>0.82888092063243368</v>
      </c>
      <c r="FB80" s="163">
        <f t="shared" si="164"/>
        <v>1.1460961135903853</v>
      </c>
      <c r="FC80" s="163">
        <f t="shared" si="164"/>
        <v>0.77592555175628752</v>
      </c>
      <c r="FD80" s="163">
        <f t="shared" si="164"/>
        <v>1.1421393712861201</v>
      </c>
      <c r="FE80" s="163">
        <f t="shared" si="164"/>
        <v>1.3022690854324732</v>
      </c>
      <c r="FF80" s="163">
        <f t="shared" si="164"/>
        <v>1</v>
      </c>
      <c r="FG80" s="163">
        <f t="shared" si="164"/>
        <v>0.98574916093862341</v>
      </c>
      <c r="FH80" s="163">
        <f t="shared" si="164"/>
        <v>0.69379830006880971</v>
      </c>
      <c r="FI80" s="163">
        <f t="shared" si="164"/>
        <v>0.77726254563146624</v>
      </c>
      <c r="FJ80" s="97"/>
    </row>
    <row r="81" spans="1:165" ht="15">
      <c r="A81" s="32"/>
      <c r="B81" s="20" t="s">
        <v>172</v>
      </c>
      <c r="C81" s="53">
        <f>AVERAGE(C76:C80)</f>
        <v>1.273996755658096</v>
      </c>
      <c r="D81" s="53">
        <f t="shared" ref="D81:T81" si="165">AVERAGE(D76:D80)</f>
        <v>0.9142976418387766</v>
      </c>
      <c r="E81" s="53">
        <f t="shared" si="165"/>
        <v>1.4999870625435847</v>
      </c>
      <c r="F81" s="53">
        <f t="shared" si="165"/>
        <v>1.4234147975773723</v>
      </c>
      <c r="G81" s="53">
        <f t="shared" si="165"/>
        <v>0.94466951092298213</v>
      </c>
      <c r="H81" s="53">
        <f t="shared" si="165"/>
        <v>1.0526678609147169</v>
      </c>
      <c r="I81" s="53">
        <f t="shared" si="165"/>
        <v>1.0640776496762492</v>
      </c>
      <c r="J81" s="53">
        <f t="shared" si="165"/>
        <v>1.6939841389990722</v>
      </c>
      <c r="K81" s="53">
        <f t="shared" si="165"/>
        <v>1.5622599933426267</v>
      </c>
      <c r="L81" s="53">
        <f t="shared" si="165"/>
        <v>1.0988687325439175</v>
      </c>
      <c r="M81" s="53">
        <f t="shared" si="165"/>
        <v>0.76687851332458989</v>
      </c>
      <c r="N81" s="53">
        <f t="shared" si="165"/>
        <v>0.75509692792784111</v>
      </c>
      <c r="O81" s="53">
        <f t="shared" si="165"/>
        <v>0.39381560400370219</v>
      </c>
      <c r="P81" s="53">
        <f t="shared" si="165"/>
        <v>0.65236136836975334</v>
      </c>
      <c r="Q81" s="53">
        <f t="shared" si="165"/>
        <v>0.29224650373461147</v>
      </c>
      <c r="R81" s="53">
        <f t="shared" si="165"/>
        <v>0.67565639165452829</v>
      </c>
      <c r="S81" s="53">
        <f t="shared" si="165"/>
        <v>0.82034273269296309</v>
      </c>
      <c r="T81" s="53">
        <f t="shared" si="165"/>
        <v>0.94825262549280853</v>
      </c>
      <c r="V81" s="58">
        <f>AVERAGE(V76:V80)</f>
        <v>1.33232872958078</v>
      </c>
      <c r="W81" s="58">
        <f t="shared" ref="W81:AT81" si="166">AVERAGE(W76:W80)</f>
        <v>1.3639803368434325</v>
      </c>
      <c r="X81" s="58">
        <f t="shared" si="166"/>
        <v>1.3799345998899095</v>
      </c>
      <c r="Y81" s="58">
        <f t="shared" si="166"/>
        <v>0.64838096195315986</v>
      </c>
      <c r="Z81" s="58">
        <f t="shared" si="166"/>
        <v>0.9619126964941227</v>
      </c>
      <c r="AA81" s="58">
        <f t="shared" si="166"/>
        <v>1.5811302988812515</v>
      </c>
      <c r="AB81" s="58">
        <f t="shared" si="166"/>
        <v>1.1340025781776166</v>
      </c>
      <c r="AC81" s="58">
        <f t="shared" si="166"/>
        <v>1.3695521625092684</v>
      </c>
      <c r="AD81" s="58">
        <f t="shared" si="166"/>
        <v>0.96937743625540285</v>
      </c>
      <c r="AE81" s="58">
        <f t="shared" si="166"/>
        <v>1.1653827067966904</v>
      </c>
      <c r="AF81" s="58">
        <f t="shared" si="166"/>
        <v>1.2766002294430527</v>
      </c>
      <c r="AG81" s="58">
        <f t="shared" si="166"/>
        <v>0.83824388510033165</v>
      </c>
      <c r="AH81" s="58">
        <f t="shared" si="166"/>
        <v>0.98618085865545491</v>
      </c>
      <c r="AI81" s="58">
        <f t="shared" si="166"/>
        <v>1.094196946612821</v>
      </c>
      <c r="AJ81" s="58">
        <f t="shared" si="166"/>
        <v>0.94274502256561232</v>
      </c>
      <c r="AK81" s="58">
        <f t="shared" si="166"/>
        <v>0.74402385379292379</v>
      </c>
      <c r="AL81" s="58">
        <f t="shared" si="166"/>
        <v>0.68197599295105105</v>
      </c>
      <c r="AM81" s="58">
        <f t="shared" si="166"/>
        <v>1.0575014505425684</v>
      </c>
      <c r="AN81" s="58">
        <f t="shared" si="166"/>
        <v>1.0526161647641645</v>
      </c>
      <c r="AO81" s="58">
        <f t="shared" si="166"/>
        <v>0.61980913373134217</v>
      </c>
      <c r="AP81" s="58">
        <f t="shared" si="166"/>
        <v>0.81213987998335357</v>
      </c>
      <c r="AQ81" s="58">
        <f t="shared" si="166"/>
        <v>0.80331020494464289</v>
      </c>
      <c r="AR81" s="58">
        <f t="shared" si="166"/>
        <v>0.90341662097906406</v>
      </c>
      <c r="AS81" s="58">
        <f t="shared" si="166"/>
        <v>1.1139803212935291</v>
      </c>
      <c r="AT81" s="58">
        <f t="shared" si="166"/>
        <v>0.92796470806797016</v>
      </c>
      <c r="AV81" s="57">
        <f>AVERAGE(AV76:AV80)</f>
        <v>0.49593370470676368</v>
      </c>
      <c r="AW81" s="57">
        <f t="shared" ref="AW81:CO81" si="167">AVERAGE(AW76:AW80)</f>
        <v>0.89542519935095854</v>
      </c>
      <c r="AX81" s="57">
        <f t="shared" si="167"/>
        <v>0.75596050238959978</v>
      </c>
      <c r="AY81" s="57">
        <f t="shared" si="167"/>
        <v>0.66418842130425371</v>
      </c>
      <c r="AZ81" s="57">
        <f t="shared" si="167"/>
        <v>0.59547806359520339</v>
      </c>
      <c r="BA81" s="57">
        <f t="shared" si="167"/>
        <v>0.93144808668939061</v>
      </c>
      <c r="BB81" s="57">
        <f t="shared" si="167"/>
        <v>1.2872667977201939</v>
      </c>
      <c r="BC81" s="57">
        <f t="shared" si="167"/>
        <v>1.2140684496756271</v>
      </c>
      <c r="BD81" s="57">
        <f t="shared" si="167"/>
        <v>0.92397833291320519</v>
      </c>
      <c r="BE81" s="57">
        <f t="shared" si="167"/>
        <v>0.88585719422386544</v>
      </c>
      <c r="BF81" s="57">
        <f t="shared" si="167"/>
        <v>1.0199597124113629</v>
      </c>
      <c r="BG81" s="57">
        <f t="shared" si="167"/>
        <v>1.0373040246433649</v>
      </c>
      <c r="BH81" s="57">
        <f t="shared" si="167"/>
        <v>1.0588610772057891</v>
      </c>
      <c r="BI81" s="57">
        <f t="shared" si="167"/>
        <v>1.0040774224417519</v>
      </c>
      <c r="BJ81" s="57">
        <f t="shared" si="167"/>
        <v>1.4611912157690832</v>
      </c>
      <c r="BK81" s="57">
        <f t="shared" si="167"/>
        <v>1.404215273910465</v>
      </c>
      <c r="BL81" s="57">
        <f t="shared" si="167"/>
        <v>1.2279833277673962</v>
      </c>
      <c r="BM81" s="57">
        <f t="shared" si="167"/>
        <v>1.1753025625449343</v>
      </c>
      <c r="BN81" s="57">
        <f t="shared" si="167"/>
        <v>0.93767128958165702</v>
      </c>
      <c r="BO81" s="57">
        <f t="shared" si="167"/>
        <v>0.96029653043324248</v>
      </c>
      <c r="BP81" s="57">
        <f t="shared" si="167"/>
        <v>0.95909197183014283</v>
      </c>
      <c r="BQ81" s="57">
        <f t="shared" si="167"/>
        <v>0.90254644089931957</v>
      </c>
      <c r="BR81" s="57">
        <f t="shared" si="167"/>
        <v>1.061498529212352</v>
      </c>
      <c r="BS81" s="57">
        <f t="shared" si="167"/>
        <v>1.0679219134848303</v>
      </c>
      <c r="BT81" s="57">
        <f t="shared" si="167"/>
        <v>1.0267480169477268</v>
      </c>
      <c r="BU81" s="57">
        <f t="shared" si="167"/>
        <v>0.9407860377515288</v>
      </c>
      <c r="BV81" s="57">
        <f t="shared" si="167"/>
        <v>1.0901660473902961</v>
      </c>
      <c r="BW81" s="57">
        <f t="shared" si="167"/>
        <v>1.1665944976862028</v>
      </c>
      <c r="BX81" s="57">
        <f t="shared" si="167"/>
        <v>1.2653082003155354</v>
      </c>
      <c r="BY81" s="57">
        <f t="shared" si="167"/>
        <v>1.3972706860081976</v>
      </c>
      <c r="BZ81" s="57">
        <f t="shared" si="167"/>
        <v>1.2278147347931543</v>
      </c>
      <c r="CA81" s="57">
        <f t="shared" si="167"/>
        <v>1.0877144420550913</v>
      </c>
      <c r="CB81" s="57">
        <f t="shared" si="167"/>
        <v>1.0333511366701917</v>
      </c>
      <c r="CC81" s="57">
        <f t="shared" si="167"/>
        <v>1.002943281506216</v>
      </c>
      <c r="CD81" s="57">
        <f t="shared" si="167"/>
        <v>1.1909567753598664</v>
      </c>
      <c r="CE81" s="57">
        <f t="shared" si="167"/>
        <v>1.1943626370127589</v>
      </c>
      <c r="CF81" s="57">
        <f t="shared" si="167"/>
        <v>1.1640908344571377</v>
      </c>
      <c r="CG81" s="57">
        <f t="shared" si="167"/>
        <v>0.6622201252814226</v>
      </c>
      <c r="CH81" s="57">
        <f t="shared" si="167"/>
        <v>0.5207853925246887</v>
      </c>
      <c r="CI81" s="57">
        <f t="shared" si="167"/>
        <v>0.95210563031947226</v>
      </c>
      <c r="CJ81" s="57">
        <f t="shared" si="167"/>
        <v>0.50647568918660646</v>
      </c>
      <c r="CK81" s="57">
        <f t="shared" si="167"/>
        <v>0.64226706769909048</v>
      </c>
      <c r="CL81" s="57">
        <f t="shared" si="167"/>
        <v>0.61077714549256223</v>
      </c>
      <c r="CM81" s="57">
        <f t="shared" si="167"/>
        <v>0.75419280352069973</v>
      </c>
      <c r="CN81" s="57">
        <f t="shared" si="167"/>
        <v>0.53427983072884799</v>
      </c>
      <c r="CO81" s="57">
        <f t="shared" si="167"/>
        <v>0.56734603886969559</v>
      </c>
      <c r="CQ81" s="58">
        <f>AVERAGE(CQ76:CQ80)</f>
        <v>0.90864917311048399</v>
      </c>
      <c r="CR81" s="58">
        <f t="shared" ref="CR81:EO81" si="168">AVERAGE(CR76:CR80)</f>
        <v>0.87148450190132309</v>
      </c>
      <c r="CS81" s="58">
        <f t="shared" si="168"/>
        <v>0.84412816447130046</v>
      </c>
      <c r="CT81" s="58">
        <f t="shared" si="168"/>
        <v>0.74556933281790361</v>
      </c>
      <c r="CU81" s="58">
        <f t="shared" si="168"/>
        <v>0.4362922152483934</v>
      </c>
      <c r="CV81" s="58">
        <f t="shared" si="168"/>
        <v>0.59014168343428164</v>
      </c>
      <c r="CW81" s="58">
        <f t="shared" si="168"/>
        <v>1.3125373249605692</v>
      </c>
      <c r="CX81" s="58">
        <f t="shared" si="168"/>
        <v>1.4999345292269433</v>
      </c>
      <c r="CY81" s="58">
        <f t="shared" si="168"/>
        <v>0.82652270257671723</v>
      </c>
      <c r="CZ81" s="58">
        <f t="shared" si="168"/>
        <v>1.0506426694091417</v>
      </c>
      <c r="DA81" s="58">
        <f t="shared" si="168"/>
        <v>1.0125679311166245</v>
      </c>
      <c r="DB81" s="58">
        <f t="shared" si="168"/>
        <v>1.2976670938310615</v>
      </c>
      <c r="DC81" s="58">
        <f t="shared" si="168"/>
        <v>0.81342266152853049</v>
      </c>
      <c r="DD81" s="58">
        <f t="shared" si="168"/>
        <v>1.0690182416772562</v>
      </c>
      <c r="DE81" s="58">
        <f t="shared" si="168"/>
        <v>1.5028731809230558</v>
      </c>
      <c r="DF81" s="58">
        <f t="shared" si="168"/>
        <v>1.5339286356660389</v>
      </c>
      <c r="DG81" s="58">
        <f t="shared" si="168"/>
        <v>0.9339920258085801</v>
      </c>
      <c r="DH81" s="58">
        <f t="shared" si="168"/>
        <v>0.69387390148371852</v>
      </c>
      <c r="DI81" s="58">
        <f t="shared" si="168"/>
        <v>0.68221683381188813</v>
      </c>
      <c r="DJ81" s="58">
        <f t="shared" si="168"/>
        <v>0.91928618945728591</v>
      </c>
      <c r="DK81" s="58">
        <f t="shared" si="168"/>
        <v>1.0253854868748074</v>
      </c>
      <c r="DL81" s="58">
        <f t="shared" si="168"/>
        <v>1.0333656486485208</v>
      </c>
      <c r="DM81" s="58">
        <f t="shared" si="168"/>
        <v>1.2005104566752991</v>
      </c>
      <c r="DN81" s="58">
        <f t="shared" si="168"/>
        <v>1.06582435841642</v>
      </c>
      <c r="DO81" s="58">
        <f t="shared" si="168"/>
        <v>1.4370209132605078</v>
      </c>
      <c r="DP81" s="58">
        <f t="shared" si="168"/>
        <v>1.3895140385079034</v>
      </c>
      <c r="DQ81" s="58">
        <f t="shared" si="168"/>
        <v>1.3650818592412448</v>
      </c>
      <c r="DR81" s="58">
        <f t="shared" si="168"/>
        <v>1.3408281726465321</v>
      </c>
      <c r="DS81" s="58">
        <f t="shared" si="168"/>
        <v>0.97146526668136701</v>
      </c>
      <c r="DT81" s="58">
        <f t="shared" si="168"/>
        <v>0.70429500216643182</v>
      </c>
      <c r="DU81" s="58">
        <f t="shared" si="168"/>
        <v>1.1365893932777684</v>
      </c>
      <c r="DV81" s="58">
        <f t="shared" si="168"/>
        <v>0.85307182956342831</v>
      </c>
      <c r="DW81" s="58">
        <f t="shared" si="168"/>
        <v>0.70657604426972509</v>
      </c>
      <c r="DX81" s="58">
        <f t="shared" si="168"/>
        <v>0.890873659105065</v>
      </c>
      <c r="DY81" s="58">
        <f t="shared" si="168"/>
        <v>1.0364019151532464</v>
      </c>
      <c r="DZ81" s="58">
        <f t="shared" si="168"/>
        <v>1.0998758101330277</v>
      </c>
      <c r="EA81" s="58">
        <f t="shared" si="168"/>
        <v>0.98085909500136115</v>
      </c>
      <c r="EB81" s="58">
        <f t="shared" si="168"/>
        <v>0.62254971302241435</v>
      </c>
      <c r="EC81" s="58">
        <f t="shared" si="168"/>
        <v>1.0792282811178908</v>
      </c>
      <c r="ED81" s="58">
        <f t="shared" si="168"/>
        <v>1.2910981848062661</v>
      </c>
      <c r="EE81" s="58">
        <f t="shared" si="168"/>
        <v>1.1388616918275922</v>
      </c>
      <c r="EF81" s="58">
        <f t="shared" si="168"/>
        <v>1.1972611189723892</v>
      </c>
      <c r="EG81" s="58">
        <f t="shared" si="168"/>
        <v>1.2076711297301375</v>
      </c>
      <c r="EH81" s="58">
        <f t="shared" si="168"/>
        <v>1.071841441469858</v>
      </c>
      <c r="EI81" s="58">
        <f t="shared" si="168"/>
        <v>0.83056848507091863</v>
      </c>
      <c r="EJ81" s="58">
        <f t="shared" si="168"/>
        <v>0.75326366907604558</v>
      </c>
      <c r="EK81" s="58">
        <f t="shared" si="168"/>
        <v>0.94262181072230811</v>
      </c>
      <c r="EL81" s="58">
        <f t="shared" si="168"/>
        <v>0.67174526705664339</v>
      </c>
      <c r="EM81" s="58">
        <f t="shared" si="168"/>
        <v>0.93724155650285113</v>
      </c>
      <c r="EN81" s="58">
        <f t="shared" si="168"/>
        <v>0.82693574603453013</v>
      </c>
      <c r="EO81" s="58">
        <f t="shared" si="168"/>
        <v>0.84450217204846412</v>
      </c>
      <c r="EQ81" s="58">
        <f>AVERAGE(EQ76:EQ80)</f>
        <v>1.0836974520422431</v>
      </c>
      <c r="ER81" s="58">
        <f t="shared" ref="ER81:FI81" si="169">AVERAGE(ER76:ER80)</f>
        <v>1.4430670991486305</v>
      </c>
      <c r="ES81" s="58">
        <f t="shared" si="169"/>
        <v>1.2465454544124781</v>
      </c>
      <c r="ET81" s="58">
        <f t="shared" si="169"/>
        <v>0.68552070632315654</v>
      </c>
      <c r="EU81" s="58">
        <f t="shared" si="169"/>
        <v>0.91436017512528556</v>
      </c>
      <c r="EV81" s="58">
        <f t="shared" si="169"/>
        <v>0.73407989771720938</v>
      </c>
      <c r="EW81" s="58">
        <f t="shared" si="169"/>
        <v>0.81802438609082695</v>
      </c>
      <c r="EX81" s="58">
        <f t="shared" si="169"/>
        <v>1.0841652387561085</v>
      </c>
      <c r="EY81" s="58">
        <f t="shared" si="169"/>
        <v>1.2809771543680655</v>
      </c>
      <c r="EZ81" s="58">
        <f t="shared" si="169"/>
        <v>1.0608361618830675</v>
      </c>
      <c r="FA81" s="58">
        <f t="shared" si="169"/>
        <v>0.81305640516694344</v>
      </c>
      <c r="FB81" s="58">
        <f t="shared" si="169"/>
        <v>1.195212963098087</v>
      </c>
      <c r="FC81" s="58">
        <f t="shared" si="169"/>
        <v>0.73749647818886055</v>
      </c>
      <c r="FD81" s="58">
        <f t="shared" si="169"/>
        <v>1.1785264340585764</v>
      </c>
      <c r="FE81" s="58">
        <f t="shared" si="169"/>
        <v>1.3850130061270547</v>
      </c>
      <c r="FF81" s="58">
        <f t="shared" si="169"/>
        <v>0.95429748707700668</v>
      </c>
      <c r="FG81" s="58">
        <f t="shared" si="169"/>
        <v>1.0234795199431637</v>
      </c>
      <c r="FH81" s="58">
        <f t="shared" si="169"/>
        <v>0.74929468959019674</v>
      </c>
      <c r="FI81" s="58">
        <f t="shared" si="169"/>
        <v>0.78785509592556413</v>
      </c>
    </row>
    <row r="82" spans="1:165" ht="15">
      <c r="A82" s="32"/>
      <c r="B82" s="20" t="s">
        <v>165</v>
      </c>
      <c r="C82" s="21">
        <f>_xlfn.STDEV.S(C76:C80)</f>
        <v>0.1257781177865516</v>
      </c>
      <c r="D82" s="21">
        <f t="shared" ref="D82:T82" si="170">_xlfn.STDEV.S(D76:D80)</f>
        <v>0.10599486440208716</v>
      </c>
      <c r="E82" s="21">
        <f t="shared" si="170"/>
        <v>5.655602543396944E-2</v>
      </c>
      <c r="F82" s="21">
        <f t="shared" si="170"/>
        <v>7.0425364692705453E-2</v>
      </c>
      <c r="G82" s="21">
        <f t="shared" si="170"/>
        <v>0.14758451048141999</v>
      </c>
      <c r="H82" s="21">
        <f t="shared" si="170"/>
        <v>6.2267469545431116E-2</v>
      </c>
      <c r="I82" s="21">
        <f t="shared" si="170"/>
        <v>3.7333833316826992E-2</v>
      </c>
      <c r="J82" s="21">
        <f t="shared" si="170"/>
        <v>6.8363778935571329E-2</v>
      </c>
      <c r="K82" s="21">
        <f t="shared" si="170"/>
        <v>8.4220606200415243E-2</v>
      </c>
      <c r="L82" s="21">
        <f t="shared" si="170"/>
        <v>0.17458580529627238</v>
      </c>
      <c r="M82" s="21">
        <f t="shared" si="170"/>
        <v>0.13036467632128421</v>
      </c>
      <c r="N82" s="21">
        <f t="shared" si="170"/>
        <v>0.42539860933209989</v>
      </c>
      <c r="O82" s="21">
        <f t="shared" si="170"/>
        <v>0.36354213354437936</v>
      </c>
      <c r="P82" s="21">
        <f t="shared" si="170"/>
        <v>4.7480520860617222E-2</v>
      </c>
      <c r="Q82" s="21">
        <f t="shared" si="170"/>
        <v>0.4023118344849928</v>
      </c>
      <c r="R82" s="21">
        <f t="shared" si="170"/>
        <v>0.10623407823402575</v>
      </c>
      <c r="S82" s="21">
        <f t="shared" si="170"/>
        <v>0.13194932459523423</v>
      </c>
      <c r="T82" s="21">
        <f t="shared" si="170"/>
        <v>0.20632769030267925</v>
      </c>
      <c r="V82" s="58">
        <f>_xlfn.STDEV.S(V76:V80)</f>
        <v>3.4886911377714221E-2</v>
      </c>
      <c r="W82" s="58">
        <f t="shared" ref="W82:AT82" si="171">_xlfn.STDEV.S(W76:W80)</f>
        <v>3.2938222752401616E-2</v>
      </c>
      <c r="X82" s="58">
        <f t="shared" si="171"/>
        <v>4.7127429276613876E-2</v>
      </c>
      <c r="Y82" s="58">
        <f t="shared" si="171"/>
        <v>7.3228989473277425E-2</v>
      </c>
      <c r="Z82" s="58">
        <f t="shared" si="171"/>
        <v>3.7480947440218668E-2</v>
      </c>
      <c r="AA82" s="58">
        <f t="shared" si="171"/>
        <v>8.1240309550491635E-2</v>
      </c>
      <c r="AB82" s="58">
        <f t="shared" si="171"/>
        <v>6.5006585149091051E-2</v>
      </c>
      <c r="AC82" s="58">
        <f t="shared" si="171"/>
        <v>4.7089020090095704E-2</v>
      </c>
      <c r="AD82" s="58">
        <f t="shared" si="171"/>
        <v>6.4805002248763857E-2</v>
      </c>
      <c r="AE82" s="58">
        <f t="shared" si="171"/>
        <v>7.7187062778220558E-2</v>
      </c>
      <c r="AF82" s="58">
        <f t="shared" si="171"/>
        <v>4.1573293191617143E-2</v>
      </c>
      <c r="AG82" s="58">
        <f t="shared" si="171"/>
        <v>5.6929750220777703E-2</v>
      </c>
      <c r="AH82" s="58">
        <f t="shared" si="171"/>
        <v>2.1212872817758594E-2</v>
      </c>
      <c r="AI82" s="58">
        <f t="shared" si="171"/>
        <v>6.0619013757389165E-2</v>
      </c>
      <c r="AJ82" s="58">
        <f t="shared" si="171"/>
        <v>7.8888359838642952E-2</v>
      </c>
      <c r="AK82" s="58">
        <f t="shared" si="171"/>
        <v>2.5193028197438707E-2</v>
      </c>
      <c r="AL82" s="58">
        <f t="shared" si="171"/>
        <v>6.7741114577481845E-2</v>
      </c>
      <c r="AM82" s="58">
        <f t="shared" si="171"/>
        <v>6.9003707112421292E-2</v>
      </c>
      <c r="AN82" s="58">
        <f t="shared" si="171"/>
        <v>4.4819471776362529E-2</v>
      </c>
      <c r="AO82" s="58">
        <f t="shared" si="171"/>
        <v>0.11188924747018208</v>
      </c>
      <c r="AP82" s="58">
        <f t="shared" si="171"/>
        <v>3.4654557055809401E-2</v>
      </c>
      <c r="AQ82" s="58">
        <f t="shared" si="171"/>
        <v>2.7987925143405562E-2</v>
      </c>
      <c r="AR82" s="58">
        <f t="shared" si="171"/>
        <v>1.3978916080920199E-2</v>
      </c>
      <c r="AS82" s="58">
        <f t="shared" si="171"/>
        <v>6.265036993636415E-2</v>
      </c>
      <c r="AT82" s="58">
        <f t="shared" si="171"/>
        <v>8.1024401337186192E-2</v>
      </c>
      <c r="AV82" s="58">
        <f>_xlfn.STDEV.S(AV76:AV80)</f>
        <v>5.7696679048070382E-2</v>
      </c>
      <c r="AW82" s="58">
        <f t="shared" ref="AW82:CO82" si="172">_xlfn.STDEV.S(AW76:AW80)</f>
        <v>2.1926211903712745E-2</v>
      </c>
      <c r="AX82" s="58">
        <f t="shared" si="172"/>
        <v>1.7083008391686375E-2</v>
      </c>
      <c r="AY82" s="58">
        <f t="shared" si="172"/>
        <v>3.6552690085081142E-2</v>
      </c>
      <c r="AZ82" s="58">
        <f t="shared" si="172"/>
        <v>8.6775759133615515E-2</v>
      </c>
      <c r="BA82" s="58">
        <f t="shared" si="172"/>
        <v>2.4848103551744886E-2</v>
      </c>
      <c r="BB82" s="58">
        <f t="shared" si="172"/>
        <v>2.0705974527460716E-2</v>
      </c>
      <c r="BC82" s="58">
        <f t="shared" si="172"/>
        <v>1.7416149305448853E-2</v>
      </c>
      <c r="BD82" s="58">
        <f t="shared" si="172"/>
        <v>6.1872135656715704E-2</v>
      </c>
      <c r="BE82" s="58">
        <f t="shared" si="172"/>
        <v>1.4594220502840856E-2</v>
      </c>
      <c r="BF82" s="58">
        <f t="shared" si="172"/>
        <v>3.6622143930259317E-2</v>
      </c>
      <c r="BG82" s="58">
        <f t="shared" si="172"/>
        <v>4.5114402840943119E-2</v>
      </c>
      <c r="BH82" s="58">
        <f t="shared" si="172"/>
        <v>3.9993307983685798E-2</v>
      </c>
      <c r="BI82" s="58">
        <f t="shared" si="172"/>
        <v>3.080993117862748E-2</v>
      </c>
      <c r="BJ82" s="58">
        <f t="shared" si="172"/>
        <v>5.0798382325693461E-2</v>
      </c>
      <c r="BK82" s="58">
        <f t="shared" si="172"/>
        <v>2.2627090303018751E-2</v>
      </c>
      <c r="BL82" s="58">
        <f t="shared" si="172"/>
        <v>1.5441645535402664E-2</v>
      </c>
      <c r="BM82" s="58">
        <f t="shared" si="172"/>
        <v>9.7294906016810612E-3</v>
      </c>
      <c r="BN82" s="58">
        <f t="shared" si="172"/>
        <v>3.894836943757473E-2</v>
      </c>
      <c r="BO82" s="58">
        <f t="shared" si="172"/>
        <v>4.5839742364879109E-2</v>
      </c>
      <c r="BP82" s="58">
        <f t="shared" si="172"/>
        <v>3.3232718080014351E-2</v>
      </c>
      <c r="BQ82" s="58">
        <f t="shared" si="172"/>
        <v>3.2393448970099922E-2</v>
      </c>
      <c r="BR82" s="58">
        <f t="shared" si="172"/>
        <v>2.3844006118095961E-2</v>
      </c>
      <c r="BS82" s="58">
        <f t="shared" si="172"/>
        <v>1.5805908818300397E-2</v>
      </c>
      <c r="BT82" s="58">
        <f t="shared" si="172"/>
        <v>6.9780472588054671E-2</v>
      </c>
      <c r="BU82" s="58">
        <f t="shared" si="172"/>
        <v>2.661611625461319E-2</v>
      </c>
      <c r="BV82" s="58">
        <f t="shared" si="172"/>
        <v>4.3491037078271906E-2</v>
      </c>
      <c r="BW82" s="58">
        <f t="shared" si="172"/>
        <v>4.3276097185523575E-2</v>
      </c>
      <c r="BX82" s="58">
        <f t="shared" si="172"/>
        <v>1.1205455560798307E-2</v>
      </c>
      <c r="BY82" s="58">
        <f t="shared" si="172"/>
        <v>1.3210403183708835E-2</v>
      </c>
      <c r="BZ82" s="58">
        <f t="shared" si="172"/>
        <v>7.3773657155812595E-3</v>
      </c>
      <c r="CA82" s="58">
        <f t="shared" si="172"/>
        <v>1.8291883039861755E-2</v>
      </c>
      <c r="CB82" s="58">
        <f t="shared" si="172"/>
        <v>1.5338354056977326E-2</v>
      </c>
      <c r="CC82" s="58">
        <f t="shared" si="172"/>
        <v>8.2304780830608024E-3</v>
      </c>
      <c r="CD82" s="58">
        <f t="shared" si="172"/>
        <v>3.2583961468586616E-2</v>
      </c>
      <c r="CE82" s="58">
        <f t="shared" si="172"/>
        <v>5.939452184951519E-3</v>
      </c>
      <c r="CF82" s="58">
        <f t="shared" si="172"/>
        <v>1.147326917573937E-2</v>
      </c>
      <c r="CG82" s="58">
        <f t="shared" si="172"/>
        <v>7.2255452385836125E-2</v>
      </c>
      <c r="CH82" s="58">
        <f t="shared" si="172"/>
        <v>5.5814670515009997E-2</v>
      </c>
      <c r="CI82" s="58">
        <f t="shared" si="172"/>
        <v>0.59690374242543387</v>
      </c>
      <c r="CJ82" s="58">
        <f t="shared" si="172"/>
        <v>0.23132090109910214</v>
      </c>
      <c r="CK82" s="58">
        <f t="shared" si="172"/>
        <v>0.24960540423420188</v>
      </c>
      <c r="CL82" s="58">
        <f t="shared" si="172"/>
        <v>6.3623899030109496E-2</v>
      </c>
      <c r="CM82" s="58">
        <f t="shared" si="172"/>
        <v>7.797567609418618E-2</v>
      </c>
      <c r="CN82" s="58">
        <f t="shared" si="172"/>
        <v>7.0702428978200643E-2</v>
      </c>
      <c r="CO82" s="58">
        <f t="shared" si="172"/>
        <v>0.14467983008355731</v>
      </c>
      <c r="CQ82" s="58">
        <f>_xlfn.STDEV.S(CQ76:CQ80)</f>
        <v>0.10842938011699491</v>
      </c>
      <c r="CR82" s="58">
        <f t="shared" ref="CR82:EO82" si="173">_xlfn.STDEV.S(CR76:CR80)</f>
        <v>6.4846855132413977E-2</v>
      </c>
      <c r="CS82" s="58">
        <f t="shared" si="173"/>
        <v>0.15494449688500089</v>
      </c>
      <c r="CT82" s="58">
        <f t="shared" si="173"/>
        <v>0.14374375235064429</v>
      </c>
      <c r="CU82" s="58">
        <f t="shared" si="173"/>
        <v>8.5516114820784528E-2</v>
      </c>
      <c r="CV82" s="58">
        <f t="shared" si="173"/>
        <v>0.10527186844171262</v>
      </c>
      <c r="CW82" s="58">
        <f t="shared" si="173"/>
        <v>9.0294737984557671E-2</v>
      </c>
      <c r="CX82" s="58">
        <f t="shared" si="173"/>
        <v>8.5013710261874417E-2</v>
      </c>
      <c r="CY82" s="58">
        <f t="shared" si="173"/>
        <v>0.11338403534472523</v>
      </c>
      <c r="CZ82" s="58">
        <f t="shared" si="173"/>
        <v>3.4371145877500342E-2</v>
      </c>
      <c r="DA82" s="58">
        <f t="shared" si="173"/>
        <v>0.13094013195381274</v>
      </c>
      <c r="DB82" s="58">
        <f t="shared" si="173"/>
        <v>3.2581481121412237E-2</v>
      </c>
      <c r="DC82" s="58">
        <f t="shared" si="173"/>
        <v>9.0469436962211117E-2</v>
      </c>
      <c r="DD82" s="58">
        <f t="shared" si="173"/>
        <v>4.3790727514446154E-2</v>
      </c>
      <c r="DE82" s="58">
        <f t="shared" si="173"/>
        <v>6.5353582931511972E-2</v>
      </c>
      <c r="DF82" s="58">
        <f t="shared" si="173"/>
        <v>4.8939289159499598E-2</v>
      </c>
      <c r="DG82" s="58">
        <f t="shared" si="173"/>
        <v>0.14601522575956952</v>
      </c>
      <c r="DH82" s="58">
        <f t="shared" si="173"/>
        <v>8.6996046914510766E-2</v>
      </c>
      <c r="DI82" s="58">
        <f t="shared" si="173"/>
        <v>0.13684240951176713</v>
      </c>
      <c r="DJ82" s="58">
        <f t="shared" si="173"/>
        <v>1.9064391398004005E-2</v>
      </c>
      <c r="DK82" s="58">
        <f t="shared" si="173"/>
        <v>4.0663815999900231E-2</v>
      </c>
      <c r="DL82" s="58">
        <f t="shared" si="173"/>
        <v>8.3736738191196217E-2</v>
      </c>
      <c r="DM82" s="58">
        <f t="shared" si="173"/>
        <v>2.8175255048526467E-2</v>
      </c>
      <c r="DN82" s="58">
        <f t="shared" si="173"/>
        <v>3.8190640414696726E-2</v>
      </c>
      <c r="DO82" s="58">
        <f t="shared" si="173"/>
        <v>3.7103799703914968E-2</v>
      </c>
      <c r="DP82" s="58">
        <f t="shared" si="173"/>
        <v>0.16400153084914998</v>
      </c>
      <c r="DQ82" s="58">
        <f t="shared" si="173"/>
        <v>5.2991372593439723E-2</v>
      </c>
      <c r="DR82" s="58">
        <f t="shared" si="173"/>
        <v>6.6912967157984685E-2</v>
      </c>
      <c r="DS82" s="58">
        <f t="shared" si="173"/>
        <v>0.10113581960884843</v>
      </c>
      <c r="DT82" s="58">
        <f t="shared" si="173"/>
        <v>7.9076579375208275E-2</v>
      </c>
      <c r="DU82" s="58">
        <f t="shared" si="173"/>
        <v>2.0020066948861846E-2</v>
      </c>
      <c r="DV82" s="58">
        <f t="shared" si="173"/>
        <v>9.7791213839503885E-2</v>
      </c>
      <c r="DW82" s="58">
        <f t="shared" si="173"/>
        <v>0.14017668305806663</v>
      </c>
      <c r="DX82" s="58">
        <f t="shared" si="173"/>
        <v>9.4827735989265402E-2</v>
      </c>
      <c r="DY82" s="58">
        <f t="shared" si="173"/>
        <v>7.2246925615542357E-2</v>
      </c>
      <c r="DZ82" s="58">
        <f t="shared" si="173"/>
        <v>2.941757685650594E-2</v>
      </c>
      <c r="EA82" s="58">
        <f t="shared" si="173"/>
        <v>8.8289016716072213E-2</v>
      </c>
      <c r="EB82" s="58">
        <f t="shared" si="173"/>
        <v>3.9878560352418192E-2</v>
      </c>
      <c r="EC82" s="58">
        <f t="shared" si="173"/>
        <v>5.2413550013188662E-2</v>
      </c>
      <c r="ED82" s="58">
        <f t="shared" si="173"/>
        <v>6.5766566490028822E-2</v>
      </c>
      <c r="EE82" s="58">
        <f t="shared" si="173"/>
        <v>8.4559285169571854E-2</v>
      </c>
      <c r="EF82" s="58">
        <f t="shared" si="173"/>
        <v>0.1200607853943939</v>
      </c>
      <c r="EG82" s="58">
        <f t="shared" si="173"/>
        <v>5.9598021932966962E-2</v>
      </c>
      <c r="EH82" s="58">
        <f t="shared" si="173"/>
        <v>3.3935061190371242E-2</v>
      </c>
      <c r="EI82" s="58">
        <f t="shared" si="173"/>
        <v>4.0166615198031247E-2</v>
      </c>
      <c r="EJ82" s="58">
        <f t="shared" si="173"/>
        <v>5.7965138702285493E-2</v>
      </c>
      <c r="EK82" s="58">
        <f t="shared" si="173"/>
        <v>4.705269240255551E-2</v>
      </c>
      <c r="EL82" s="58">
        <f t="shared" si="173"/>
        <v>7.9428648990693185E-2</v>
      </c>
      <c r="EM82" s="58">
        <f t="shared" si="173"/>
        <v>6.8424279591760145E-2</v>
      </c>
      <c r="EN82" s="58">
        <f t="shared" si="173"/>
        <v>0.11899958890661359</v>
      </c>
      <c r="EO82" s="58">
        <f t="shared" si="173"/>
        <v>9.4982866776290656E-2</v>
      </c>
      <c r="EQ82" s="58">
        <f>_xlfn.STDEV.S(EQ77:EQ80)</f>
        <v>0.1314661487486595</v>
      </c>
      <c r="ER82" s="58">
        <f t="shared" ref="ER82:FI82" si="174">_xlfn.STDEV.S(ER77:ER80)</f>
        <v>0.18032626814443803</v>
      </c>
      <c r="ES82" s="58">
        <f t="shared" si="174"/>
        <v>0.17752453564765047</v>
      </c>
      <c r="ET82" s="58">
        <f t="shared" si="174"/>
        <v>5.1807327218268008E-2</v>
      </c>
      <c r="EU82" s="58">
        <f t="shared" si="174"/>
        <v>6.3156948932901705E-2</v>
      </c>
      <c r="EV82" s="58">
        <f t="shared" si="174"/>
        <v>0.13425208453537105</v>
      </c>
      <c r="EW82" s="58">
        <f t="shared" si="174"/>
        <v>4.216412388595716E-2</v>
      </c>
      <c r="EX82" s="58">
        <f t="shared" si="174"/>
        <v>9.377450136121368E-2</v>
      </c>
      <c r="EY82" s="58">
        <f t="shared" si="174"/>
        <v>0.16285938744233341</v>
      </c>
      <c r="EZ82" s="58">
        <f t="shared" si="174"/>
        <v>7.4509326523015548E-2</v>
      </c>
      <c r="FA82" s="58">
        <f t="shared" si="174"/>
        <v>0.10950278706535221</v>
      </c>
      <c r="FB82" s="58">
        <f t="shared" si="174"/>
        <v>0.1733753947972706</v>
      </c>
      <c r="FC82" s="58">
        <f t="shared" si="174"/>
        <v>5.2504428661186237E-2</v>
      </c>
      <c r="FD82" s="58">
        <f t="shared" si="174"/>
        <v>0.15061608388177561</v>
      </c>
      <c r="FE82" s="58">
        <f t="shared" si="174"/>
        <v>0.19475075946136797</v>
      </c>
      <c r="FF82" s="58">
        <f t="shared" si="174"/>
        <v>0.1281078516034658</v>
      </c>
      <c r="FG82" s="58">
        <f t="shared" si="174"/>
        <v>0.1645260933069039</v>
      </c>
      <c r="FH82" s="58">
        <f t="shared" si="174"/>
        <v>0.13785127856787821</v>
      </c>
      <c r="FI82" s="58">
        <f t="shared" si="174"/>
        <v>0.17284256925224109</v>
      </c>
    </row>
    <row r="84" spans="1:165" ht="15">
      <c r="A84" s="25" t="s">
        <v>189</v>
      </c>
      <c r="B84" s="23" t="s">
        <v>176</v>
      </c>
      <c r="C84" s="191">
        <f>TTEST(C64:C69,C76:C80,2,3)</f>
        <v>2.2248601399637455E-2</v>
      </c>
      <c r="D84" s="67">
        <f t="shared" ref="D84:BO84" si="175">TTEST(D64:D69,D76:D80,2,3)</f>
        <v>0.78085884650319648</v>
      </c>
      <c r="E84" s="191">
        <f t="shared" si="175"/>
        <v>7.7199354974526223E-4</v>
      </c>
      <c r="F84" s="67">
        <f t="shared" si="175"/>
        <v>0.85207355423996733</v>
      </c>
      <c r="G84" s="67">
        <f t="shared" si="175"/>
        <v>0.93209052754623611</v>
      </c>
      <c r="H84" s="67">
        <f t="shared" si="175"/>
        <v>0.23455666003889594</v>
      </c>
      <c r="I84" s="191">
        <f t="shared" si="175"/>
        <v>4.9773350929790218E-2</v>
      </c>
      <c r="J84" s="67">
        <f t="shared" si="175"/>
        <v>0.10743377026295066</v>
      </c>
      <c r="K84" s="66">
        <f t="shared" si="175"/>
        <v>4.4696381337583586E-2</v>
      </c>
      <c r="L84" s="67">
        <f t="shared" si="175"/>
        <v>0.61070649072046279</v>
      </c>
      <c r="M84" s="67">
        <f t="shared" si="175"/>
        <v>0.78541398355712988</v>
      </c>
      <c r="N84" s="67">
        <f t="shared" si="175"/>
        <v>0.94187335906450476</v>
      </c>
      <c r="O84" s="67">
        <f t="shared" si="175"/>
        <v>0.36257212520632348</v>
      </c>
      <c r="P84" s="67">
        <f t="shared" si="175"/>
        <v>0.53189740909954453</v>
      </c>
      <c r="Q84" s="67">
        <f t="shared" si="175"/>
        <v>0.38549236611286269</v>
      </c>
      <c r="R84" s="67">
        <f t="shared" si="175"/>
        <v>0.46797786007595066</v>
      </c>
      <c r="S84" s="191">
        <f t="shared" si="175"/>
        <v>3.5151255373773518E-2</v>
      </c>
      <c r="T84" s="67">
        <f t="shared" si="175"/>
        <v>0.80995231189115158</v>
      </c>
      <c r="U84" s="67"/>
      <c r="V84" s="67">
        <f t="shared" si="175"/>
        <v>0.88731942154933663</v>
      </c>
      <c r="W84" s="67">
        <f t="shared" si="175"/>
        <v>0.36648965301284697</v>
      </c>
      <c r="X84" s="67">
        <f t="shared" si="175"/>
        <v>0.99292400037390793</v>
      </c>
      <c r="Y84" s="67">
        <f t="shared" si="175"/>
        <v>0.53033654746080772</v>
      </c>
      <c r="Z84" s="67">
        <f t="shared" si="175"/>
        <v>0.45939651643053103</v>
      </c>
      <c r="AA84" s="67">
        <f t="shared" si="175"/>
        <v>0.46603723464556757</v>
      </c>
      <c r="AB84" s="67">
        <f t="shared" si="175"/>
        <v>0.62848182756989601</v>
      </c>
      <c r="AC84" s="67">
        <f t="shared" si="175"/>
        <v>0.39529899849384459</v>
      </c>
      <c r="AD84" s="67">
        <f t="shared" si="175"/>
        <v>0.43079247433186685</v>
      </c>
      <c r="AE84" s="67">
        <f t="shared" si="175"/>
        <v>0.49664107876921482</v>
      </c>
      <c r="AF84" s="67">
        <f t="shared" si="175"/>
        <v>0.93143223890277738</v>
      </c>
      <c r="AG84" s="67">
        <f t="shared" si="175"/>
        <v>0.69682263487895446</v>
      </c>
      <c r="AH84" s="67">
        <f t="shared" si="175"/>
        <v>0.47100118547720848</v>
      </c>
      <c r="AI84" s="67">
        <f t="shared" si="175"/>
        <v>0.55379420688592895</v>
      </c>
      <c r="AJ84" s="67">
        <f t="shared" si="175"/>
        <v>0.72748890114587095</v>
      </c>
      <c r="AK84" s="67">
        <f t="shared" si="175"/>
        <v>0.37558186313290193</v>
      </c>
      <c r="AL84" s="67">
        <f t="shared" si="175"/>
        <v>0.49503847911259147</v>
      </c>
      <c r="AM84" s="67">
        <f t="shared" si="175"/>
        <v>0.45426999561265258</v>
      </c>
      <c r="AN84" s="67">
        <f t="shared" si="175"/>
        <v>0.40080673137612205</v>
      </c>
      <c r="AO84" s="67">
        <f t="shared" si="175"/>
        <v>0.86925915902971396</v>
      </c>
      <c r="AP84" s="67">
        <f t="shared" si="175"/>
        <v>0.50090060773069034</v>
      </c>
      <c r="AQ84" s="67">
        <f t="shared" si="175"/>
        <v>0.62941902703779895</v>
      </c>
      <c r="AR84" s="67">
        <f t="shared" si="175"/>
        <v>0.55900225683235671</v>
      </c>
      <c r="AS84" s="67">
        <f t="shared" si="175"/>
        <v>0.77352704628106017</v>
      </c>
      <c r="AT84" s="67">
        <f t="shared" si="175"/>
        <v>0.99598132273174567</v>
      </c>
      <c r="AU84" s="67"/>
      <c r="AV84" s="67">
        <f t="shared" si="175"/>
        <v>0.31049433189251474</v>
      </c>
      <c r="AW84" s="67">
        <f t="shared" si="175"/>
        <v>0.79103074137070051</v>
      </c>
      <c r="AX84" s="67">
        <f t="shared" si="175"/>
        <v>0.78862199830146162</v>
      </c>
      <c r="AY84" s="66">
        <f t="shared" si="175"/>
        <v>4.9540479678383716E-2</v>
      </c>
      <c r="AZ84" s="67">
        <f t="shared" si="175"/>
        <v>0.69526847533986524</v>
      </c>
      <c r="BA84" s="67">
        <f t="shared" si="175"/>
        <v>0.11259330844662183</v>
      </c>
      <c r="BB84" s="67">
        <f t="shared" si="175"/>
        <v>0.75324964111753601</v>
      </c>
      <c r="BC84" s="66">
        <f t="shared" si="175"/>
        <v>3.3149769377813464E-3</v>
      </c>
      <c r="BD84" s="66">
        <f t="shared" si="175"/>
        <v>2.2839362022461517E-2</v>
      </c>
      <c r="BE84" s="66">
        <f t="shared" si="175"/>
        <v>5.4224888060612226E-4</v>
      </c>
      <c r="BF84" s="67">
        <f t="shared" si="175"/>
        <v>0.89206777805113724</v>
      </c>
      <c r="BG84" s="67">
        <f t="shared" si="175"/>
        <v>0.23231814594224104</v>
      </c>
      <c r="BH84" s="67">
        <f t="shared" si="175"/>
        <v>0.43183726706459136</v>
      </c>
      <c r="BI84" s="67">
        <f t="shared" si="175"/>
        <v>9.7841440210646877E-2</v>
      </c>
      <c r="BJ84" s="67">
        <f t="shared" si="175"/>
        <v>0.20050344014910459</v>
      </c>
      <c r="BK84" s="67">
        <f t="shared" si="175"/>
        <v>0.63676565261885365</v>
      </c>
      <c r="BL84" s="67">
        <f t="shared" si="175"/>
        <v>0.25144137899331243</v>
      </c>
      <c r="BM84" s="66">
        <f t="shared" si="175"/>
        <v>2.220728374099731E-2</v>
      </c>
      <c r="BN84" s="67">
        <f t="shared" si="175"/>
        <v>8.5772134057334026E-2</v>
      </c>
      <c r="BO84" s="66">
        <f t="shared" si="175"/>
        <v>1.931248245820933E-2</v>
      </c>
      <c r="BP84" s="67">
        <f t="shared" ref="BP84:EA84" si="176">TTEST(BP64:BP69,BP76:BP80,2,3)</f>
        <v>0.13686159623302868</v>
      </c>
      <c r="BQ84" s="67">
        <f t="shared" si="176"/>
        <v>0.12683830028398707</v>
      </c>
      <c r="BR84" s="67">
        <f t="shared" si="176"/>
        <v>0.24924394975135156</v>
      </c>
      <c r="BS84" s="67">
        <f t="shared" si="176"/>
        <v>0.1838899560249245</v>
      </c>
      <c r="BT84" s="67">
        <f t="shared" si="176"/>
        <v>0.65406365246588738</v>
      </c>
      <c r="BU84" s="66">
        <f t="shared" si="176"/>
        <v>4.0580628046270474E-2</v>
      </c>
      <c r="BV84" s="66">
        <f t="shared" si="176"/>
        <v>2.8573341876009517E-2</v>
      </c>
      <c r="BW84" s="66">
        <f t="shared" si="176"/>
        <v>1.9142013078482293E-2</v>
      </c>
      <c r="BX84" s="67">
        <f t="shared" si="176"/>
        <v>0.78578300339067442</v>
      </c>
      <c r="BY84" s="67">
        <f t="shared" si="176"/>
        <v>0.55236979124786134</v>
      </c>
      <c r="BZ84" s="67">
        <f t="shared" si="176"/>
        <v>0.31354867497103595</v>
      </c>
      <c r="CA84" s="67">
        <f t="shared" si="176"/>
        <v>0.6679783452486191</v>
      </c>
      <c r="CB84" s="66">
        <f t="shared" si="176"/>
        <v>3.760008608507013E-3</v>
      </c>
      <c r="CC84" s="66">
        <f t="shared" si="176"/>
        <v>1.4135777914775495E-2</v>
      </c>
      <c r="CD84" s="66">
        <f t="shared" si="176"/>
        <v>4.8804443458339071E-2</v>
      </c>
      <c r="CE84" s="67">
        <f t="shared" si="176"/>
        <v>7.1595621529774764E-2</v>
      </c>
      <c r="CF84" s="67">
        <f t="shared" si="176"/>
        <v>0.15184140320421724</v>
      </c>
      <c r="CG84" s="67">
        <f t="shared" si="176"/>
        <v>0.85620542888085582</v>
      </c>
      <c r="CH84" s="67">
        <f t="shared" si="176"/>
        <v>0.64726311660176039</v>
      </c>
      <c r="CI84" s="67">
        <f t="shared" si="176"/>
        <v>0.3724777465164627</v>
      </c>
      <c r="CJ84" s="67">
        <f t="shared" si="176"/>
        <v>0.5454830028623936</v>
      </c>
      <c r="CK84" s="67">
        <f t="shared" si="176"/>
        <v>0.45325145207529699</v>
      </c>
      <c r="CL84" s="67">
        <f t="shared" si="176"/>
        <v>0.76995709035701809</v>
      </c>
      <c r="CM84" s="67">
        <f t="shared" si="176"/>
        <v>0.31418997065400028</v>
      </c>
      <c r="CN84" s="67">
        <f t="shared" si="176"/>
        <v>0.88591241500627449</v>
      </c>
      <c r="CO84" s="67">
        <f t="shared" si="176"/>
        <v>0.63989353096655521</v>
      </c>
      <c r="CP84" s="67"/>
      <c r="CQ84" s="67">
        <f t="shared" si="176"/>
        <v>0.3955009843513223</v>
      </c>
      <c r="CR84" s="67">
        <f t="shared" si="176"/>
        <v>0.85928248390443862</v>
      </c>
      <c r="CS84" s="67">
        <f t="shared" si="176"/>
        <v>0.63410002484400896</v>
      </c>
      <c r="CT84" s="67">
        <f t="shared" si="176"/>
        <v>0.85066655130688074</v>
      </c>
      <c r="CU84" s="67">
        <f t="shared" si="176"/>
        <v>0.19251184791114143</v>
      </c>
      <c r="CV84" s="67">
        <f t="shared" si="176"/>
        <v>0.98784663181330723</v>
      </c>
      <c r="CW84" s="67">
        <f t="shared" si="176"/>
        <v>0.62119200168328259</v>
      </c>
      <c r="CX84" s="67">
        <f t="shared" si="176"/>
        <v>0.65545155517975817</v>
      </c>
      <c r="CY84" s="67">
        <f t="shared" si="176"/>
        <v>0.28619607494793237</v>
      </c>
      <c r="CZ84" s="67">
        <f t="shared" si="176"/>
        <v>0.84235036139890318</v>
      </c>
      <c r="DA84" s="67">
        <f t="shared" si="176"/>
        <v>0.70533792644217463</v>
      </c>
      <c r="DB84" s="195">
        <f t="shared" si="176"/>
        <v>8.5685576050545942E-3</v>
      </c>
      <c r="DC84" s="191">
        <f t="shared" si="176"/>
        <v>7.062792635084446E-3</v>
      </c>
      <c r="DD84" s="67">
        <f t="shared" si="176"/>
        <v>0.97125522958468591</v>
      </c>
      <c r="DE84" s="67">
        <f t="shared" si="176"/>
        <v>0.37678434668227218</v>
      </c>
      <c r="DF84" s="67">
        <f t="shared" si="176"/>
        <v>7.6966947125948079E-2</v>
      </c>
      <c r="DG84" s="67">
        <f t="shared" si="176"/>
        <v>0.54516976852649179</v>
      </c>
      <c r="DH84" s="67">
        <f t="shared" si="176"/>
        <v>0.65286870400124497</v>
      </c>
      <c r="DI84" s="67">
        <f t="shared" si="176"/>
        <v>0.88727925310874722</v>
      </c>
      <c r="DJ84" s="67">
        <f t="shared" si="176"/>
        <v>0.95010637299606993</v>
      </c>
      <c r="DK84" s="66">
        <f t="shared" si="176"/>
        <v>1.7423607033549095E-2</v>
      </c>
      <c r="DL84" s="67">
        <f t="shared" si="176"/>
        <v>9.8552777940002154E-2</v>
      </c>
      <c r="DM84" s="67">
        <f t="shared" si="176"/>
        <v>0.13084940890394087</v>
      </c>
      <c r="DN84" s="67">
        <f t="shared" si="176"/>
        <v>0.19727689435634421</v>
      </c>
      <c r="DO84" s="67">
        <f t="shared" si="176"/>
        <v>5.898124485544165E-2</v>
      </c>
      <c r="DP84" s="67">
        <f t="shared" si="176"/>
        <v>0.49194884399367045</v>
      </c>
      <c r="DQ84" s="67">
        <f t="shared" si="176"/>
        <v>0.32205829559986821</v>
      </c>
      <c r="DR84" s="67">
        <f t="shared" si="176"/>
        <v>0.64238400794326056</v>
      </c>
      <c r="DS84" s="67">
        <f t="shared" si="176"/>
        <v>0.16355944441606782</v>
      </c>
      <c r="DT84" s="67">
        <f t="shared" si="176"/>
        <v>0.41298664950813668</v>
      </c>
      <c r="DU84" s="67">
        <f t="shared" si="176"/>
        <v>0.20540901943753484</v>
      </c>
      <c r="DV84" s="67">
        <f t="shared" si="176"/>
        <v>0.91134055483510501</v>
      </c>
      <c r="DW84" s="67">
        <f t="shared" si="176"/>
        <v>0.68513196933680631</v>
      </c>
      <c r="DX84" s="67">
        <f t="shared" si="176"/>
        <v>0.28599062844956941</v>
      </c>
      <c r="DY84" s="67">
        <f t="shared" si="176"/>
        <v>6.9360019696550868E-2</v>
      </c>
      <c r="DZ84" s="67">
        <f t="shared" si="176"/>
        <v>9.2474473292549292E-2</v>
      </c>
      <c r="EA84" s="67">
        <f t="shared" si="176"/>
        <v>8.8255680374845935E-2</v>
      </c>
      <c r="EB84" s="191">
        <f t="shared" ref="EB84:FI84" si="177">TTEST(EB64:EB69,EB76:EB80,2,3)</f>
        <v>1.0911427993716845E-2</v>
      </c>
      <c r="EC84" s="67">
        <f t="shared" si="177"/>
        <v>0.84203603706975116</v>
      </c>
      <c r="ED84" s="67">
        <f t="shared" si="177"/>
        <v>0.62036795126414668</v>
      </c>
      <c r="EE84" s="67">
        <f t="shared" si="177"/>
        <v>0.72565424541963419</v>
      </c>
      <c r="EF84" s="67">
        <f t="shared" si="177"/>
        <v>0.20107440579797939</v>
      </c>
      <c r="EG84" s="67">
        <f t="shared" si="177"/>
        <v>0.87207225352567896</v>
      </c>
      <c r="EH84" s="67">
        <f t="shared" si="177"/>
        <v>0.7509639148339895</v>
      </c>
      <c r="EI84" s="67">
        <f t="shared" si="177"/>
        <v>0.48619518536032458</v>
      </c>
      <c r="EJ84" s="67">
        <f t="shared" si="177"/>
        <v>0.41949419569601709</v>
      </c>
      <c r="EK84" s="67">
        <f t="shared" si="177"/>
        <v>5.12348951220645E-2</v>
      </c>
      <c r="EL84" s="67">
        <f t="shared" si="177"/>
        <v>0.8268150841208326</v>
      </c>
      <c r="EM84" s="67">
        <f t="shared" si="177"/>
        <v>5.5400538550923105E-2</v>
      </c>
      <c r="EN84" s="67">
        <f t="shared" si="177"/>
        <v>0.6547769982592373</v>
      </c>
      <c r="EO84" s="67">
        <f t="shared" si="177"/>
        <v>9.3738207082553884E-2</v>
      </c>
      <c r="EP84" s="67"/>
      <c r="EQ84" s="67">
        <f t="shared" si="177"/>
        <v>0.79071782307424565</v>
      </c>
      <c r="ER84" s="67">
        <f t="shared" si="177"/>
        <v>0.63919011305413065</v>
      </c>
      <c r="ES84" s="67">
        <f t="shared" si="177"/>
        <v>0.8069103805951231</v>
      </c>
      <c r="ET84" s="67">
        <f t="shared" si="177"/>
        <v>0.13113920387404207</v>
      </c>
      <c r="EU84" s="67">
        <f t="shared" si="177"/>
        <v>0.27011493478366438</v>
      </c>
      <c r="EV84" s="67">
        <f t="shared" si="177"/>
        <v>0.57910940999783989</v>
      </c>
      <c r="EW84" s="67">
        <f t="shared" si="177"/>
        <v>0.14670835854281894</v>
      </c>
      <c r="EX84" s="67">
        <f t="shared" si="177"/>
        <v>0.54894691687083208</v>
      </c>
      <c r="EY84" s="67">
        <f t="shared" si="177"/>
        <v>0.73154433097917893</v>
      </c>
      <c r="EZ84" s="67">
        <f t="shared" si="177"/>
        <v>0.24798057398519738</v>
      </c>
      <c r="FA84" s="67">
        <f t="shared" si="177"/>
        <v>0.94694338929120025</v>
      </c>
      <c r="FB84" s="67">
        <f t="shared" si="177"/>
        <v>0.26058310828727055</v>
      </c>
      <c r="FC84" s="67">
        <f t="shared" si="177"/>
        <v>0.42421557769509688</v>
      </c>
      <c r="FD84" s="67">
        <f t="shared" si="177"/>
        <v>0.69100562714838265</v>
      </c>
      <c r="FE84" s="67">
        <f t="shared" si="177"/>
        <v>0.75943254889693568</v>
      </c>
      <c r="FF84" s="67">
        <f t="shared" si="177"/>
        <v>0.56033884033683479</v>
      </c>
      <c r="FG84" s="67">
        <f t="shared" si="177"/>
        <v>0.48624727097539666</v>
      </c>
      <c r="FH84" s="67">
        <f t="shared" si="177"/>
        <v>0.10364689007669166</v>
      </c>
      <c r="FI84" s="67">
        <f t="shared" si="177"/>
        <v>0.731173236645275</v>
      </c>
    </row>
    <row r="85" spans="1:165">
      <c r="C85" s="192">
        <f>C81/C70</f>
        <v>0.86838219123129945</v>
      </c>
      <c r="D85" s="68">
        <f t="shared" ref="D85:BO85" si="178">D81/D70</f>
        <v>1.025101711848988</v>
      </c>
      <c r="E85" s="192">
        <f t="shared" si="178"/>
        <v>0.88719028578652714</v>
      </c>
      <c r="F85" s="68">
        <f t="shared" si="178"/>
        <v>1.0149779961529135</v>
      </c>
      <c r="G85" s="68">
        <f t="shared" si="178"/>
        <v>0.9894398962518266</v>
      </c>
      <c r="H85" s="68">
        <f t="shared" si="178"/>
        <v>1.0726688464518743</v>
      </c>
      <c r="I85" s="192">
        <f t="shared" si="178"/>
        <v>1.1366194478202989</v>
      </c>
      <c r="J85" s="68">
        <f t="shared" si="178"/>
        <v>0.93615754129460071</v>
      </c>
      <c r="K85" s="69">
        <f t="shared" si="178"/>
        <v>0.91180538692306567</v>
      </c>
      <c r="L85" s="68">
        <f t="shared" si="178"/>
        <v>0.94151553379105579</v>
      </c>
      <c r="M85" s="68">
        <f t="shared" si="178"/>
        <v>0.96345629534021571</v>
      </c>
      <c r="N85" s="68">
        <f t="shared" si="178"/>
        <v>1.0248949332116917</v>
      </c>
      <c r="O85" s="68">
        <f t="shared" si="178"/>
        <v>0.66512213192570213</v>
      </c>
      <c r="P85" s="68">
        <f t="shared" si="178"/>
        <v>1.1448848764168085</v>
      </c>
      <c r="Q85" s="68">
        <f t="shared" si="178"/>
        <v>2.912240535280572</v>
      </c>
      <c r="R85" s="68">
        <f t="shared" si="178"/>
        <v>0.93331907704906503</v>
      </c>
      <c r="S85" s="192">
        <f t="shared" si="178"/>
        <v>0.81890797399352189</v>
      </c>
      <c r="T85" s="68">
        <f t="shared" si="178"/>
        <v>1.0335935770680973</v>
      </c>
      <c r="V85" s="68">
        <f t="shared" si="178"/>
        <v>0.99777222313502423</v>
      </c>
      <c r="W85" s="68">
        <f t="shared" si="178"/>
        <v>0.90928137827763034</v>
      </c>
      <c r="X85" s="68">
        <f t="shared" si="178"/>
        <v>0.99981975553363178</v>
      </c>
      <c r="Y85" s="68">
        <f t="shared" si="178"/>
        <v>0.94668299992199345</v>
      </c>
      <c r="Z85" s="68">
        <f t="shared" si="178"/>
        <v>0.97281198640111499</v>
      </c>
      <c r="AA85" s="68">
        <f t="shared" si="178"/>
        <v>0.9658130452568523</v>
      </c>
      <c r="AB85" s="68">
        <f t="shared" si="178"/>
        <v>1.0195268206885892</v>
      </c>
      <c r="AC85" s="68">
        <f t="shared" si="178"/>
        <v>1.0470506673202917</v>
      </c>
      <c r="AD85" s="68">
        <f t="shared" si="178"/>
        <v>1.0624171493878194</v>
      </c>
      <c r="AE85" s="68">
        <f t="shared" si="178"/>
        <v>1.0402207930065535</v>
      </c>
      <c r="AF85" s="68">
        <f t="shared" si="178"/>
        <v>0.99832833461610981</v>
      </c>
      <c r="AG85" s="68">
        <f t="shared" si="178"/>
        <v>1.017544066274469</v>
      </c>
      <c r="AH85" s="68">
        <f t="shared" si="178"/>
        <v>1.0146062493663019</v>
      </c>
      <c r="AI85" s="68">
        <f t="shared" si="178"/>
        <v>1.0256175081282974</v>
      </c>
      <c r="AJ85" s="68">
        <f t="shared" si="178"/>
        <v>1.0189846578027655</v>
      </c>
      <c r="AK85" s="68">
        <f t="shared" si="178"/>
        <v>1.0774083387158169</v>
      </c>
      <c r="AL85" s="68">
        <f t="shared" si="178"/>
        <v>1.0620834521872624</v>
      </c>
      <c r="AM85" s="68">
        <f t="shared" si="178"/>
        <v>1.0508074278999016</v>
      </c>
      <c r="AN85" s="68">
        <f t="shared" si="178"/>
        <v>1.0540237411930238</v>
      </c>
      <c r="AO85" s="68">
        <f t="shared" si="178"/>
        <v>1.0182789083931536</v>
      </c>
      <c r="AP85" s="68">
        <f t="shared" si="178"/>
        <v>1.0250011893214261</v>
      </c>
      <c r="AQ85" s="68">
        <f t="shared" si="178"/>
        <v>1.0117338388944299</v>
      </c>
      <c r="AR85" s="68">
        <f t="shared" si="178"/>
        <v>0.99321981803480985</v>
      </c>
      <c r="AS85" s="68">
        <f t="shared" si="178"/>
        <v>1.010200450770768</v>
      </c>
      <c r="AT85" s="68">
        <f t="shared" si="178"/>
        <v>1.0002618195001858</v>
      </c>
      <c r="AV85" s="68">
        <f t="shared" si="178"/>
        <v>0.90275218733049489</v>
      </c>
      <c r="AW85" s="68">
        <f t="shared" si="178"/>
        <v>1.0050313235803774</v>
      </c>
      <c r="AX85" s="68">
        <f t="shared" si="178"/>
        <v>0.99211509027102618</v>
      </c>
      <c r="AY85" s="69">
        <f t="shared" si="178"/>
        <v>0.92661426849423068</v>
      </c>
      <c r="AZ85" s="68">
        <f t="shared" si="178"/>
        <v>0.96869195282114973</v>
      </c>
      <c r="BA85" s="68">
        <f t="shared" si="178"/>
        <v>0.94101786016686695</v>
      </c>
      <c r="BB85" s="68">
        <f t="shared" si="178"/>
        <v>0.99702175043006147</v>
      </c>
      <c r="BC85" s="69">
        <f t="shared" si="178"/>
        <v>0.9678796952709211</v>
      </c>
      <c r="BD85" s="69">
        <f t="shared" si="178"/>
        <v>0.90674410313334775</v>
      </c>
      <c r="BE85" s="69">
        <f t="shared" si="178"/>
        <v>1.0830420483932064</v>
      </c>
      <c r="BF85" s="68">
        <f t="shared" si="178"/>
        <v>0.99761731568539158</v>
      </c>
      <c r="BG85" s="68">
        <f t="shared" si="178"/>
        <v>1.028623386377721</v>
      </c>
      <c r="BH85" s="68">
        <f t="shared" si="178"/>
        <v>0.98488098232428201</v>
      </c>
      <c r="BI85" s="68">
        <f t="shared" si="178"/>
        <v>0.97034713479577461</v>
      </c>
      <c r="BJ85" s="68">
        <f t="shared" si="178"/>
        <v>1.0271029552204716</v>
      </c>
      <c r="BK85" s="68">
        <f t="shared" si="178"/>
        <v>1.0051688681648463</v>
      </c>
      <c r="BL85" s="68">
        <f t="shared" si="178"/>
        <v>0.99084021658915933</v>
      </c>
      <c r="BM85" s="69">
        <f t="shared" si="178"/>
        <v>0.97612961479413629</v>
      </c>
      <c r="BN85" s="68">
        <f t="shared" si="178"/>
        <v>0.95789193797730954</v>
      </c>
      <c r="BO85" s="69">
        <f t="shared" si="178"/>
        <v>1.0824723903400102</v>
      </c>
      <c r="BP85" s="68">
        <f t="shared" ref="BP85:EA85" si="179">BP81/BP70</f>
        <v>1.0363964495681266</v>
      </c>
      <c r="BQ85" s="68">
        <f t="shared" si="179"/>
        <v>1.0423737391450345</v>
      </c>
      <c r="BR85" s="68">
        <f t="shared" si="179"/>
        <v>1.024856577458698</v>
      </c>
      <c r="BS85" s="68">
        <f t="shared" si="179"/>
        <v>1.0279283438621591</v>
      </c>
      <c r="BT85" s="68">
        <f t="shared" si="179"/>
        <v>1.0159611803344548</v>
      </c>
      <c r="BU85" s="69">
        <f t="shared" si="179"/>
        <v>1.0608492284684194</v>
      </c>
      <c r="BV85" s="69">
        <f t="shared" si="179"/>
        <v>1.062404497578451</v>
      </c>
      <c r="BW85" s="69">
        <f t="shared" si="179"/>
        <v>1.0628206694452973</v>
      </c>
      <c r="BX85" s="68">
        <f t="shared" si="179"/>
        <v>1.0027510108954933</v>
      </c>
      <c r="BY85" s="68">
        <f t="shared" si="179"/>
        <v>1.0069913553653318</v>
      </c>
      <c r="BZ85" s="68">
        <f t="shared" si="179"/>
        <v>1.0082659434038741</v>
      </c>
      <c r="CA85" s="68">
        <f t="shared" si="179"/>
        <v>0.99567817762716238</v>
      </c>
      <c r="CB85" s="69">
        <f t="shared" si="179"/>
        <v>1.0595349215817562</v>
      </c>
      <c r="CC85" s="69">
        <f t="shared" si="179"/>
        <v>1.0585249107081327</v>
      </c>
      <c r="CD85" s="69">
        <f t="shared" si="179"/>
        <v>1.0407171068562706</v>
      </c>
      <c r="CE85" s="68">
        <f t="shared" si="179"/>
        <v>1.0185466780380534</v>
      </c>
      <c r="CF85" s="68">
        <f t="shared" si="179"/>
        <v>1.0203378882024692</v>
      </c>
      <c r="CG85" s="68">
        <f t="shared" si="179"/>
        <v>0.98686526007624586</v>
      </c>
      <c r="CH85" s="68">
        <f t="shared" si="179"/>
        <v>0.96968564691629955</v>
      </c>
      <c r="CI85" s="68">
        <f t="shared" si="179"/>
        <v>1.4781757284125712</v>
      </c>
      <c r="CJ85" s="68">
        <f t="shared" si="179"/>
        <v>0.8643900670391339</v>
      </c>
      <c r="CK85" s="68">
        <f t="shared" si="179"/>
        <v>0.86917237686509963</v>
      </c>
      <c r="CL85" s="68">
        <f t="shared" si="179"/>
        <v>1.0184246157941101</v>
      </c>
      <c r="CM85" s="68">
        <f t="shared" si="179"/>
        <v>0.94476024864603592</v>
      </c>
      <c r="CN85" s="68">
        <f t="shared" si="179"/>
        <v>1.0128449443925045</v>
      </c>
      <c r="CO85" s="68">
        <f t="shared" si="179"/>
        <v>1.0678255378842132</v>
      </c>
      <c r="CQ85" s="68">
        <f t="shared" si="179"/>
        <v>0.93309167719960107</v>
      </c>
      <c r="CR85" s="68">
        <f t="shared" si="179"/>
        <v>1.0085187502272048</v>
      </c>
      <c r="CS85" s="68">
        <f t="shared" si="179"/>
        <v>0.95648250479981956</v>
      </c>
      <c r="CT85" s="68">
        <f t="shared" si="179"/>
        <v>0.97821655813665509</v>
      </c>
      <c r="CU85" s="68">
        <f t="shared" si="179"/>
        <v>0.82797563534374741</v>
      </c>
      <c r="CV85" s="68">
        <f t="shared" si="179"/>
        <v>1.0016560086180957</v>
      </c>
      <c r="CW85" s="68">
        <f t="shared" si="179"/>
        <v>1.0179348464288362</v>
      </c>
      <c r="CX85" s="68">
        <f t="shared" si="179"/>
        <v>0.98583617188848394</v>
      </c>
      <c r="CY85" s="68">
        <f t="shared" si="179"/>
        <v>1.1229211358347391</v>
      </c>
      <c r="CZ85" s="68">
        <f t="shared" si="179"/>
        <v>0.9932535599420339</v>
      </c>
      <c r="DA85" s="68">
        <f t="shared" si="179"/>
        <v>0.96193096333263994</v>
      </c>
      <c r="DB85" s="196">
        <f t="shared" si="179"/>
        <v>0.92848265359130755</v>
      </c>
      <c r="DC85" s="192">
        <f t="shared" si="179"/>
        <v>0.81103232897048139</v>
      </c>
      <c r="DD85" s="68">
        <f t="shared" si="179"/>
        <v>1.0012883756108144</v>
      </c>
      <c r="DE85" s="68">
        <f t="shared" si="179"/>
        <v>1.0627109504133754</v>
      </c>
      <c r="DF85" s="68">
        <f t="shared" si="179"/>
        <v>0.96384363718869281</v>
      </c>
      <c r="DG85" s="68">
        <f t="shared" si="179"/>
        <v>0.93803501573135584</v>
      </c>
      <c r="DH85" s="68">
        <f t="shared" si="179"/>
        <v>0.95763959045109248</v>
      </c>
      <c r="DI85" s="68">
        <f t="shared" si="179"/>
        <v>0.98246278984251956</v>
      </c>
      <c r="DJ85" s="68">
        <f t="shared" si="179"/>
        <v>1.0042439610649156</v>
      </c>
      <c r="DK85" s="69">
        <f t="shared" si="179"/>
        <v>0.92971349742264819</v>
      </c>
      <c r="DL85" s="68">
        <f t="shared" si="179"/>
        <v>0.91525107361913249</v>
      </c>
      <c r="DM85" s="68">
        <f t="shared" si="179"/>
        <v>0.96236841423230091</v>
      </c>
      <c r="DN85" s="68">
        <f t="shared" si="179"/>
        <v>0.96549990843330391</v>
      </c>
      <c r="DO85" s="68">
        <f t="shared" si="179"/>
        <v>0.95174676665375224</v>
      </c>
      <c r="DP85" s="68">
        <f t="shared" si="179"/>
        <v>1.0556495918207578</v>
      </c>
      <c r="DQ85" s="68">
        <f t="shared" si="179"/>
        <v>0.97463667421640077</v>
      </c>
      <c r="DR85" s="68">
        <f t="shared" si="179"/>
        <v>0.98766283531408561</v>
      </c>
      <c r="DS85" s="68">
        <f t="shared" si="179"/>
        <v>1.1482326588046348</v>
      </c>
      <c r="DT85" s="68">
        <f t="shared" si="179"/>
        <v>0.9494143804265931</v>
      </c>
      <c r="DU85" s="68">
        <f t="shared" si="179"/>
        <v>0.98406423878770821</v>
      </c>
      <c r="DV85" s="68">
        <f t="shared" si="179"/>
        <v>0.99054303868422366</v>
      </c>
      <c r="DW85" s="68">
        <f t="shared" si="179"/>
        <v>0.95145837214187001</v>
      </c>
      <c r="DX85" s="68">
        <f t="shared" si="179"/>
        <v>1.0994342006303437</v>
      </c>
      <c r="DY85" s="68">
        <f t="shared" si="179"/>
        <v>1.096853693188137</v>
      </c>
      <c r="DZ85" s="68">
        <f t="shared" si="179"/>
        <v>1.0414603545827854</v>
      </c>
      <c r="EA85" s="68">
        <f t="shared" si="179"/>
        <v>1.1138987270111638</v>
      </c>
      <c r="EB85" s="191">
        <f t="shared" ref="EB85:FI85" si="180">EB81/EB70</f>
        <v>1.139569362452997</v>
      </c>
      <c r="EC85" s="68">
        <f t="shared" si="180"/>
        <v>0.99333994307303386</v>
      </c>
      <c r="ED85" s="68">
        <f t="shared" si="180"/>
        <v>1.0153629970101425</v>
      </c>
      <c r="EE85" s="68">
        <f t="shared" si="180"/>
        <v>1.0184963816783195</v>
      </c>
      <c r="EF85" s="68">
        <f t="shared" si="180"/>
        <v>0.9338565111995063</v>
      </c>
      <c r="EG85" s="68">
        <f t="shared" si="180"/>
        <v>1.0045568232021858</v>
      </c>
      <c r="EH85" s="68">
        <f t="shared" si="180"/>
        <v>1.0102600272768629</v>
      </c>
      <c r="EI85" s="68">
        <f t="shared" si="180"/>
        <v>1.0493116741601463</v>
      </c>
      <c r="EJ85" s="68">
        <f t="shared" si="180"/>
        <v>0.95096072251502539</v>
      </c>
      <c r="EK85" s="68">
        <f t="shared" si="180"/>
        <v>1.0896687892889814</v>
      </c>
      <c r="EL85" s="68">
        <f t="shared" si="180"/>
        <v>1.0183831496674305</v>
      </c>
      <c r="EM85" s="68">
        <f t="shared" si="180"/>
        <v>1.1938159543347679</v>
      </c>
      <c r="EN85" s="68">
        <f t="shared" si="180"/>
        <v>0.96624830613377688</v>
      </c>
      <c r="EO85" s="68">
        <f t="shared" si="180"/>
        <v>1.132958870984514</v>
      </c>
      <c r="EQ85" s="68">
        <f t="shared" si="180"/>
        <v>0.98175634017407731</v>
      </c>
      <c r="ER85" s="68">
        <f t="shared" si="180"/>
        <v>0.96972075378559219</v>
      </c>
      <c r="ES85" s="68">
        <f t="shared" si="180"/>
        <v>0.9813414719875353</v>
      </c>
      <c r="ET85" s="68">
        <f t="shared" si="180"/>
        <v>1.1386347977267204</v>
      </c>
      <c r="EU85" s="68">
        <f t="shared" si="180"/>
        <v>1.0464306561178012</v>
      </c>
      <c r="EV85" s="68">
        <f t="shared" si="180"/>
        <v>1.0671991849772724</v>
      </c>
      <c r="EW85" s="68">
        <f t="shared" si="180"/>
        <v>0.90602970857772924</v>
      </c>
      <c r="EX85" s="68">
        <f t="shared" si="180"/>
        <v>0.96439544423716483</v>
      </c>
      <c r="EY85" s="68">
        <f t="shared" si="180"/>
        <v>1.0264164474656792</v>
      </c>
      <c r="EZ85" s="68">
        <f t="shared" si="180"/>
        <v>1.0780491939567458</v>
      </c>
      <c r="FA85" s="68">
        <f t="shared" si="180"/>
        <v>0.99425781489204923</v>
      </c>
      <c r="FB85" s="68">
        <f t="shared" si="180"/>
        <v>1.0941130936571246</v>
      </c>
      <c r="FC85" s="68">
        <f t="shared" si="180"/>
        <v>1.0588076017181762</v>
      </c>
      <c r="FD85" s="68">
        <f t="shared" si="180"/>
        <v>0.97303129384063503</v>
      </c>
      <c r="FE85" s="68">
        <f t="shared" si="180"/>
        <v>0.97940020108322257</v>
      </c>
      <c r="FF85" s="68">
        <f t="shared" si="180"/>
        <v>0.94102694167730527</v>
      </c>
      <c r="FG85" s="68">
        <f t="shared" si="180"/>
        <v>1.0552856593717741</v>
      </c>
      <c r="FH85" s="68">
        <f t="shared" si="180"/>
        <v>1.1923411316766386</v>
      </c>
      <c r="FI85" s="68">
        <f t="shared" si="180"/>
        <v>1.0379109186390294</v>
      </c>
    </row>
    <row r="86" spans="1:165" ht="15">
      <c r="C86" s="190" t="s">
        <v>198</v>
      </c>
      <c r="E86" s="190" t="s">
        <v>198</v>
      </c>
      <c r="I86" s="190" t="s">
        <v>199</v>
      </c>
      <c r="K86" s="70" t="s">
        <v>198</v>
      </c>
      <c r="S86" s="190" t="s">
        <v>198</v>
      </c>
      <c r="AY86" s="70" t="s">
        <v>198</v>
      </c>
      <c r="BC86" s="70" t="s">
        <v>198</v>
      </c>
      <c r="BD86" s="70" t="s">
        <v>198</v>
      </c>
      <c r="BE86" s="70" t="s">
        <v>199</v>
      </c>
      <c r="BM86" s="70" t="s">
        <v>198</v>
      </c>
      <c r="BO86" s="70" t="s">
        <v>199</v>
      </c>
      <c r="BU86" s="70" t="s">
        <v>199</v>
      </c>
      <c r="BV86" s="70" t="s">
        <v>199</v>
      </c>
      <c r="BW86" s="70" t="s">
        <v>199</v>
      </c>
      <c r="CB86" s="70" t="s">
        <v>199</v>
      </c>
      <c r="CC86" s="70" t="s">
        <v>199</v>
      </c>
      <c r="CD86" s="70" t="s">
        <v>199</v>
      </c>
      <c r="DB86" s="197" t="s">
        <v>198</v>
      </c>
      <c r="DC86" s="190" t="s">
        <v>198</v>
      </c>
      <c r="DK86" s="70" t="s">
        <v>198</v>
      </c>
      <c r="EB86" s="70" t="s">
        <v>199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Phospho Lipids_Oil</vt:lpstr>
      <vt:lpstr>Phopho Lipids_FAT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Thusitha Rupasinghe</dc:creator>
  <cp:lastModifiedBy>Lisa Sedger</cp:lastModifiedBy>
  <dcterms:created xsi:type="dcterms:W3CDTF">2015-05-27T11:43:29Z</dcterms:created>
  <dcterms:modified xsi:type="dcterms:W3CDTF">2016-02-20T04:01:47Z</dcterms:modified>
</cp:coreProperties>
</file>